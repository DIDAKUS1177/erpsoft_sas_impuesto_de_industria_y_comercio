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https://d.docs.live.net/a77ecd039d3cd8c3/Desktop/Lyda/EDS/exogen paipa/"/>
    </mc:Choice>
  </mc:AlternateContent>
  <xr:revisionPtr revIDLastSave="12" documentId="8_{34DA8133-FD05-4744-919F-B4A22103975B}" xr6:coauthVersionLast="47" xr6:coauthVersionMax="47" xr10:uidLastSave="{2DDB0EFB-38C3-4827-9D1C-8D64029F5EC7}"/>
  <bookViews>
    <workbookView xWindow="-110" yWindow="-110" windowWidth="19420" windowHeight="10300" xr2:uid="{00000000-000D-0000-FFFF-FFFF00000000}"/>
  </bookViews>
  <sheets>
    <sheet name="PFE1" sheetId="1" r:id="rId1"/>
    <sheet name="Actividades" sheetId="2" r:id="rId2"/>
    <sheet name="Municipios" sheetId="3" r:id="rId3"/>
  </sheets>
  <externalReferences>
    <externalReference r:id="rId4"/>
  </externalReference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26" i="1" l="1"/>
  <c r="C725" i="1"/>
  <c r="F725" i="1" s="1"/>
  <c r="C726" i="1"/>
  <c r="C724" i="1"/>
  <c r="F724" i="1" s="1"/>
  <c r="C722" i="1"/>
  <c r="D722" i="1" s="1"/>
  <c r="C721" i="1"/>
  <c r="F721" i="1" s="1"/>
  <c r="C720" i="1"/>
  <c r="F720" i="1" s="1"/>
  <c r="C719" i="1"/>
  <c r="F719" i="1" s="1"/>
  <c r="C718" i="1"/>
  <c r="D718" i="1" s="1"/>
  <c r="C717" i="1"/>
  <c r="D717" i="1" s="1"/>
  <c r="C716" i="1"/>
  <c r="F716" i="1" s="1"/>
  <c r="C715" i="1"/>
  <c r="F715" i="1" s="1"/>
  <c r="C714" i="1"/>
  <c r="F714" i="1" s="1"/>
  <c r="C713" i="1"/>
  <c r="E713" i="1" s="1"/>
  <c r="C712" i="1"/>
  <c r="F712" i="1" s="1"/>
  <c r="C711" i="1"/>
  <c r="F711" i="1" s="1"/>
  <c r="C710" i="1"/>
  <c r="F710" i="1" s="1"/>
  <c r="C709" i="1"/>
  <c r="D709" i="1" s="1"/>
  <c r="C708" i="1"/>
  <c r="D708" i="1" s="1"/>
  <c r="C707" i="1"/>
  <c r="F707" i="1" s="1"/>
  <c r="C706" i="1"/>
  <c r="F706" i="1" s="1"/>
  <c r="C705" i="1"/>
  <c r="C704" i="1"/>
  <c r="D704" i="1" s="1"/>
  <c r="C703" i="1"/>
  <c r="D703" i="1" s="1"/>
  <c r="C702" i="1"/>
  <c r="F702" i="1" s="1"/>
  <c r="C701" i="1"/>
  <c r="F701" i="1" s="1"/>
  <c r="C700" i="1"/>
  <c r="F700" i="1" s="1"/>
  <c r="C699" i="1"/>
  <c r="F699" i="1" s="1"/>
  <c r="F698" i="1"/>
  <c r="C698" i="1"/>
  <c r="D698" i="1" s="1"/>
  <c r="C697" i="1"/>
  <c r="C696" i="1"/>
  <c r="C695" i="1"/>
  <c r="C694" i="1"/>
  <c r="F694" i="1" s="1"/>
  <c r="C693" i="1"/>
  <c r="C692" i="1"/>
  <c r="D692" i="1" s="1"/>
  <c r="C691" i="1"/>
  <c r="C690" i="1"/>
  <c r="C689" i="1"/>
  <c r="F689" i="1" s="1"/>
  <c r="C688" i="1"/>
  <c r="C687" i="1"/>
  <c r="D687" i="1" s="1"/>
  <c r="F686" i="1"/>
  <c r="C686" i="1"/>
  <c r="D686" i="1" s="1"/>
  <c r="C685" i="1"/>
  <c r="F685" i="1" s="1"/>
  <c r="C684" i="1"/>
  <c r="C683" i="1"/>
  <c r="D683" i="1" s="1"/>
  <c r="C682" i="1"/>
  <c r="F682" i="1" s="1"/>
  <c r="C681" i="1"/>
  <c r="F681" i="1" s="1"/>
  <c r="C680" i="1"/>
  <c r="F680" i="1" s="1"/>
  <c r="C679" i="1"/>
  <c r="F679" i="1" s="1"/>
  <c r="D678" i="1"/>
  <c r="C678" i="1"/>
  <c r="F678" i="1" s="1"/>
  <c r="C677" i="1"/>
  <c r="F677" i="1" s="1"/>
  <c r="C676" i="1"/>
  <c r="C675" i="1"/>
  <c r="F674" i="1"/>
  <c r="D674" i="1"/>
  <c r="C674" i="1"/>
  <c r="F673" i="1"/>
  <c r="D673" i="1"/>
  <c r="C673" i="1"/>
  <c r="F672" i="1"/>
  <c r="C672" i="1"/>
  <c r="D672" i="1" s="1"/>
  <c r="F671" i="1"/>
  <c r="C671" i="1"/>
  <c r="D671" i="1" s="1"/>
  <c r="C670" i="1"/>
  <c r="D670" i="1" s="1"/>
  <c r="C669" i="1"/>
  <c r="F669" i="1" s="1"/>
  <c r="C668" i="1"/>
  <c r="C667" i="1"/>
  <c r="F667" i="1" s="1"/>
  <c r="F666" i="1"/>
  <c r="D666" i="1"/>
  <c r="C666" i="1"/>
  <c r="C665" i="1"/>
  <c r="F665" i="1" s="1"/>
  <c r="D664" i="1"/>
  <c r="C664" i="1"/>
  <c r="F664" i="1" s="1"/>
  <c r="C663" i="1"/>
  <c r="F663" i="1" s="1"/>
  <c r="C662" i="1"/>
  <c r="D662" i="1" s="1"/>
  <c r="C661" i="1"/>
  <c r="C660" i="1"/>
  <c r="C659" i="1"/>
  <c r="C658" i="1"/>
  <c r="F658" i="1" s="1"/>
  <c r="C657" i="1"/>
  <c r="F657" i="1" s="1"/>
  <c r="C656" i="1"/>
  <c r="D656" i="1" s="1"/>
  <c r="F655" i="1"/>
  <c r="C655" i="1"/>
  <c r="D655" i="1" s="1"/>
  <c r="C654" i="1"/>
  <c r="D654" i="1" s="1"/>
  <c r="C653" i="1"/>
  <c r="D653" i="1" s="1"/>
  <c r="F652" i="1"/>
  <c r="C652" i="1"/>
  <c r="D652" i="1" s="1"/>
  <c r="C651" i="1"/>
  <c r="F651" i="1" s="1"/>
  <c r="C650" i="1"/>
  <c r="D650" i="1" s="1"/>
  <c r="C649" i="1"/>
  <c r="F649" i="1" s="1"/>
  <c r="C648" i="1"/>
  <c r="C647" i="1"/>
  <c r="C646" i="1"/>
  <c r="F646" i="1" s="1"/>
  <c r="C645" i="1"/>
  <c r="D645" i="1" s="1"/>
  <c r="C644" i="1"/>
  <c r="F644" i="1" s="1"/>
  <c r="C643" i="1"/>
  <c r="C642" i="1"/>
  <c r="F642" i="1" s="1"/>
  <c r="C641" i="1"/>
  <c r="F641" i="1" s="1"/>
  <c r="C640" i="1"/>
  <c r="C639" i="1"/>
  <c r="D639" i="1" s="1"/>
  <c r="F638" i="1"/>
  <c r="C638" i="1"/>
  <c r="D638" i="1" s="1"/>
  <c r="C637" i="1"/>
  <c r="F637" i="1" s="1"/>
  <c r="C636" i="1"/>
  <c r="C635" i="1"/>
  <c r="D635" i="1" s="1"/>
  <c r="F634" i="1"/>
  <c r="C634" i="1"/>
  <c r="D634" i="1" s="1"/>
  <c r="C633" i="1"/>
  <c r="F633" i="1" s="1"/>
  <c r="C632" i="1"/>
  <c r="F632" i="1" s="1"/>
  <c r="C631" i="1"/>
  <c r="D631" i="1" s="1"/>
  <c r="C630" i="1"/>
  <c r="C629" i="1"/>
  <c r="C628" i="1"/>
  <c r="C627" i="1"/>
  <c r="D627" i="1" s="1"/>
  <c r="C626" i="1"/>
  <c r="C625" i="1"/>
  <c r="D625" i="1" s="1"/>
  <c r="C624" i="1"/>
  <c r="D623" i="1"/>
  <c r="C623" i="1"/>
  <c r="F623" i="1" s="1"/>
  <c r="C622" i="1"/>
  <c r="F621" i="1"/>
  <c r="C621" i="1"/>
  <c r="D621" i="1" s="1"/>
  <c r="C620" i="1"/>
  <c r="F620" i="1" s="1"/>
  <c r="C619" i="1"/>
  <c r="D619" i="1" s="1"/>
  <c r="C618" i="1"/>
  <c r="C617" i="1"/>
  <c r="D617" i="1" s="1"/>
  <c r="C616" i="1"/>
  <c r="C615" i="1"/>
  <c r="D615" i="1" s="1"/>
  <c r="C614" i="1"/>
  <c r="F614" i="1" s="1"/>
  <c r="F613" i="1"/>
  <c r="C613" i="1"/>
  <c r="D613" i="1" s="1"/>
  <c r="F612" i="1"/>
  <c r="D612" i="1"/>
  <c r="C612" i="1"/>
  <c r="C611" i="1"/>
  <c r="F611" i="1" s="1"/>
  <c r="C610" i="1"/>
  <c r="F610" i="1" s="1"/>
  <c r="C609" i="1"/>
  <c r="F609" i="1" s="1"/>
  <c r="C608" i="1"/>
  <c r="F608" i="1" s="1"/>
  <c r="C607" i="1"/>
  <c r="F607" i="1" s="1"/>
  <c r="C606" i="1"/>
  <c r="C605" i="1"/>
  <c r="C604" i="1"/>
  <c r="C603" i="1"/>
  <c r="F603" i="1" s="1"/>
  <c r="C602" i="1"/>
  <c r="D602" i="1" s="1"/>
  <c r="C601" i="1"/>
  <c r="D601" i="1" s="1"/>
  <c r="F600" i="1"/>
  <c r="C600" i="1"/>
  <c r="D600" i="1" s="1"/>
  <c r="C599" i="1"/>
  <c r="C598" i="1"/>
  <c r="C597" i="1"/>
  <c r="C596" i="1"/>
  <c r="F596" i="1" s="1"/>
  <c r="C595" i="1"/>
  <c r="F595" i="1" s="1"/>
  <c r="F594" i="1"/>
  <c r="E594" i="1"/>
  <c r="C594" i="1"/>
  <c r="D594" i="1" s="1"/>
  <c r="F593" i="1"/>
  <c r="D593" i="1"/>
  <c r="C593" i="1"/>
  <c r="C592" i="1"/>
  <c r="D592" i="1" s="1"/>
  <c r="C591" i="1"/>
  <c r="F591" i="1" s="1"/>
  <c r="C590" i="1"/>
  <c r="F590" i="1" s="1"/>
  <c r="C589" i="1"/>
  <c r="D589" i="1" s="1"/>
  <c r="C588" i="1"/>
  <c r="C587" i="1"/>
  <c r="C586" i="1"/>
  <c r="F586" i="1" s="1"/>
  <c r="C585" i="1"/>
  <c r="D584" i="1"/>
  <c r="C584" i="1"/>
  <c r="F584" i="1" s="1"/>
  <c r="C583" i="1"/>
  <c r="D583" i="1" s="1"/>
  <c r="C582" i="1"/>
  <c r="F582" i="1" s="1"/>
  <c r="C581" i="1"/>
  <c r="D581" i="1" s="1"/>
  <c r="C580" i="1"/>
  <c r="D580" i="1" s="1"/>
  <c r="F579" i="1"/>
  <c r="C579" i="1"/>
  <c r="D579" i="1" s="1"/>
  <c r="C578" i="1"/>
  <c r="F578" i="1" s="1"/>
  <c r="F577" i="1"/>
  <c r="C577" i="1"/>
  <c r="D577" i="1" s="1"/>
  <c r="C576" i="1"/>
  <c r="D576" i="1" s="1"/>
  <c r="C575" i="1"/>
  <c r="D575" i="1" s="1"/>
  <c r="C574" i="1"/>
  <c r="F574" i="1" s="1"/>
  <c r="C573" i="1"/>
  <c r="C572" i="1"/>
  <c r="F572" i="1" s="1"/>
  <c r="C571" i="1"/>
  <c r="D571" i="1" s="1"/>
  <c r="F570" i="1"/>
  <c r="C570" i="1"/>
  <c r="D570" i="1" s="1"/>
  <c r="D569" i="1"/>
  <c r="C569" i="1"/>
  <c r="F569" i="1" s="1"/>
  <c r="C568" i="1"/>
  <c r="D568" i="1" s="1"/>
  <c r="C567" i="1"/>
  <c r="D567" i="1" s="1"/>
  <c r="C566" i="1"/>
  <c r="C565" i="1"/>
  <c r="F565" i="1" s="1"/>
  <c r="C564" i="1"/>
  <c r="C563" i="1"/>
  <c r="F563" i="1" s="1"/>
  <c r="C562" i="1"/>
  <c r="F562" i="1" s="1"/>
  <c r="C561" i="1"/>
  <c r="F561" i="1" s="1"/>
  <c r="C560" i="1"/>
  <c r="D560" i="1" s="1"/>
  <c r="C559" i="1"/>
  <c r="D559" i="1" s="1"/>
  <c r="D558" i="1"/>
  <c r="C558" i="1"/>
  <c r="F558" i="1" s="1"/>
  <c r="C557" i="1"/>
  <c r="F557" i="1" s="1"/>
  <c r="C556" i="1"/>
  <c r="F556" i="1" s="1"/>
  <c r="C555" i="1"/>
  <c r="F555" i="1" s="1"/>
  <c r="F554" i="1"/>
  <c r="C554" i="1"/>
  <c r="D554" i="1" s="1"/>
  <c r="D553" i="1"/>
  <c r="C553" i="1"/>
  <c r="F553" i="1" s="1"/>
  <c r="C552" i="1"/>
  <c r="F552" i="1" s="1"/>
  <c r="F551" i="1"/>
  <c r="C551" i="1"/>
  <c r="D551" i="1" s="1"/>
  <c r="C550" i="1"/>
  <c r="F550" i="1" s="1"/>
  <c r="C549" i="1"/>
  <c r="F549" i="1" s="1"/>
  <c r="C548" i="1"/>
  <c r="C547" i="1"/>
  <c r="F547" i="1" s="1"/>
  <c r="C546" i="1"/>
  <c r="F546" i="1" s="1"/>
  <c r="C545" i="1"/>
  <c r="F545" i="1" s="1"/>
  <c r="C544" i="1"/>
  <c r="C543" i="1"/>
  <c r="D543" i="1" s="1"/>
  <c r="C542" i="1"/>
  <c r="F541" i="1"/>
  <c r="C541" i="1"/>
  <c r="D541" i="1" s="1"/>
  <c r="C540" i="1"/>
  <c r="C539" i="1"/>
  <c r="F539" i="1" s="1"/>
  <c r="C538" i="1"/>
  <c r="C537" i="1"/>
  <c r="F537" i="1" s="1"/>
  <c r="C536" i="1"/>
  <c r="F536" i="1" s="1"/>
  <c r="C535" i="1"/>
  <c r="F535" i="1" s="1"/>
  <c r="F534" i="1"/>
  <c r="C534" i="1"/>
  <c r="D534" i="1" s="1"/>
  <c r="C533" i="1"/>
  <c r="D533" i="1" s="1"/>
  <c r="C532" i="1"/>
  <c r="C531" i="1"/>
  <c r="F531" i="1" s="1"/>
  <c r="C530" i="1"/>
  <c r="F530" i="1" s="1"/>
  <c r="F529" i="1"/>
  <c r="C529" i="1"/>
  <c r="D529" i="1" s="1"/>
  <c r="C528" i="1"/>
  <c r="D528" i="1" s="1"/>
  <c r="D527" i="1"/>
  <c r="C527" i="1"/>
  <c r="F527" i="1" s="1"/>
  <c r="C526" i="1"/>
  <c r="C525" i="1"/>
  <c r="D525" i="1" s="1"/>
  <c r="C524" i="1"/>
  <c r="F524" i="1" s="1"/>
  <c r="C523" i="1"/>
  <c r="C522" i="1"/>
  <c r="C521" i="1"/>
  <c r="C520" i="1"/>
  <c r="F520" i="1" s="1"/>
  <c r="C519" i="1"/>
  <c r="F519" i="1" s="1"/>
  <c r="C518" i="1"/>
  <c r="F518" i="1" s="1"/>
  <c r="C517" i="1"/>
  <c r="C516" i="1"/>
  <c r="F516" i="1" s="1"/>
  <c r="F515" i="1"/>
  <c r="C515" i="1"/>
  <c r="D515" i="1" s="1"/>
  <c r="C514" i="1"/>
  <c r="F514" i="1" s="1"/>
  <c r="C513" i="1"/>
  <c r="D513" i="1" s="1"/>
  <c r="C512" i="1"/>
  <c r="C511" i="1"/>
  <c r="F511" i="1" s="1"/>
  <c r="C510" i="1"/>
  <c r="F510" i="1" s="1"/>
  <c r="C509" i="1"/>
  <c r="F509" i="1" s="1"/>
  <c r="F508" i="1"/>
  <c r="C508" i="1"/>
  <c r="D508" i="1" s="1"/>
  <c r="C507" i="1"/>
  <c r="D507" i="1" s="1"/>
  <c r="C506" i="1"/>
  <c r="F506" i="1" s="1"/>
  <c r="C505" i="1"/>
  <c r="F505" i="1" s="1"/>
  <c r="C504" i="1"/>
  <c r="F504" i="1" s="1"/>
  <c r="F503" i="1"/>
  <c r="D503" i="1"/>
  <c r="C503" i="1"/>
  <c r="C502" i="1"/>
  <c r="F502" i="1" s="1"/>
  <c r="C501" i="1"/>
  <c r="F501" i="1" s="1"/>
  <c r="C500" i="1"/>
  <c r="D500" i="1" s="1"/>
  <c r="D499" i="1"/>
  <c r="C499" i="1"/>
  <c r="F499" i="1" s="1"/>
  <c r="F498" i="1"/>
  <c r="D498" i="1"/>
  <c r="C498" i="1"/>
  <c r="C497" i="1"/>
  <c r="C496" i="1"/>
  <c r="C495" i="1"/>
  <c r="F495" i="1" s="1"/>
  <c r="F494" i="1"/>
  <c r="E494" i="1"/>
  <c r="D494" i="1"/>
  <c r="C494" i="1"/>
  <c r="C493" i="1"/>
  <c r="D493" i="1" s="1"/>
  <c r="C492" i="1"/>
  <c r="F492" i="1" s="1"/>
  <c r="C491" i="1"/>
  <c r="F491" i="1" s="1"/>
  <c r="C490" i="1"/>
  <c r="F490" i="1" s="1"/>
  <c r="F489" i="1"/>
  <c r="E489" i="1"/>
  <c r="C489" i="1"/>
  <c r="D489" i="1" s="1"/>
  <c r="F488" i="1"/>
  <c r="D488" i="1"/>
  <c r="C488" i="1"/>
  <c r="C487" i="1"/>
  <c r="D487" i="1" s="1"/>
  <c r="C486" i="1"/>
  <c r="C485" i="1"/>
  <c r="D485" i="1" s="1"/>
  <c r="C484" i="1"/>
  <c r="D484" i="1" s="1"/>
  <c r="C483" i="1"/>
  <c r="D483" i="1" s="1"/>
  <c r="C482" i="1"/>
  <c r="C481" i="1"/>
  <c r="C480" i="1"/>
  <c r="F480" i="1" s="1"/>
  <c r="C479" i="1"/>
  <c r="F478" i="1"/>
  <c r="E478" i="1"/>
  <c r="D478" i="1"/>
  <c r="C478" i="1"/>
  <c r="C477" i="1"/>
  <c r="F477" i="1" s="1"/>
  <c r="C476" i="1"/>
  <c r="C475" i="1"/>
  <c r="C474" i="1"/>
  <c r="F474" i="1" s="1"/>
  <c r="C473" i="1"/>
  <c r="C472" i="1"/>
  <c r="D472" i="1" s="1"/>
  <c r="C471" i="1"/>
  <c r="C470" i="1"/>
  <c r="C469" i="1"/>
  <c r="D469" i="1" s="1"/>
  <c r="F468" i="1"/>
  <c r="C468" i="1"/>
  <c r="D468" i="1" s="1"/>
  <c r="C467" i="1"/>
  <c r="F467" i="1" s="1"/>
  <c r="C466" i="1"/>
  <c r="D466" i="1" s="1"/>
  <c r="C465" i="1"/>
  <c r="C464" i="1"/>
  <c r="F464" i="1" s="1"/>
  <c r="C463" i="1"/>
  <c r="F463" i="1" s="1"/>
  <c r="C462" i="1"/>
  <c r="F462" i="1" s="1"/>
  <c r="C461" i="1"/>
  <c r="F461" i="1" s="1"/>
  <c r="C460" i="1"/>
  <c r="F460" i="1" s="1"/>
  <c r="F459" i="1"/>
  <c r="D459" i="1"/>
  <c r="C459" i="1"/>
  <c r="C458" i="1"/>
  <c r="D458" i="1" s="1"/>
  <c r="C457" i="1"/>
  <c r="E456" i="1"/>
  <c r="C456" i="1"/>
  <c r="F456" i="1" s="1"/>
  <c r="C455" i="1"/>
  <c r="F455" i="1" s="1"/>
  <c r="G454" i="1"/>
  <c r="C453" i="1"/>
  <c r="F453" i="1" s="1"/>
  <c r="F452" i="1"/>
  <c r="C452" i="1"/>
  <c r="D452" i="1" s="1"/>
  <c r="C451" i="1"/>
  <c r="C450" i="1"/>
  <c r="C449" i="1"/>
  <c r="F449" i="1" s="1"/>
  <c r="C448" i="1"/>
  <c r="D448" i="1" s="1"/>
  <c r="C447" i="1"/>
  <c r="C446" i="1"/>
  <c r="C445" i="1"/>
  <c r="F445" i="1" s="1"/>
  <c r="C444" i="1"/>
  <c r="C443" i="1"/>
  <c r="F443" i="1" s="1"/>
  <c r="F442" i="1"/>
  <c r="C442" i="1"/>
  <c r="D442" i="1" s="1"/>
  <c r="C441" i="1"/>
  <c r="C440" i="1"/>
  <c r="D440" i="1" s="1"/>
  <c r="C439" i="1"/>
  <c r="C438" i="1"/>
  <c r="F438" i="1" s="1"/>
  <c r="C437" i="1"/>
  <c r="F437" i="1" s="1"/>
  <c r="C436" i="1"/>
  <c r="F436" i="1" s="1"/>
  <c r="F435" i="1"/>
  <c r="C435" i="1"/>
  <c r="D435" i="1" s="1"/>
  <c r="C434" i="1"/>
  <c r="F434" i="1" s="1"/>
  <c r="C433" i="1"/>
  <c r="C432" i="1"/>
  <c r="F432" i="1" s="1"/>
  <c r="C431" i="1"/>
  <c r="D431" i="1" s="1"/>
  <c r="C430" i="1"/>
  <c r="C429" i="1"/>
  <c r="D429" i="1" s="1"/>
  <c r="C428" i="1"/>
  <c r="D428" i="1" s="1"/>
  <c r="C427" i="1"/>
  <c r="F427" i="1" s="1"/>
  <c r="F426" i="1"/>
  <c r="C426" i="1"/>
  <c r="D426" i="1" s="1"/>
  <c r="F425" i="1"/>
  <c r="D425" i="1"/>
  <c r="C425" i="1"/>
  <c r="C424" i="1"/>
  <c r="D424" i="1" s="1"/>
  <c r="F423" i="1"/>
  <c r="C423" i="1"/>
  <c r="D423" i="1" s="1"/>
  <c r="C422" i="1"/>
  <c r="F422" i="1" s="1"/>
  <c r="C421" i="1"/>
  <c r="D421" i="1" s="1"/>
  <c r="C420" i="1"/>
  <c r="D420" i="1" s="1"/>
  <c r="C419" i="1"/>
  <c r="C418" i="1"/>
  <c r="F418" i="1" s="1"/>
  <c r="F417" i="1"/>
  <c r="C417" i="1"/>
  <c r="D417" i="1" s="1"/>
  <c r="C416" i="1"/>
  <c r="F416" i="1" s="1"/>
  <c r="C415" i="1"/>
  <c r="F415" i="1" s="1"/>
  <c r="C414" i="1"/>
  <c r="F414" i="1" s="1"/>
  <c r="C413" i="1"/>
  <c r="F413" i="1" s="1"/>
  <c r="C412" i="1"/>
  <c r="F412" i="1" s="1"/>
  <c r="D411" i="1"/>
  <c r="C411" i="1"/>
  <c r="F411" i="1" s="1"/>
  <c r="C410" i="1"/>
  <c r="F410" i="1" s="1"/>
  <c r="C409" i="1"/>
  <c r="D409" i="1" s="1"/>
  <c r="C408" i="1"/>
  <c r="C407" i="1"/>
  <c r="D407" i="1" s="1"/>
  <c r="C406" i="1"/>
  <c r="F406" i="1" s="1"/>
  <c r="C405" i="1"/>
  <c r="F405" i="1" s="1"/>
  <c r="C404" i="1"/>
  <c r="D404" i="1" s="1"/>
  <c r="D403" i="1"/>
  <c r="C403" i="1"/>
  <c r="F403" i="1" s="1"/>
  <c r="D402" i="1"/>
  <c r="C402" i="1"/>
  <c r="F402" i="1" s="1"/>
  <c r="C401" i="1"/>
  <c r="F401" i="1" s="1"/>
  <c r="C400" i="1"/>
  <c r="F400" i="1" s="1"/>
  <c r="C399" i="1"/>
  <c r="F399" i="1" s="1"/>
  <c r="C398" i="1"/>
  <c r="C397" i="1"/>
  <c r="D397" i="1" s="1"/>
  <c r="C396" i="1"/>
  <c r="F396" i="1" s="1"/>
  <c r="C395" i="1"/>
  <c r="F395" i="1" s="1"/>
  <c r="C394" i="1"/>
  <c r="F394" i="1" s="1"/>
  <c r="C393" i="1"/>
  <c r="D393" i="1" s="1"/>
  <c r="F392" i="1"/>
  <c r="E392" i="1"/>
  <c r="C392" i="1"/>
  <c r="D392" i="1" s="1"/>
  <c r="C391" i="1"/>
  <c r="F391" i="1" s="1"/>
  <c r="C390" i="1"/>
  <c r="C389" i="1"/>
  <c r="F389" i="1" s="1"/>
  <c r="C388" i="1"/>
  <c r="D388" i="1" s="1"/>
  <c r="C387" i="1"/>
  <c r="C386" i="1"/>
  <c r="F386" i="1" s="1"/>
  <c r="C385" i="1"/>
  <c r="F385" i="1" s="1"/>
  <c r="C384" i="1"/>
  <c r="D384" i="1" s="1"/>
  <c r="C383" i="1"/>
  <c r="F383" i="1" s="1"/>
  <c r="F382" i="1"/>
  <c r="E382" i="1"/>
  <c r="D382" i="1"/>
  <c r="C382" i="1"/>
  <c r="C381" i="1"/>
  <c r="F381" i="1" s="1"/>
  <c r="C380" i="1"/>
  <c r="F380" i="1" s="1"/>
  <c r="C379" i="1"/>
  <c r="E379" i="1" s="1"/>
  <c r="C378" i="1"/>
  <c r="C377" i="1"/>
  <c r="D377" i="1" s="1"/>
  <c r="C376" i="1"/>
  <c r="C375" i="1"/>
  <c r="D375" i="1" s="1"/>
  <c r="F374" i="1"/>
  <c r="C374" i="1"/>
  <c r="D374" i="1" s="1"/>
  <c r="D373" i="1"/>
  <c r="C373" i="1"/>
  <c r="F373" i="1" s="1"/>
  <c r="C372" i="1"/>
  <c r="D372" i="1" s="1"/>
  <c r="C371" i="1"/>
  <c r="C370" i="1"/>
  <c r="F370" i="1" s="1"/>
  <c r="C369" i="1"/>
  <c r="D369" i="1" s="1"/>
  <c r="C368" i="1"/>
  <c r="D368" i="1" s="1"/>
  <c r="C367" i="1"/>
  <c r="F367" i="1" s="1"/>
  <c r="C366" i="1"/>
  <c r="D366" i="1" s="1"/>
  <c r="C365" i="1"/>
  <c r="C364" i="1"/>
  <c r="D364" i="1" s="1"/>
  <c r="C363" i="1"/>
  <c r="D363" i="1" s="1"/>
  <c r="C362" i="1"/>
  <c r="D362" i="1" s="1"/>
  <c r="C361" i="1"/>
  <c r="D361" i="1" s="1"/>
  <c r="C360" i="1"/>
  <c r="F360" i="1" s="1"/>
  <c r="C359" i="1"/>
  <c r="F359" i="1" s="1"/>
  <c r="C358" i="1"/>
  <c r="F358" i="1" s="1"/>
  <c r="C357" i="1"/>
  <c r="F357" i="1" s="1"/>
  <c r="C356" i="1"/>
  <c r="F356" i="1" s="1"/>
  <c r="C355" i="1"/>
  <c r="F355" i="1" s="1"/>
  <c r="C354" i="1"/>
  <c r="C353" i="1"/>
  <c r="D353" i="1" s="1"/>
  <c r="C352" i="1"/>
  <c r="D352" i="1" s="1"/>
  <c r="C351" i="1"/>
  <c r="F351" i="1" s="1"/>
  <c r="C350" i="1"/>
  <c r="F350" i="1" s="1"/>
  <c r="C349" i="1"/>
  <c r="F349" i="1" s="1"/>
  <c r="F348" i="1"/>
  <c r="D348" i="1"/>
  <c r="C348" i="1"/>
  <c r="C347" i="1"/>
  <c r="F347" i="1" s="1"/>
  <c r="F346" i="1"/>
  <c r="D346" i="1"/>
  <c r="C346" i="1"/>
  <c r="C345" i="1"/>
  <c r="D345" i="1" s="1"/>
  <c r="C344" i="1"/>
  <c r="D344" i="1" s="1"/>
  <c r="C343" i="1"/>
  <c r="C342" i="1"/>
  <c r="D342" i="1" s="1"/>
  <c r="D341" i="1"/>
  <c r="C341" i="1"/>
  <c r="F341" i="1" s="1"/>
  <c r="F340" i="1"/>
  <c r="D340" i="1"/>
  <c r="C340" i="1"/>
  <c r="C339" i="1"/>
  <c r="F339" i="1" s="1"/>
  <c r="F338" i="1"/>
  <c r="C338" i="1"/>
  <c r="D338" i="1" s="1"/>
  <c r="C337" i="1"/>
  <c r="C336" i="1"/>
  <c r="F336" i="1" s="1"/>
  <c r="C335" i="1"/>
  <c r="F335" i="1" s="1"/>
  <c r="C334" i="1"/>
  <c r="C333" i="1"/>
  <c r="D333" i="1" s="1"/>
  <c r="C332" i="1"/>
  <c r="D332" i="1" s="1"/>
  <c r="C331" i="1"/>
  <c r="F331" i="1" s="1"/>
  <c r="C330" i="1"/>
  <c r="F330" i="1" s="1"/>
  <c r="C329" i="1"/>
  <c r="F329" i="1" s="1"/>
  <c r="C328" i="1"/>
  <c r="F328" i="1" s="1"/>
  <c r="D327" i="1"/>
  <c r="C327" i="1"/>
  <c r="F327" i="1" s="1"/>
  <c r="C326" i="1"/>
  <c r="F326" i="1" s="1"/>
  <c r="C325" i="1"/>
  <c r="F325" i="1" s="1"/>
  <c r="C324" i="1"/>
  <c r="D324" i="1" s="1"/>
  <c r="C323" i="1"/>
  <c r="F323" i="1" s="1"/>
  <c r="F322" i="1"/>
  <c r="C322" i="1"/>
  <c r="D322" i="1" s="1"/>
  <c r="C321" i="1"/>
  <c r="C320" i="1"/>
  <c r="D320" i="1" s="1"/>
  <c r="C319" i="1"/>
  <c r="C318" i="1"/>
  <c r="F318" i="1" s="1"/>
  <c r="F317" i="1"/>
  <c r="D317" i="1"/>
  <c r="C317" i="1"/>
  <c r="C316" i="1"/>
  <c r="F316" i="1" s="1"/>
  <c r="C315" i="1"/>
  <c r="F315" i="1" s="1"/>
  <c r="C314" i="1"/>
  <c r="F314" i="1" s="1"/>
  <c r="C313" i="1"/>
  <c r="C312" i="1"/>
  <c r="F312" i="1" s="1"/>
  <c r="C311" i="1"/>
  <c r="D311" i="1" s="1"/>
  <c r="C310" i="1"/>
  <c r="C309" i="1"/>
  <c r="D309" i="1" s="1"/>
  <c r="C308" i="1"/>
  <c r="D308" i="1" s="1"/>
  <c r="C307" i="1"/>
  <c r="F307" i="1" s="1"/>
  <c r="C306" i="1"/>
  <c r="F306" i="1" s="1"/>
  <c r="F305" i="1"/>
  <c r="D305" i="1"/>
  <c r="C305" i="1"/>
  <c r="C304" i="1"/>
  <c r="F304" i="1" s="1"/>
  <c r="F303" i="1"/>
  <c r="D303" i="1"/>
  <c r="C303" i="1"/>
  <c r="C302" i="1"/>
  <c r="C301" i="1"/>
  <c r="D301" i="1" s="1"/>
  <c r="C300" i="1"/>
  <c r="F300" i="1" s="1"/>
  <c r="C299" i="1"/>
  <c r="F299" i="1" s="1"/>
  <c r="C298" i="1"/>
  <c r="F298" i="1" s="1"/>
  <c r="C297" i="1"/>
  <c r="F297" i="1" s="1"/>
  <c r="C296" i="1"/>
  <c r="F295" i="1"/>
  <c r="C295" i="1"/>
  <c r="D295" i="1" s="1"/>
  <c r="C294" i="1"/>
  <c r="C293" i="1"/>
  <c r="D293" i="1" s="1"/>
  <c r="C292" i="1"/>
  <c r="F292" i="1" s="1"/>
  <c r="C291" i="1"/>
  <c r="D291" i="1" s="1"/>
  <c r="C290" i="1"/>
  <c r="F290" i="1" s="1"/>
  <c r="C289" i="1"/>
  <c r="F289" i="1" s="1"/>
  <c r="C288" i="1"/>
  <c r="C287" i="1"/>
  <c r="C286" i="1"/>
  <c r="F286" i="1" s="1"/>
  <c r="C285" i="1"/>
  <c r="F285" i="1" s="1"/>
  <c r="F284" i="1"/>
  <c r="D284" i="1"/>
  <c r="C284" i="1"/>
  <c r="F283" i="1"/>
  <c r="D283" i="1"/>
  <c r="C283" i="1"/>
  <c r="C282" i="1"/>
  <c r="D282" i="1" s="1"/>
  <c r="C281" i="1"/>
  <c r="F281" i="1" s="1"/>
  <c r="C280" i="1"/>
  <c r="F280" i="1" s="1"/>
  <c r="C279" i="1"/>
  <c r="D279" i="1" s="1"/>
  <c r="C278" i="1"/>
  <c r="F278" i="1" s="1"/>
  <c r="D277" i="1"/>
  <c r="C277" i="1"/>
  <c r="F277" i="1" s="1"/>
  <c r="C276" i="1"/>
  <c r="C275" i="1"/>
  <c r="C274" i="1"/>
  <c r="D274" i="1" s="1"/>
  <c r="C273" i="1"/>
  <c r="D273" i="1" s="1"/>
  <c r="C272" i="1"/>
  <c r="F272" i="1" s="1"/>
  <c r="C271" i="1"/>
  <c r="D271" i="1" s="1"/>
  <c r="C270" i="1"/>
  <c r="F270" i="1" s="1"/>
  <c r="C269" i="1"/>
  <c r="C268" i="1"/>
  <c r="F268" i="1" s="1"/>
  <c r="C267" i="1"/>
  <c r="D267" i="1" s="1"/>
  <c r="C266" i="1"/>
  <c r="F266" i="1" s="1"/>
  <c r="C265" i="1"/>
  <c r="D265" i="1" s="1"/>
  <c r="C264" i="1"/>
  <c r="F264" i="1" s="1"/>
  <c r="C263" i="1"/>
  <c r="C262" i="1"/>
  <c r="F261" i="1"/>
  <c r="D261" i="1"/>
  <c r="C261" i="1"/>
  <c r="C260" i="1"/>
  <c r="F260" i="1" s="1"/>
  <c r="C259" i="1"/>
  <c r="F259" i="1" s="1"/>
  <c r="C258" i="1"/>
  <c r="F258" i="1" s="1"/>
  <c r="C257" i="1"/>
  <c r="C256" i="1"/>
  <c r="D256" i="1" s="1"/>
  <c r="F255" i="1"/>
  <c r="C255" i="1"/>
  <c r="D255" i="1" s="1"/>
  <c r="C254" i="1"/>
  <c r="D254" i="1" s="1"/>
  <c r="C253" i="1"/>
  <c r="C252" i="1"/>
  <c r="F252" i="1" s="1"/>
  <c r="C251" i="1"/>
  <c r="F250" i="1"/>
  <c r="C250" i="1"/>
  <c r="D250" i="1" s="1"/>
  <c r="C249" i="1"/>
  <c r="F249" i="1" s="1"/>
  <c r="C248" i="1"/>
  <c r="C247" i="1"/>
  <c r="D247" i="1" s="1"/>
  <c r="C246" i="1"/>
  <c r="F246" i="1" s="1"/>
  <c r="F245" i="1"/>
  <c r="C245" i="1"/>
  <c r="D245" i="1" s="1"/>
  <c r="C244" i="1"/>
  <c r="F244" i="1" s="1"/>
  <c r="C243" i="1"/>
  <c r="F243" i="1" s="1"/>
  <c r="C242" i="1"/>
  <c r="F242" i="1" s="1"/>
  <c r="C241" i="1"/>
  <c r="D241" i="1" s="1"/>
  <c r="C240" i="1"/>
  <c r="F240" i="1" s="1"/>
  <c r="C239" i="1"/>
  <c r="D239" i="1" s="1"/>
  <c r="C238" i="1"/>
  <c r="C237" i="1"/>
  <c r="D237" i="1" s="1"/>
  <c r="C236" i="1"/>
  <c r="F236" i="1" s="1"/>
  <c r="C235" i="1"/>
  <c r="D235" i="1" s="1"/>
  <c r="C234" i="1"/>
  <c r="F234" i="1" s="1"/>
  <c r="C233" i="1"/>
  <c r="C232" i="1"/>
  <c r="D232" i="1" s="1"/>
  <c r="C231" i="1"/>
  <c r="F231" i="1" s="1"/>
  <c r="C230" i="1"/>
  <c r="F230" i="1" s="1"/>
  <c r="C229" i="1"/>
  <c r="F229" i="1" s="1"/>
  <c r="C228" i="1"/>
  <c r="F228" i="1" s="1"/>
  <c r="C227" i="1"/>
  <c r="C226" i="1"/>
  <c r="D226" i="1" s="1"/>
  <c r="C225" i="1"/>
  <c r="D224" i="1"/>
  <c r="C224" i="1"/>
  <c r="F224" i="1" s="1"/>
  <c r="C223" i="1"/>
  <c r="D223" i="1" s="1"/>
  <c r="C222" i="1"/>
  <c r="C221" i="1"/>
  <c r="F221" i="1" s="1"/>
  <c r="C220" i="1"/>
  <c r="F220" i="1" s="1"/>
  <c r="C219" i="1"/>
  <c r="F219" i="1" s="1"/>
  <c r="C218" i="1"/>
  <c r="F218" i="1" s="1"/>
  <c r="F217" i="1"/>
  <c r="C217" i="1"/>
  <c r="D217" i="1" s="1"/>
  <c r="C216" i="1"/>
  <c r="D216" i="1" s="1"/>
  <c r="C215" i="1"/>
  <c r="D215" i="1" s="1"/>
  <c r="D214" i="1"/>
  <c r="C214" i="1"/>
  <c r="F214" i="1" s="1"/>
  <c r="C213" i="1"/>
  <c r="F213" i="1" s="1"/>
  <c r="C212" i="1"/>
  <c r="F212" i="1" s="1"/>
  <c r="C211" i="1"/>
  <c r="C210" i="1"/>
  <c r="F210" i="1" s="1"/>
  <c r="C209" i="1"/>
  <c r="F209" i="1" s="1"/>
  <c r="C208" i="1"/>
  <c r="F208" i="1" s="1"/>
  <c r="C207" i="1"/>
  <c r="D207" i="1" s="1"/>
  <c r="F206" i="1"/>
  <c r="D206" i="1"/>
  <c r="C206" i="1"/>
  <c r="C205" i="1"/>
  <c r="F205" i="1" s="1"/>
  <c r="C204" i="1"/>
  <c r="F204" i="1" s="1"/>
  <c r="C203" i="1"/>
  <c r="D203" i="1" s="1"/>
  <c r="F202" i="1"/>
  <c r="D202" i="1"/>
  <c r="C202" i="1"/>
  <c r="F201" i="1"/>
  <c r="C201" i="1"/>
  <c r="D201" i="1" s="1"/>
  <c r="C200" i="1"/>
  <c r="C199" i="1"/>
  <c r="F199" i="1" s="1"/>
  <c r="C198" i="1"/>
  <c r="F198" i="1" s="1"/>
  <c r="C197" i="1"/>
  <c r="F197" i="1" s="1"/>
  <c r="C196" i="1"/>
  <c r="F196" i="1" s="1"/>
  <c r="C195" i="1"/>
  <c r="C194" i="1"/>
  <c r="F194" i="1" s="1"/>
  <c r="F193" i="1"/>
  <c r="C193" i="1"/>
  <c r="D193" i="1" s="1"/>
  <c r="C192" i="1"/>
  <c r="C191" i="1"/>
  <c r="D191" i="1" s="1"/>
  <c r="C190" i="1"/>
  <c r="F190" i="1" s="1"/>
  <c r="F189" i="1"/>
  <c r="C189" i="1"/>
  <c r="D189" i="1" s="1"/>
  <c r="C188" i="1"/>
  <c r="D188" i="1" s="1"/>
  <c r="C187" i="1"/>
  <c r="D187" i="1" s="1"/>
  <c r="C186" i="1"/>
  <c r="F186" i="1" s="1"/>
  <c r="C185" i="1"/>
  <c r="F185" i="1" s="1"/>
  <c r="C184" i="1"/>
  <c r="D184" i="1" s="1"/>
  <c r="C183" i="1"/>
  <c r="C182" i="1"/>
  <c r="D182" i="1" s="1"/>
  <c r="F181" i="1"/>
  <c r="D181" i="1"/>
  <c r="C181" i="1"/>
  <c r="C180" i="1"/>
  <c r="D180" i="1" s="1"/>
  <c r="C179" i="1"/>
  <c r="F179" i="1" s="1"/>
  <c r="C178" i="1"/>
  <c r="F178" i="1" s="1"/>
  <c r="C177" i="1"/>
  <c r="F177" i="1" s="1"/>
  <c r="C176" i="1"/>
  <c r="D176" i="1" s="1"/>
  <c r="C175" i="1"/>
  <c r="F175" i="1" s="1"/>
  <c r="C174" i="1"/>
  <c r="F174" i="1" s="1"/>
  <c r="F173" i="1"/>
  <c r="C173" i="1"/>
  <c r="D173" i="1" s="1"/>
  <c r="C172" i="1"/>
  <c r="D172" i="1" s="1"/>
  <c r="C171" i="1"/>
  <c r="D171" i="1" s="1"/>
  <c r="C170" i="1"/>
  <c r="D170" i="1" s="1"/>
  <c r="C169" i="1"/>
  <c r="D169" i="1" s="1"/>
  <c r="C168" i="1"/>
  <c r="F168" i="1" s="1"/>
  <c r="C167" i="1"/>
  <c r="C166" i="1"/>
  <c r="F165" i="1"/>
  <c r="C165" i="1"/>
  <c r="D165" i="1" s="1"/>
  <c r="C164" i="1"/>
  <c r="F164" i="1" s="1"/>
  <c r="C163" i="1"/>
  <c r="F163" i="1" s="1"/>
  <c r="C162" i="1"/>
  <c r="D162" i="1" s="1"/>
  <c r="C161" i="1"/>
  <c r="E161" i="1" s="1"/>
  <c r="F160" i="1"/>
  <c r="C160" i="1"/>
  <c r="D160" i="1" s="1"/>
  <c r="C159" i="1"/>
  <c r="F159" i="1" s="1"/>
  <c r="C158" i="1"/>
  <c r="C157" i="1"/>
  <c r="D157" i="1" s="1"/>
  <c r="C156" i="1"/>
  <c r="D156" i="1" s="1"/>
  <c r="C155" i="1"/>
  <c r="D155" i="1" s="1"/>
  <c r="C154" i="1"/>
  <c r="C153" i="1"/>
  <c r="F153" i="1" s="1"/>
  <c r="C152" i="1"/>
  <c r="D152" i="1" s="1"/>
  <c r="G151" i="1"/>
  <c r="C150" i="1"/>
  <c r="C149" i="1"/>
  <c r="C148" i="1"/>
  <c r="F148" i="1" s="1"/>
  <c r="C147" i="1"/>
  <c r="D147" i="1" s="1"/>
  <c r="C146" i="1"/>
  <c r="D146" i="1" s="1"/>
  <c r="C145" i="1"/>
  <c r="D145" i="1" s="1"/>
  <c r="C144" i="1"/>
  <c r="D144" i="1" s="1"/>
  <c r="F143" i="1"/>
  <c r="C143" i="1"/>
  <c r="D143" i="1" s="1"/>
  <c r="C142" i="1"/>
  <c r="F142" i="1" s="1"/>
  <c r="C141" i="1"/>
  <c r="C140" i="1"/>
  <c r="C139" i="1"/>
  <c r="F139" i="1" s="1"/>
  <c r="C138" i="1"/>
  <c r="F138" i="1" s="1"/>
  <c r="C137" i="1"/>
  <c r="D137" i="1" s="1"/>
  <c r="C136" i="1"/>
  <c r="F136" i="1" s="1"/>
  <c r="C135" i="1"/>
  <c r="D135" i="1" s="1"/>
  <c r="C134" i="1"/>
  <c r="D134" i="1" s="1"/>
  <c r="C133" i="1"/>
  <c r="F133" i="1" s="1"/>
  <c r="C132" i="1"/>
  <c r="D132" i="1" s="1"/>
  <c r="C131" i="1"/>
  <c r="F131" i="1" s="1"/>
  <c r="C130" i="1"/>
  <c r="F130" i="1" s="1"/>
  <c r="C129" i="1"/>
  <c r="C128" i="1"/>
  <c r="C127" i="1"/>
  <c r="F127" i="1" s="1"/>
  <c r="C126" i="1"/>
  <c r="F126" i="1" s="1"/>
  <c r="C125" i="1"/>
  <c r="F125" i="1" s="1"/>
  <c r="F124" i="1"/>
  <c r="C124" i="1"/>
  <c r="D124" i="1" s="1"/>
  <c r="C123" i="1"/>
  <c r="F123" i="1" s="1"/>
  <c r="D122" i="1"/>
  <c r="C122" i="1"/>
  <c r="C121" i="1"/>
  <c r="D121" i="1" s="1"/>
  <c r="C120" i="1"/>
  <c r="F120" i="1" s="1"/>
  <c r="C119" i="1"/>
  <c r="E119" i="1" s="1"/>
  <c r="C118" i="1"/>
  <c r="D118" i="1" s="1"/>
  <c r="C117" i="1"/>
  <c r="F117" i="1" s="1"/>
  <c r="C116" i="1"/>
  <c r="F116" i="1" s="1"/>
  <c r="C115" i="1"/>
  <c r="D115" i="1" s="1"/>
  <c r="C114" i="1"/>
  <c r="F114" i="1" s="1"/>
  <c r="F113" i="1"/>
  <c r="D113" i="1"/>
  <c r="C113" i="1"/>
  <c r="G112" i="1"/>
  <c r="C111" i="1"/>
  <c r="F111" i="1" s="1"/>
  <c r="C110" i="1"/>
  <c r="F110" i="1" s="1"/>
  <c r="C109" i="1"/>
  <c r="F109" i="1" s="1"/>
  <c r="C108" i="1"/>
  <c r="D108" i="1" s="1"/>
  <c r="C107" i="1"/>
  <c r="F107" i="1" s="1"/>
  <c r="C106" i="1"/>
  <c r="F106" i="1" s="1"/>
  <c r="C105" i="1"/>
  <c r="C104" i="1"/>
  <c r="F104" i="1" s="1"/>
  <c r="C103" i="1"/>
  <c r="D103" i="1" s="1"/>
  <c r="F102" i="1"/>
  <c r="C102" i="1"/>
  <c r="D102" i="1" s="1"/>
  <c r="C101" i="1"/>
  <c r="F101" i="1" s="1"/>
  <c r="C100" i="1"/>
  <c r="F100" i="1" s="1"/>
  <c r="C99" i="1"/>
  <c r="C98" i="1"/>
  <c r="F98" i="1" s="1"/>
  <c r="C97" i="1"/>
  <c r="C96" i="1"/>
  <c r="D96" i="1" s="1"/>
  <c r="C95" i="1"/>
  <c r="D95" i="1" s="1"/>
  <c r="C94" i="1"/>
  <c r="F94" i="1" s="1"/>
  <c r="C93" i="1"/>
  <c r="D93" i="1" s="1"/>
  <c r="C92" i="1"/>
  <c r="F92" i="1" s="1"/>
  <c r="F91" i="1"/>
  <c r="D91" i="1"/>
  <c r="C91" i="1"/>
  <c r="C90" i="1"/>
  <c r="D90" i="1" s="1"/>
  <c r="C89" i="1"/>
  <c r="F89" i="1" s="1"/>
  <c r="C88" i="1"/>
  <c r="D88" i="1" s="1"/>
  <c r="C87" i="1"/>
  <c r="F87" i="1" s="1"/>
  <c r="C86" i="1"/>
  <c r="F86" i="1" s="1"/>
  <c r="C85" i="1"/>
  <c r="F85" i="1" s="1"/>
  <c r="C84" i="1"/>
  <c r="D84" i="1" s="1"/>
  <c r="C83" i="1"/>
  <c r="D83" i="1" s="1"/>
  <c r="C82" i="1"/>
  <c r="F82" i="1" s="1"/>
  <c r="C81" i="1"/>
  <c r="C80" i="1"/>
  <c r="D80" i="1" s="1"/>
  <c r="C79" i="1"/>
  <c r="C78" i="1"/>
  <c r="F78" i="1" s="1"/>
  <c r="C77" i="1"/>
  <c r="F77" i="1" s="1"/>
  <c r="C76" i="1"/>
  <c r="F76" i="1" s="1"/>
  <c r="C75" i="1"/>
  <c r="F75" i="1" s="1"/>
  <c r="F74" i="1"/>
  <c r="C74" i="1"/>
  <c r="D74" i="1" s="1"/>
  <c r="C73" i="1"/>
  <c r="D73" i="1" s="1"/>
  <c r="C72" i="1"/>
  <c r="C71" i="1"/>
  <c r="D71" i="1" s="1"/>
  <c r="C70" i="1"/>
  <c r="D70" i="1" s="1"/>
  <c r="C69" i="1"/>
  <c r="D69" i="1" s="1"/>
  <c r="C68" i="1"/>
  <c r="C67" i="1"/>
  <c r="D67" i="1" s="1"/>
  <c r="C66" i="1"/>
  <c r="C65" i="1"/>
  <c r="F65" i="1" s="1"/>
  <c r="C64" i="1"/>
  <c r="F64" i="1" s="1"/>
  <c r="C63" i="1"/>
  <c r="C62" i="1"/>
  <c r="F62" i="1" s="1"/>
  <c r="C61" i="1"/>
  <c r="F61" i="1" s="1"/>
  <c r="C60" i="1"/>
  <c r="D60" i="1" s="1"/>
  <c r="C59" i="1"/>
  <c r="D59" i="1" s="1"/>
  <c r="C58" i="1"/>
  <c r="F58" i="1" s="1"/>
  <c r="C57" i="1"/>
  <c r="F57" i="1" s="1"/>
  <c r="C56" i="1"/>
  <c r="C55" i="1"/>
  <c r="F55" i="1" s="1"/>
  <c r="F54" i="1"/>
  <c r="C54" i="1"/>
  <c r="D54" i="1" s="1"/>
  <c r="F53" i="1"/>
  <c r="C53" i="1"/>
  <c r="D53" i="1" s="1"/>
  <c r="C52" i="1"/>
  <c r="D52" i="1" s="1"/>
  <c r="C51" i="1"/>
  <c r="D51" i="1" s="1"/>
  <c r="C50" i="1"/>
  <c r="F50" i="1" s="1"/>
  <c r="C49" i="1"/>
  <c r="F49" i="1" s="1"/>
  <c r="C48" i="1"/>
  <c r="F48" i="1" s="1"/>
  <c r="C47" i="1"/>
  <c r="D47" i="1" s="1"/>
  <c r="C46" i="1"/>
  <c r="D46" i="1" s="1"/>
  <c r="C45" i="1"/>
  <c r="F45" i="1" s="1"/>
  <c r="C44" i="1"/>
  <c r="F44" i="1" s="1"/>
  <c r="C43" i="1"/>
  <c r="D43" i="1" s="1"/>
  <c r="C42" i="1"/>
  <c r="F42" i="1" s="1"/>
  <c r="C41" i="1"/>
  <c r="C40" i="1"/>
  <c r="F40" i="1" s="1"/>
  <c r="C39" i="1"/>
  <c r="F39" i="1" s="1"/>
  <c r="C38" i="1"/>
  <c r="D38" i="1" s="1"/>
  <c r="C37" i="1"/>
  <c r="F37" i="1" s="1"/>
  <c r="C36" i="1"/>
  <c r="D36" i="1" s="1"/>
  <c r="C35" i="1"/>
  <c r="D35" i="1" s="1"/>
  <c r="F34" i="1"/>
  <c r="C34" i="1"/>
  <c r="D34" i="1" s="1"/>
  <c r="D33" i="1"/>
  <c r="C33" i="1"/>
  <c r="F33" i="1" s="1"/>
  <c r="C32" i="1"/>
  <c r="D32" i="1" s="1"/>
  <c r="C31" i="1"/>
  <c r="D31" i="1" s="1"/>
  <c r="C30" i="1"/>
  <c r="D30" i="1" s="1"/>
  <c r="C29" i="1"/>
  <c r="C28" i="1"/>
  <c r="F28" i="1" s="1"/>
  <c r="C27" i="1"/>
  <c r="F27" i="1" s="1"/>
  <c r="C26" i="1"/>
  <c r="F26" i="1" s="1"/>
  <c r="C25" i="1"/>
  <c r="C24" i="1"/>
  <c r="F24" i="1" s="1"/>
  <c r="C23" i="1"/>
  <c r="F23" i="1" s="1"/>
  <c r="F22" i="1"/>
  <c r="C22" i="1"/>
  <c r="D22" i="1" s="1"/>
  <c r="C21" i="1"/>
  <c r="F21" i="1" s="1"/>
  <c r="C20" i="1"/>
  <c r="D20" i="1" s="1"/>
  <c r="C19" i="1"/>
  <c r="D19" i="1" s="1"/>
  <c r="C18" i="1"/>
  <c r="D18" i="1" s="1"/>
  <c r="C17" i="1"/>
  <c r="F17" i="1" s="1"/>
  <c r="C16" i="1"/>
  <c r="F16" i="1" s="1"/>
  <c r="C15" i="1"/>
  <c r="F15" i="1" s="1"/>
  <c r="F14" i="1"/>
  <c r="C14" i="1"/>
  <c r="E14" i="1" s="1"/>
  <c r="C13" i="1"/>
  <c r="D13" i="1" s="1"/>
  <c r="C12" i="1"/>
  <c r="F12" i="1" s="1"/>
  <c r="C11" i="1"/>
  <c r="E11" i="1" s="1"/>
  <c r="C10" i="1"/>
  <c r="F10" i="1" s="1"/>
  <c r="C9" i="1"/>
  <c r="F9" i="1" s="1"/>
  <c r="C8" i="1"/>
  <c r="M7" i="1"/>
  <c r="F7" i="1"/>
  <c r="D7" i="1"/>
  <c r="C7" i="1"/>
  <c r="F30" i="1" l="1"/>
  <c r="D65" i="1"/>
  <c r="F431" i="1"/>
  <c r="D505" i="1"/>
  <c r="F650" i="1"/>
  <c r="D680" i="1"/>
  <c r="F18" i="1"/>
  <c r="F170" i="1"/>
  <c r="D233" i="1"/>
  <c r="F233" i="1"/>
  <c r="D316" i="1"/>
  <c r="D455" i="1"/>
  <c r="F528" i="1"/>
  <c r="F617" i="1"/>
  <c r="F692" i="1"/>
  <c r="D204" i="1"/>
  <c r="D350" i="1"/>
  <c r="D510" i="1"/>
  <c r="F589" i="1"/>
  <c r="D116" i="1"/>
  <c r="F342" i="1"/>
  <c r="D667" i="1"/>
  <c r="D699" i="1"/>
  <c r="D177" i="1"/>
  <c r="D185" i="1"/>
  <c r="D386" i="1"/>
  <c r="F397" i="1"/>
  <c r="D511" i="1"/>
  <c r="D546" i="1"/>
  <c r="F580" i="1"/>
  <c r="D591" i="1"/>
  <c r="F636" i="1"/>
  <c r="D636" i="1"/>
  <c r="D16" i="1"/>
  <c r="F95" i="1"/>
  <c r="D231" i="1"/>
  <c r="F279" i="1"/>
  <c r="F472" i="1"/>
  <c r="D535" i="1"/>
  <c r="D658" i="1"/>
  <c r="D86" i="1"/>
  <c r="D186" i="1"/>
  <c r="D243" i="1"/>
  <c r="D475" i="1"/>
  <c r="F475" i="1"/>
  <c r="F571" i="1"/>
  <c r="D582" i="1"/>
  <c r="F628" i="1"/>
  <c r="D628" i="1"/>
  <c r="D87" i="1"/>
  <c r="F232" i="1"/>
  <c r="F145" i="1"/>
  <c r="D326" i="1"/>
  <c r="D77" i="1"/>
  <c r="F223" i="1"/>
  <c r="D272" i="1"/>
  <c r="D359" i="1"/>
  <c r="D370" i="1"/>
  <c r="D413" i="1"/>
  <c r="D422" i="1"/>
  <c r="F465" i="1"/>
  <c r="D465" i="1"/>
  <c r="E506" i="1"/>
  <c r="D618" i="1"/>
  <c r="F618" i="1"/>
  <c r="D641" i="1"/>
  <c r="D681" i="1"/>
  <c r="F693" i="1"/>
  <c r="D693" i="1"/>
  <c r="F135" i="1"/>
  <c r="F146" i="1"/>
  <c r="D456" i="1"/>
  <c r="D563" i="1"/>
  <c r="D607" i="1"/>
  <c r="F150" i="1"/>
  <c r="D150" i="1"/>
  <c r="D597" i="1"/>
  <c r="F597" i="1"/>
  <c r="D415" i="1"/>
  <c r="D437" i="1"/>
  <c r="F448" i="1"/>
  <c r="F36" i="1"/>
  <c r="F184" i="1"/>
  <c r="D285" i="1"/>
  <c r="D298" i="1"/>
  <c r="D253" i="1"/>
  <c r="F253" i="1"/>
  <c r="F407" i="1"/>
  <c r="F635" i="1"/>
  <c r="F581" i="1"/>
  <c r="D109" i="1"/>
  <c r="D178" i="1"/>
  <c r="F377" i="1"/>
  <c r="F388" i="1"/>
  <c r="F157" i="1"/>
  <c r="F169" i="1"/>
  <c r="D337" i="1"/>
  <c r="F337" i="1"/>
  <c r="D319" i="1"/>
  <c r="F319" i="1"/>
  <c r="D58" i="1"/>
  <c r="D139" i="1"/>
  <c r="F176" i="1"/>
  <c r="D194" i="1"/>
  <c r="D492" i="1"/>
  <c r="F523" i="1"/>
  <c r="D523" i="1"/>
  <c r="D545" i="1"/>
  <c r="D555" i="1"/>
  <c r="D50" i="1"/>
  <c r="D94" i="1"/>
  <c r="D107" i="1"/>
  <c r="F241" i="1"/>
  <c r="D450" i="1"/>
  <c r="F450" i="1"/>
  <c r="D195" i="1"/>
  <c r="F195" i="1"/>
  <c r="F333" i="1"/>
  <c r="D438" i="1"/>
  <c r="F483" i="1"/>
  <c r="F267" i="1"/>
  <c r="E398" i="1"/>
  <c r="F398" i="1"/>
  <c r="F625" i="1"/>
  <c r="F668" i="1"/>
  <c r="D668" i="1"/>
  <c r="D39" i="1"/>
  <c r="F118" i="1"/>
  <c r="D398" i="1"/>
  <c r="D439" i="1"/>
  <c r="F439" i="1"/>
  <c r="D461" i="1"/>
  <c r="D512" i="1"/>
  <c r="F512" i="1"/>
  <c r="D75" i="1"/>
  <c r="D119" i="1"/>
  <c r="F119" i="1"/>
  <c r="D280" i="1"/>
  <c r="F324" i="1"/>
  <c r="F368" i="1"/>
  <c r="F420" i="1"/>
  <c r="F371" i="1"/>
  <c r="D371" i="1"/>
  <c r="F11" i="1"/>
  <c r="D57" i="1"/>
  <c r="D213" i="1"/>
  <c r="D349" i="1"/>
  <c r="D360" i="1"/>
  <c r="D414" i="1"/>
  <c r="D596" i="1"/>
  <c r="D642" i="1"/>
  <c r="D682" i="1"/>
  <c r="F47" i="1"/>
  <c r="F69" i="1"/>
  <c r="F137" i="1"/>
  <c r="D262" i="1"/>
  <c r="F262" i="1"/>
  <c r="F404" i="1"/>
  <c r="F566" i="1"/>
  <c r="D566" i="1"/>
  <c r="F301" i="1"/>
  <c r="D328" i="1"/>
  <c r="F361" i="1"/>
  <c r="E372" i="1"/>
  <c r="F424" i="1"/>
  <c r="F440" i="1"/>
  <c r="F458" i="1"/>
  <c r="D477" i="1"/>
  <c r="F487" i="1"/>
  <c r="F493" i="1"/>
  <c r="F500" i="1"/>
  <c r="D524" i="1"/>
  <c r="D531" i="1"/>
  <c r="D557" i="1"/>
  <c r="F567" i="1"/>
  <c r="F576" i="1"/>
  <c r="F583" i="1"/>
  <c r="F592" i="1"/>
  <c r="D611" i="1"/>
  <c r="F619" i="1"/>
  <c r="D637" i="1"/>
  <c r="D663" i="1"/>
  <c r="D677" i="1"/>
  <c r="D694" i="1"/>
  <c r="F162" i="1"/>
  <c r="F171" i="1"/>
  <c r="D179" i="1"/>
  <c r="D205" i="1"/>
  <c r="F311" i="1"/>
  <c r="F344" i="1"/>
  <c r="D380" i="1"/>
  <c r="F409" i="1"/>
  <c r="F466" i="1"/>
  <c r="E493" i="1"/>
  <c r="F507" i="1"/>
  <c r="F653" i="1"/>
  <c r="F683" i="1"/>
  <c r="F31" i="1"/>
  <c r="F52" i="1"/>
  <c r="E70" i="1"/>
  <c r="F90" i="1"/>
  <c r="D101" i="1"/>
  <c r="F70" i="1"/>
  <c r="D131" i="1"/>
  <c r="F152" i="1"/>
  <c r="D163" i="1"/>
  <c r="F188" i="1"/>
  <c r="D234" i="1"/>
  <c r="F254" i="1"/>
  <c r="F273" i="1"/>
  <c r="F282" i="1"/>
  <c r="F291" i="1"/>
  <c r="F372" i="1"/>
  <c r="D410" i="1"/>
  <c r="E541" i="1"/>
  <c r="F631" i="1"/>
  <c r="F654" i="1"/>
  <c r="F670" i="1"/>
  <c r="D539" i="1"/>
  <c r="F575" i="1"/>
  <c r="D244" i="1"/>
  <c r="D14" i="1"/>
  <c r="D502" i="1"/>
  <c r="F525" i="1"/>
  <c r="D356" i="1"/>
  <c r="D418" i="1"/>
  <c r="D436" i="1"/>
  <c r="D453" i="1"/>
  <c r="F469" i="1"/>
  <c r="D509" i="1"/>
  <c r="D516" i="1"/>
  <c r="F533" i="1"/>
  <c r="D552" i="1"/>
  <c r="F559" i="1"/>
  <c r="F601" i="1"/>
  <c r="D633" i="1"/>
  <c r="D649" i="1"/>
  <c r="D665" i="1"/>
  <c r="D530" i="1"/>
  <c r="D549" i="1"/>
  <c r="F662" i="1"/>
  <c r="F20" i="1"/>
  <c r="D40" i="1"/>
  <c r="D130" i="1"/>
  <c r="F83" i="1"/>
  <c r="D123" i="1"/>
  <c r="D218" i="1"/>
  <c r="D229" i="1"/>
  <c r="D266" i="1"/>
  <c r="D315" i="1"/>
  <c r="D330" i="1"/>
  <c r="D339" i="1"/>
  <c r="F144" i="1"/>
  <c r="D175" i="1"/>
  <c r="F247" i="1"/>
  <c r="F256" i="1"/>
  <c r="D323" i="1"/>
  <c r="F393" i="1"/>
  <c r="D460" i="1"/>
  <c r="F543" i="1"/>
  <c r="E579" i="1"/>
  <c r="D586" i="1"/>
  <c r="F639" i="1"/>
  <c r="F656" i="1"/>
  <c r="D679" i="1"/>
  <c r="F687" i="1"/>
  <c r="D713" i="1"/>
  <c r="D707" i="1"/>
  <c r="F713" i="1"/>
  <c r="D701" i="1"/>
  <c r="F709" i="1"/>
  <c r="F718" i="1"/>
  <c r="F703" i="1"/>
  <c r="D711" i="1"/>
  <c r="F704" i="1"/>
  <c r="E712" i="1"/>
  <c r="D721" i="1"/>
  <c r="F717" i="1"/>
  <c r="D702" i="1"/>
  <c r="D710" i="1"/>
  <c r="E710" i="1"/>
  <c r="F722" i="1"/>
  <c r="F708" i="1"/>
  <c r="E718" i="1"/>
  <c r="D78" i="1"/>
  <c r="D610" i="1"/>
  <c r="D286" i="1"/>
  <c r="D462" i="1"/>
  <c r="F587" i="1"/>
  <c r="D587" i="1"/>
  <c r="F602" i="1"/>
  <c r="F588" i="1"/>
  <c r="D588" i="1"/>
  <c r="F8" i="1"/>
  <c r="D8" i="1"/>
  <c r="E8" i="1"/>
  <c r="D263" i="1"/>
  <c r="F263" i="1"/>
  <c r="D26" i="1"/>
  <c r="F35" i="1"/>
  <c r="F71" i="1"/>
  <c r="D138" i="1"/>
  <c r="D318" i="1"/>
  <c r="F688" i="1"/>
  <c r="D688" i="1"/>
  <c r="D651" i="1"/>
  <c r="D312" i="1"/>
  <c r="F237" i="1"/>
  <c r="F103" i="1"/>
  <c r="F248" i="1"/>
  <c r="D248" i="1"/>
  <c r="F376" i="1"/>
  <c r="D376" i="1"/>
  <c r="D104" i="1"/>
  <c r="D412" i="1"/>
  <c r="F97" i="1"/>
  <c r="D97" i="1"/>
  <c r="D383" i="1"/>
  <c r="F313" i="1"/>
  <c r="D313" i="1"/>
  <c r="F369" i="1"/>
  <c r="F13" i="1"/>
  <c r="D66" i="1"/>
  <c r="F66" i="1"/>
  <c r="F419" i="1"/>
  <c r="D419" i="1"/>
  <c r="F532" i="1"/>
  <c r="D532" i="1"/>
  <c r="D42" i="1"/>
  <c r="D164" i="1"/>
  <c r="F215" i="1"/>
  <c r="F216" i="1"/>
  <c r="D281" i="1"/>
  <c r="F43" i="1"/>
  <c r="F79" i="1"/>
  <c r="D79" i="1"/>
  <c r="F158" i="1"/>
  <c r="D158" i="1"/>
  <c r="D208" i="1"/>
  <c r="F451" i="1"/>
  <c r="D451" i="1"/>
  <c r="F573" i="1"/>
  <c r="D573" i="1"/>
  <c r="D72" i="1"/>
  <c r="F72" i="1"/>
  <c r="D110" i="1"/>
  <c r="F375" i="1"/>
  <c r="D296" i="1"/>
  <c r="F296" i="1"/>
  <c r="D405" i="1"/>
  <c r="F470" i="1"/>
  <c r="D470" i="1"/>
  <c r="D479" i="1"/>
  <c r="F479" i="1"/>
  <c r="F526" i="1"/>
  <c r="E526" i="1"/>
  <c r="F542" i="1"/>
  <c r="E542" i="1"/>
  <c r="D542" i="1"/>
  <c r="F225" i="1"/>
  <c r="D225" i="1"/>
  <c r="D519" i="1"/>
  <c r="D399" i="1"/>
  <c r="F207" i="1"/>
  <c r="D325" i="1"/>
  <c r="D331" i="1"/>
  <c r="F457" i="1"/>
  <c r="D457" i="1"/>
  <c r="F332" i="1"/>
  <c r="E332" i="1"/>
  <c r="D657" i="1"/>
  <c r="F147" i="1"/>
  <c r="E147" i="1"/>
  <c r="F29" i="1"/>
  <c r="D29" i="1"/>
  <c r="F19" i="1"/>
  <c r="E56" i="1"/>
  <c r="D56" i="1"/>
  <c r="F56" i="1"/>
  <c r="F172" i="1"/>
  <c r="D526" i="1"/>
  <c r="F622" i="1"/>
  <c r="D622" i="1"/>
  <c r="D646" i="1"/>
  <c r="F697" i="1"/>
  <c r="D697" i="1"/>
  <c r="D719" i="1"/>
  <c r="D260" i="1"/>
  <c r="D268" i="1"/>
  <c r="D307" i="1"/>
  <c r="F343" i="1"/>
  <c r="D343" i="1"/>
  <c r="D358" i="1"/>
  <c r="F363" i="1"/>
  <c r="D395" i="1"/>
  <c r="D401" i="1"/>
  <c r="D445" i="1"/>
  <c r="F484" i="1"/>
  <c r="D490" i="1"/>
  <c r="D495" i="1"/>
  <c r="D561" i="1"/>
  <c r="D595" i="1"/>
  <c r="D603" i="1"/>
  <c r="F80" i="1"/>
  <c r="F105" i="1"/>
  <c r="D105" i="1"/>
  <c r="F288" i="1"/>
  <c r="D288" i="1"/>
  <c r="D443" i="1"/>
  <c r="D463" i="1"/>
  <c r="D590" i="1"/>
  <c r="F132" i="1"/>
  <c r="F203" i="1"/>
  <c r="D209" i="1"/>
  <c r="D249" i="1"/>
  <c r="F274" i="1"/>
  <c r="F334" i="1"/>
  <c r="D334" i="1"/>
  <c r="D357" i="1"/>
  <c r="F362" i="1"/>
  <c r="D159" i="1"/>
  <c r="D242" i="1"/>
  <c r="D464" i="1"/>
  <c r="D632" i="1"/>
  <c r="F67" i="1"/>
  <c r="D120" i="1"/>
  <c r="F166" i="1"/>
  <c r="D166" i="1"/>
  <c r="D210" i="1"/>
  <c r="F568" i="1"/>
  <c r="D68" i="1"/>
  <c r="F68" i="1"/>
  <c r="F183" i="1"/>
  <c r="D183" i="1"/>
  <c r="D190" i="1"/>
  <c r="F60" i="1"/>
  <c r="E183" i="1"/>
  <c r="D197" i="1"/>
  <c r="D230" i="1"/>
  <c r="F235" i="1"/>
  <c r="F684" i="1"/>
  <c r="D684" i="1"/>
  <c r="D44" i="1"/>
  <c r="D257" i="1"/>
  <c r="F257" i="1"/>
  <c r="F513" i="1"/>
  <c r="D520" i="1"/>
  <c r="D125" i="1"/>
  <c r="F140" i="1"/>
  <c r="D140" i="1"/>
  <c r="D306" i="1"/>
  <c r="D314" i="1"/>
  <c r="D400" i="1"/>
  <c r="F645" i="1"/>
  <c r="D98" i="1"/>
  <c r="D299" i="1"/>
  <c r="F444" i="1"/>
  <c r="D444" i="1"/>
  <c r="F521" i="1"/>
  <c r="D521" i="1"/>
  <c r="F560" i="1"/>
  <c r="D133" i="1"/>
  <c r="F182" i="1"/>
  <c r="F430" i="1"/>
  <c r="D430" i="1"/>
  <c r="F522" i="1"/>
  <c r="D522" i="1"/>
  <c r="F99" i="1"/>
  <c r="D99" i="1"/>
  <c r="D114" i="1"/>
  <c r="D126" i="1"/>
  <c r="F134" i="1"/>
  <c r="F705" i="1"/>
  <c r="D705" i="1"/>
  <c r="D48" i="1"/>
  <c r="D153" i="1"/>
  <c r="D269" i="1"/>
  <c r="F269" i="1"/>
  <c r="D292" i="1"/>
  <c r="D389" i="1"/>
  <c r="D446" i="1"/>
  <c r="F446" i="1"/>
  <c r="F538" i="1"/>
  <c r="D538" i="1"/>
  <c r="D547" i="1"/>
  <c r="D12" i="1"/>
  <c r="D17" i="1"/>
  <c r="F108" i="1"/>
  <c r="F121" i="1"/>
  <c r="E153" i="1"/>
  <c r="E302" i="1"/>
  <c r="F302" i="1"/>
  <c r="D381" i="1"/>
  <c r="D432" i="1"/>
  <c r="F485" i="1"/>
  <c r="D491" i="1"/>
  <c r="F497" i="1"/>
  <c r="D497" i="1"/>
  <c r="D562" i="1"/>
  <c r="F615" i="1"/>
  <c r="E12" i="1"/>
  <c r="D24" i="1"/>
  <c r="D49" i="1"/>
  <c r="D55" i="1"/>
  <c r="F115" i="1"/>
  <c r="F122" i="1"/>
  <c r="E122" i="1"/>
  <c r="F192" i="1"/>
  <c r="D192" i="1"/>
  <c r="F222" i="1"/>
  <c r="D222" i="1"/>
  <c r="D236" i="1"/>
  <c r="F293" i="1"/>
  <c r="D302" i="1"/>
  <c r="F345" i="1"/>
  <c r="E352" i="1"/>
  <c r="F352" i="1"/>
  <c r="D390" i="1"/>
  <c r="F390" i="1"/>
  <c r="F486" i="1"/>
  <c r="D486" i="1"/>
  <c r="F548" i="1"/>
  <c r="D548" i="1"/>
  <c r="D609" i="1"/>
  <c r="F616" i="1"/>
  <c r="D616" i="1"/>
  <c r="D287" i="1"/>
  <c r="F287" i="1"/>
  <c r="D644" i="1"/>
  <c r="D406" i="1"/>
  <c r="F81" i="1"/>
  <c r="D81" i="1"/>
  <c r="D394" i="1"/>
  <c r="D473" i="1"/>
  <c r="F473" i="1"/>
  <c r="D574" i="1"/>
  <c r="D37" i="1"/>
  <c r="F73" i="1"/>
  <c r="F141" i="1"/>
  <c r="D141" i="1"/>
  <c r="D275" i="1"/>
  <c r="F275" i="1"/>
  <c r="D378" i="1"/>
  <c r="F378" i="1"/>
  <c r="F387" i="1"/>
  <c r="D387" i="1"/>
  <c r="F429" i="1"/>
  <c r="D501" i="1"/>
  <c r="D514" i="1"/>
  <c r="D196" i="1"/>
  <c r="F320" i="1"/>
  <c r="D23" i="1"/>
  <c r="D251" i="1"/>
  <c r="F251" i="1"/>
  <c r="F84" i="1"/>
  <c r="D92" i="1"/>
  <c r="D351" i="1"/>
  <c r="F364" i="1"/>
  <c r="F496" i="1"/>
  <c r="D496" i="1"/>
  <c r="F640" i="1"/>
  <c r="D640" i="1"/>
  <c r="D61" i="1"/>
  <c r="D127" i="1"/>
  <c r="F191" i="1"/>
  <c r="D221" i="1"/>
  <c r="F25" i="1"/>
  <c r="D25" i="1"/>
  <c r="F41" i="1"/>
  <c r="D41" i="1"/>
  <c r="F154" i="1"/>
  <c r="E154" i="1"/>
  <c r="D154" i="1"/>
  <c r="F294" i="1"/>
  <c r="D294" i="1"/>
  <c r="F433" i="1"/>
  <c r="D433" i="1"/>
  <c r="F540" i="1"/>
  <c r="D540" i="1"/>
  <c r="F626" i="1"/>
  <c r="D626" i="1"/>
  <c r="F695" i="1"/>
  <c r="D695" i="1"/>
  <c r="F624" i="1"/>
  <c r="D624" i="1"/>
  <c r="F604" i="1"/>
  <c r="D604" i="1"/>
  <c r="F238" i="1"/>
  <c r="D238" i="1"/>
  <c r="D335" i="1"/>
  <c r="D689" i="1"/>
  <c r="D714" i="1"/>
  <c r="F321" i="1"/>
  <c r="D321" i="1"/>
  <c r="F365" i="1"/>
  <c r="D365" i="1"/>
  <c r="F408" i="1"/>
  <c r="D408" i="1"/>
  <c r="D550" i="1"/>
  <c r="F605" i="1"/>
  <c r="D605" i="1"/>
  <c r="F661" i="1"/>
  <c r="D661" i="1"/>
  <c r="F167" i="1"/>
  <c r="D167" i="1"/>
  <c r="D174" i="1"/>
  <c r="F308" i="1"/>
  <c r="D347" i="1"/>
  <c r="D396" i="1"/>
  <c r="F648" i="1"/>
  <c r="D648" i="1"/>
  <c r="F696" i="1"/>
  <c r="D696" i="1"/>
  <c r="D720" i="1"/>
  <c r="D27" i="1"/>
  <c r="F32" i="1"/>
  <c r="F38" i="1"/>
  <c r="D45" i="1"/>
  <c r="F51" i="1"/>
  <c r="D62" i="1"/>
  <c r="F93" i="1"/>
  <c r="F129" i="1"/>
  <c r="D129" i="1"/>
  <c r="D161" i="1"/>
  <c r="F276" i="1"/>
  <c r="D276" i="1"/>
  <c r="F421" i="1"/>
  <c r="D427" i="1"/>
  <c r="D434" i="1"/>
  <c r="D504" i="1"/>
  <c r="D536" i="1"/>
  <c r="D21" i="1"/>
  <c r="F63" i="1"/>
  <c r="D63" i="1"/>
  <c r="D82" i="1"/>
  <c r="F88" i="1"/>
  <c r="D100" i="1"/>
  <c r="D106" i="1"/>
  <c r="D136" i="1"/>
  <c r="D142" i="1"/>
  <c r="D148" i="1"/>
  <c r="F155" i="1"/>
  <c r="F161" i="1"/>
  <c r="D168" i="1"/>
  <c r="F180" i="1"/>
  <c r="D199" i="1"/>
  <c r="D219" i="1"/>
  <c r="F226" i="1"/>
  <c r="D240" i="1"/>
  <c r="D246" i="1"/>
  <c r="D252" i="1"/>
  <c r="D258" i="1"/>
  <c r="D264" i="1"/>
  <c r="D270" i="1"/>
  <c r="D290" i="1"/>
  <c r="D297" i="1"/>
  <c r="F309" i="1"/>
  <c r="F353" i="1"/>
  <c r="D367" i="1"/>
  <c r="D379" i="1"/>
  <c r="F384" i="1"/>
  <c r="D391" i="1"/>
  <c r="E427" i="1"/>
  <c r="D467" i="1"/>
  <c r="D474" i="1"/>
  <c r="D480" i="1"/>
  <c r="D578" i="1"/>
  <c r="D620" i="1"/>
  <c r="F211" i="1"/>
  <c r="D211" i="1"/>
  <c r="D9" i="1"/>
  <c r="D128" i="1"/>
  <c r="F128" i="1"/>
  <c r="F447" i="1"/>
  <c r="D447" i="1"/>
  <c r="F627" i="1"/>
  <c r="E627" i="1"/>
  <c r="D212" i="1"/>
  <c r="F200" i="1"/>
  <c r="D200" i="1"/>
  <c r="F354" i="1"/>
  <c r="D354" i="1"/>
  <c r="D544" i="1"/>
  <c r="F544" i="1"/>
  <c r="F598" i="1"/>
  <c r="D598" i="1"/>
  <c r="F690" i="1"/>
  <c r="D690" i="1"/>
  <c r="D11" i="1"/>
  <c r="D28" i="1"/>
  <c r="F46" i="1"/>
  <c r="D64" i="1"/>
  <c r="D76" i="1"/>
  <c r="D89" i="1"/>
  <c r="D149" i="1"/>
  <c r="F149" i="1"/>
  <c r="F156" i="1"/>
  <c r="F187" i="1"/>
  <c r="F271" i="1"/>
  <c r="D329" i="1"/>
  <c r="D336" i="1"/>
  <c r="F379" i="1"/>
  <c r="D385" i="1"/>
  <c r="D416" i="1"/>
  <c r="F441" i="1"/>
  <c r="D441" i="1"/>
  <c r="D449" i="1"/>
  <c r="F482" i="1"/>
  <c r="D482" i="1"/>
  <c r="D537" i="1"/>
  <c r="D572" i="1"/>
  <c r="F599" i="1"/>
  <c r="D599" i="1"/>
  <c r="D608" i="1"/>
  <c r="D614" i="1"/>
  <c r="F629" i="1"/>
  <c r="D629" i="1"/>
  <c r="D669" i="1"/>
  <c r="F676" i="1"/>
  <c r="D676" i="1"/>
  <c r="D715" i="1"/>
  <c r="F647" i="1"/>
  <c r="D647" i="1"/>
  <c r="D111" i="1"/>
  <c r="D117" i="1"/>
  <c r="D198" i="1"/>
  <c r="D556" i="1"/>
  <c r="E10" i="1"/>
  <c r="D10" i="1"/>
  <c r="F227" i="1"/>
  <c r="D227" i="1"/>
  <c r="F310" i="1"/>
  <c r="D310" i="1"/>
  <c r="F481" i="1"/>
  <c r="D481" i="1"/>
  <c r="F675" i="1"/>
  <c r="D675" i="1"/>
  <c r="D220" i="1"/>
  <c r="D259" i="1"/>
  <c r="F265" i="1"/>
  <c r="D304" i="1"/>
  <c r="F428" i="1"/>
  <c r="E475" i="1"/>
  <c r="D506" i="1"/>
  <c r="D518" i="1"/>
  <c r="F585" i="1"/>
  <c r="D585" i="1"/>
  <c r="F630" i="1"/>
  <c r="D630" i="1"/>
  <c r="F659" i="1"/>
  <c r="D659" i="1"/>
  <c r="F660" i="1"/>
  <c r="D660" i="1"/>
  <c r="E691" i="1"/>
  <c r="D691" i="1"/>
  <c r="F476" i="1"/>
  <c r="D476" i="1"/>
  <c r="D685" i="1"/>
  <c r="F691" i="1"/>
  <c r="D700" i="1"/>
  <c r="D706" i="1"/>
  <c r="D716" i="1"/>
  <c r="F564" i="1"/>
  <c r="D564" i="1"/>
  <c r="E716" i="1"/>
  <c r="D300" i="1"/>
  <c r="D712" i="1"/>
  <c r="D278" i="1"/>
  <c r="D289" i="1"/>
  <c r="F471" i="1"/>
  <c r="D471" i="1"/>
  <c r="F606" i="1"/>
  <c r="D606" i="1"/>
  <c r="D85" i="1"/>
  <c r="F96" i="1"/>
  <c r="D228" i="1"/>
  <c r="F239" i="1"/>
  <c r="D355" i="1"/>
  <c r="F366" i="1"/>
  <c r="F517" i="1"/>
  <c r="D517" i="1"/>
  <c r="D565" i="1"/>
  <c r="F643" i="1"/>
  <c r="D643" i="1"/>
</calcChain>
</file>

<file path=xl/sharedStrings.xml><?xml version="1.0" encoding="utf-8"?>
<sst xmlns="http://schemas.openxmlformats.org/spreadsheetml/2006/main" count="3026" uniqueCount="2261">
  <si>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</si>
  <si>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</si>
  <si>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</si>
  <si>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</si>
  <si>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</si>
  <si>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</si>
  <si>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</si>
  <si>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</si>
  <si>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</si>
  <si>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</si>
  <si>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</si>
  <si>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</si>
  <si>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</si>
  <si>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</si>
  <si>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</si>
  <si>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</si>
  <si>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</si>
  <si>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</si>
  <si>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</si>
  <si>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</si>
  <si>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</si>
  <si>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</si>
  <si>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</si>
  <si>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</si>
  <si>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</si>
  <si>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</si>
  <si>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</si>
  <si>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</si>
  <si>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</si>
  <si>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</si>
  <si>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</si>
  <si>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</si>
  <si>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</si>
  <si>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</si>
  <si>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</si>
  <si>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</si>
  <si>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</si>
  <si>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</si>
  <si>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</si>
  <si>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</si>
  <si>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</si>
  <si>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</si>
  <si>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</si>
  <si>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</si>
  <si>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</si>
  <si>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</si>
  <si>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</si>
  <si>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</si>
  <si>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</si>
  <si>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</si>
  <si>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</si>
  <si>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</si>
  <si>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</si>
  <si>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</si>
  <si>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</si>
  <si>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</si>
  <si>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</si>
  <si>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</si>
  <si>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</si>
  <si>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</si>
  <si>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</si>
  <si>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</si>
  <si>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</si>
  <si>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</si>
  <si>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</si>
  <si>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</si>
  <si>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</si>
  <si>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</si>
  <si>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</si>
  <si>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</si>
  <si>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</si>
  <si>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</si>
  <si>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</si>
  <si>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</si>
  <si>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</si>
  <si>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</si>
  <si>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</si>
  <si>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</si>
  <si>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</si>
  <si>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</si>
  <si>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</si>
  <si>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</si>
  <si>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</si>
  <si>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</si>
  <si>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</si>
  <si>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</si>
  <si>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</si>
  <si>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</si>
  <si>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</si>
  <si>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</si>
  <si>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</si>
  <si>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</si>
  <si>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</si>
  <si>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</si>
  <si>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</si>
  <si>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</si>
  <si>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</si>
  <si>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</si>
  <si>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</si>
  <si>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</si>
  <si>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</si>
  <si>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</si>
  <si>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</si>
  <si>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</si>
  <si>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</si>
  <si>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</si>
  <si>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</si>
  <si>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</si>
  <si>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</si>
  <si>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</si>
  <si>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</si>
  <si>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</si>
  <si>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</si>
  <si>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</si>
  <si>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</si>
  <si>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</si>
  <si>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</si>
  <si>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</si>
  <si>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</si>
  <si>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</si>
  <si>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</si>
  <si>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</si>
  <si>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</si>
  <si>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</si>
  <si>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</si>
  <si>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</si>
  <si>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</si>
  <si>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</si>
  <si>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</si>
  <si>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</si>
  <si>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</si>
  <si>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</si>
  <si>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</si>
  <si>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</si>
  <si>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</si>
  <si>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</si>
  <si>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</si>
  <si>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</si>
  <si>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</si>
  <si>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</si>
  <si>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</si>
  <si>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</si>
  <si>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</si>
  <si>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</si>
  <si>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</si>
  <si>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</si>
  <si>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</si>
  <si>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</si>
  <si>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</si>
  <si>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</si>
  <si>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</si>
  <si>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</si>
  <si>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</si>
  <si>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</si>
  <si>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</si>
  <si>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</si>
  <si>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</si>
  <si>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</si>
  <si>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</si>
  <si>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</si>
  <si>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</si>
  <si>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</si>
  <si>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</si>
  <si>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</si>
  <si>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</si>
  <si>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</si>
  <si>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</si>
  <si>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</si>
  <si>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</si>
  <si>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</si>
  <si>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</si>
  <si>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</si>
  <si>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</si>
  <si>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</si>
  <si>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</si>
  <si>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</si>
  <si>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</si>
  <si>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</si>
  <si>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</si>
  <si>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</si>
  <si>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</si>
  <si>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</si>
  <si>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</si>
  <si>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</si>
  <si>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</si>
  <si>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</si>
  <si>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</si>
  <si>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</si>
  <si>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</si>
  <si>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</si>
  <si>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</si>
  <si>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</si>
  <si>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</si>
  <si>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</si>
  <si>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</si>
  <si>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</si>
  <si>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</si>
  <si>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</si>
  <si>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</si>
  <si>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</si>
  <si>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</si>
  <si>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</si>
  <si>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</si>
  <si>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</si>
  <si>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</si>
  <si>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</si>
  <si>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</si>
  <si>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</si>
  <si>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</si>
  <si>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</si>
  <si>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</si>
  <si>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</si>
  <si>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</si>
  <si>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</si>
  <si>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</si>
  <si>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</si>
  <si>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</si>
  <si>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</si>
  <si>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</si>
  <si>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</si>
  <si>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</si>
  <si>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</si>
  <si>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</si>
  <si>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</si>
  <si>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</si>
  <si>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</si>
  <si>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</si>
  <si>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</si>
  <si>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</si>
  <si>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</si>
  <si>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</si>
  <si>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</si>
  <si>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</si>
  <si>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</si>
  <si>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</si>
  <si>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</si>
  <si>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</si>
  <si>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</si>
  <si>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</si>
  <si>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</si>
  <si>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</si>
  <si>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</si>
  <si>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</si>
  <si>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</si>
  <si>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</si>
  <si>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</si>
  <si>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</si>
  <si>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</si>
  <si>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</si>
  <si>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</si>
  <si>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</si>
  <si>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</si>
  <si>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</si>
  <si>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</si>
  <si>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</si>
  <si>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</si>
  <si>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</si>
  <si>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</si>
  <si>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</si>
  <si>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</si>
  <si>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</si>
  <si>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</si>
  <si>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</si>
  <si>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</si>
  <si>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</si>
  <si>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</si>
  <si>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</si>
  <si>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</si>
  <si>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</si>
  <si>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</si>
  <si>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</si>
  <si>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</si>
  <si>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</si>
  <si>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</si>
  <si>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</si>
  <si>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</si>
  <si>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</si>
  <si>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</si>
  <si>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</si>
  <si>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</si>
  <si>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</si>
  <si>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</si>
  <si>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</si>
  <si>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</si>
  <si>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</si>
  <si>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</si>
  <si>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</si>
  <si>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</si>
  <si>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</si>
  <si>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</si>
  <si>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</si>
  <si>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</si>
  <si>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</si>
  <si>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</si>
  <si>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</si>
  <si>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</si>
  <si>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</si>
  <si>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</si>
  <si>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</si>
  <si>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</si>
  <si>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</si>
  <si>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</si>
  <si>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</si>
  <si>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</si>
  <si>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</si>
  <si>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</si>
  <si>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</si>
  <si>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</si>
  <si>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</si>
  <si>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</si>
  <si>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</si>
  <si>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</si>
  <si>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</si>
  <si>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</si>
  <si>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</si>
  <si>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</si>
  <si>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</si>
  <si>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</si>
  <si>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</si>
  <si>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</si>
  <si>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</si>
  <si>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</si>
  <si>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</si>
  <si>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</si>
  <si>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</si>
  <si>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</si>
  <si>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</si>
  <si>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</si>
  <si>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</si>
  <si>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</si>
  <si>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</si>
  <si>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</si>
  <si>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</si>
  <si>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</si>
  <si>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</si>
  <si>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</si>
  <si>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</si>
  <si>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</si>
  <si>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</si>
  <si>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</si>
  <si>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</si>
  <si>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</si>
  <si>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</si>
  <si>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</si>
  <si>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</si>
  <si>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</si>
  <si>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</si>
  <si>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</si>
  <si>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</si>
  <si>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</si>
  <si>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</si>
  <si>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</si>
  <si>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</si>
  <si>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</si>
  <si>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</si>
  <si>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</si>
  <si>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</si>
  <si>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</si>
  <si>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</si>
  <si>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</si>
  <si>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</si>
  <si>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</si>
  <si>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</si>
  <si>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</si>
  <si>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</si>
  <si>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</si>
  <si>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</si>
  <si>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</si>
  <si>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</si>
  <si>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</si>
  <si>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</si>
  <si>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</si>
  <si>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</si>
  <si>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</si>
  <si>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</si>
  <si>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</si>
  <si>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</si>
  <si>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</si>
  <si>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</si>
  <si>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</si>
  <si>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</si>
  <si>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</si>
  <si>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</si>
  <si>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</si>
  <si>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</si>
  <si>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</si>
  <si>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</si>
  <si>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</si>
  <si>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</si>
  <si>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</si>
  <si>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</si>
  <si>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</si>
  <si>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</si>
  <si>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</si>
  <si>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</si>
  <si>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</si>
  <si>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</si>
  <si>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</si>
  <si>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</si>
  <si>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</si>
  <si>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</si>
  <si>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</si>
  <si>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</si>
  <si>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</si>
  <si>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</si>
  <si>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</si>
  <si>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</si>
  <si>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</si>
  <si>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</si>
  <si>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</si>
  <si>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</si>
  <si>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</si>
  <si>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</si>
  <si>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</si>
  <si>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</si>
  <si>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</si>
  <si>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</si>
  <si>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</si>
  <si>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</si>
  <si>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</si>
  <si>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</si>
  <si>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</si>
  <si>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</si>
  <si>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</si>
  <si>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</si>
  <si>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</si>
  <si>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</si>
  <si>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</si>
  <si>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</si>
  <si>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</si>
  <si>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</si>
  <si>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</si>
  <si>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</si>
  <si>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</si>
  <si>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</si>
  <si>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</si>
  <si>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</si>
  <si>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</si>
  <si>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</si>
  <si>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</si>
  <si>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</si>
  <si>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</si>
  <si>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</si>
  <si>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</si>
  <si>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</si>
  <si>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</si>
  <si>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</si>
  <si>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</si>
  <si>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</si>
  <si>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</si>
  <si>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</si>
  <si>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</si>
  <si>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</si>
  <si>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</si>
  <si>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</si>
  <si>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</si>
  <si>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</si>
  <si>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</si>
  <si>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</si>
  <si>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</si>
  <si>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</si>
  <si>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</si>
  <si>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</si>
  <si>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</si>
  <si>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</si>
  <si>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</si>
  <si>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</si>
  <si>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</si>
  <si>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</si>
  <si>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</si>
  <si>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</si>
  <si>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</si>
  <si>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</si>
  <si>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</si>
  <si>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</si>
  <si>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</si>
  <si>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</si>
  <si>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</si>
  <si>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</si>
  <si>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</si>
  <si>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</si>
  <si>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</si>
  <si>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</si>
  <si>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</si>
  <si>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</si>
  <si>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</si>
  <si>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</si>
  <si>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</si>
  <si>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</si>
  <si>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</si>
  <si>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</si>
  <si>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</si>
  <si>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</si>
  <si>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</si>
  <si>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</si>
  <si>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</si>
  <si>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</si>
  <si>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</si>
  <si>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</si>
  <si>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</si>
  <si>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</si>
  <si>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</si>
  <si>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</si>
  <si>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</si>
  <si>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</si>
  <si>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</si>
  <si>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</si>
  <si>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</si>
  <si>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</si>
  <si>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</si>
  <si>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</si>
  <si>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</si>
  <si>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</si>
  <si>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</si>
  <si>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</si>
  <si>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</si>
  <si>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</si>
  <si>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</si>
  <si>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</si>
  <si>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</si>
  <si>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</si>
  <si>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</si>
  <si>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</si>
  <si>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</si>
  <si>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</si>
  <si>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</si>
  <si>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</si>
  <si>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</si>
  <si>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</si>
  <si>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</si>
  <si>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</si>
  <si>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</si>
  <si>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</si>
  <si>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</si>
  <si>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</si>
  <si>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</si>
  <si>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</si>
  <si>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</si>
  <si>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</si>
  <si>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</si>
  <si>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</si>
  <si>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</si>
  <si>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</si>
  <si>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</si>
  <si>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</si>
  <si>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</si>
  <si>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</si>
  <si>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</si>
  <si>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</si>
  <si>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</si>
  <si>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</si>
  <si>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</si>
  <si>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</si>
  <si>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</si>
  <si>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</si>
  <si>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</si>
  <si>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</si>
  <si>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</si>
  <si>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</si>
  <si>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</si>
  <si>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</si>
  <si>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</si>
  <si>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</si>
  <si>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</si>
  <si>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</si>
  <si>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</si>
  <si>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</si>
  <si>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</si>
  <si>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</si>
  <si>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</si>
  <si>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</si>
  <si>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</si>
  <si>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</si>
  <si>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</si>
  <si>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</si>
  <si>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</si>
  <si>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</si>
  <si>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</si>
  <si>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</si>
  <si>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</si>
  <si>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</si>
  <si>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</si>
  <si>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</si>
  <si>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</si>
  <si>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</si>
  <si>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</si>
  <si>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</si>
  <si>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</si>
  <si>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</si>
  <si>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</si>
  <si>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</si>
  <si>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</si>
  <si>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</si>
  <si>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</si>
  <si>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</si>
  <si>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</si>
  <si>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</si>
  <si>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</si>
  <si>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</si>
  <si>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</si>
  <si>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</si>
  <si>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</si>
  <si>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</si>
  <si>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</si>
  <si>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</si>
  <si>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</si>
  <si>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</si>
  <si>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</si>
  <si>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</si>
  <si>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</si>
  <si>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</si>
  <si>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</si>
  <si>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</si>
  <si>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</si>
  <si>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</si>
  <si>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</si>
  <si>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</si>
  <si>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</si>
  <si>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</si>
  <si>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</si>
  <si>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</si>
  <si>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</si>
  <si>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</si>
  <si>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</si>
  <si>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</si>
  <si>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</si>
  <si>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</si>
  <si>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</si>
  <si>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</si>
  <si>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</si>
  <si>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</si>
  <si>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</si>
  <si>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</si>
  <si>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</si>
  <si>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</si>
  <si>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</si>
  <si>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</si>
  <si>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</si>
  <si>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</si>
  <si>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</si>
  <si>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</si>
  <si>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</si>
  <si>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</si>
  <si>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</si>
  <si>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</si>
  <si>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</si>
  <si>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</si>
  <si>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</si>
  <si>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</si>
  <si>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</si>
  <si>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</si>
  <si>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</si>
  <si>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</si>
  <si>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</si>
  <si>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</si>
  <si>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</si>
  <si>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</si>
  <si>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</si>
  <si>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</si>
  <si>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</si>
  <si>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</si>
  <si>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</si>
  <si>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</si>
  <si>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</si>
  <si>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</si>
  <si>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</si>
  <si>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</si>
  <si>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</si>
  <si>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</si>
  <si>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</si>
  <si>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</si>
  <si>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</si>
  <si>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</si>
  <si>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</si>
  <si>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</si>
  <si>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</si>
  <si>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</si>
  <si>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</si>
  <si>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</si>
  <si>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</si>
  <si>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</si>
  <si>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</si>
  <si>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</si>
  <si>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</si>
  <si>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</si>
  <si>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</si>
  <si>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</si>
  <si>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</si>
  <si>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</si>
  <si>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</si>
  <si>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</si>
  <si>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</si>
  <si>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</si>
  <si>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</si>
  <si>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</si>
  <si>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</si>
  <si>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</si>
  <si>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</si>
  <si>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</si>
  <si>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</si>
  <si>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</si>
  <si>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</si>
  <si>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</si>
  <si>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</si>
  <si>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</si>
  <si>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</si>
  <si>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</si>
  <si>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</si>
  <si>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</si>
  <si>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</si>
  <si>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</si>
  <si>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</si>
  <si>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</si>
  <si>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</si>
  <si>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</si>
  <si>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</si>
  <si>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</si>
  <si>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</si>
  <si>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</si>
  <si>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</si>
  <si>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</si>
  <si>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</si>
  <si>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</si>
  <si>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</si>
  <si>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</si>
  <si>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</si>
  <si>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</si>
  <si>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</si>
  <si>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</si>
  <si>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</si>
  <si>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</si>
  <si>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</si>
  <si>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</si>
  <si>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</si>
  <si>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</si>
  <si>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</si>
  <si>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</si>
  <si>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</si>
  <si>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</si>
  <si>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</si>
  <si>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</si>
  <si>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</si>
  <si>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</si>
  <si>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</si>
  <si>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</si>
  <si>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</si>
  <si>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</si>
  <si>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</si>
  <si>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</si>
  <si>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</si>
  <si>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</si>
  <si>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</si>
  <si>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</si>
  <si>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</si>
  <si>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</si>
  <si>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</si>
  <si>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</si>
  <si>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</si>
  <si>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</si>
  <si>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</si>
  <si>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</si>
  <si>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</si>
  <si>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</si>
  <si>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</si>
  <si>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</si>
  <si>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</si>
  <si>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</si>
  <si>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</si>
  <si>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</si>
  <si>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</si>
  <si>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</si>
  <si>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</si>
  <si>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</si>
  <si>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</si>
  <si>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</si>
  <si>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</si>
  <si>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</si>
  <si>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</si>
  <si>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</si>
  <si>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</si>
  <si>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</si>
  <si>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</si>
  <si>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</si>
  <si>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</si>
  <si>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</si>
  <si>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</si>
  <si>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</si>
  <si>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</si>
  <si>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</si>
  <si>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</si>
  <si>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</si>
  <si>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</si>
  <si>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</si>
  <si>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</si>
  <si>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</si>
  <si>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</si>
  <si>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</si>
  <si>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</si>
  <si>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</si>
  <si>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</si>
  <si>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</si>
  <si>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</si>
  <si>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</si>
  <si>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</si>
  <si>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</si>
  <si>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</si>
  <si>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</si>
  <si>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</si>
  <si>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</si>
  <si>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</si>
  <si>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</si>
  <si>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</si>
  <si>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</si>
  <si>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</si>
  <si>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</si>
  <si>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</si>
  <si>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</si>
  <si>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</si>
  <si>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</si>
  <si>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</si>
  <si>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</si>
  <si>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</si>
  <si>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</si>
  <si>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</si>
  <si>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</si>
  <si>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</si>
  <si>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</si>
  <si>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</si>
  <si>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</si>
  <si>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</si>
  <si>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</si>
  <si>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</si>
  <si>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</si>
  <si>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</si>
  <si>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</si>
  <si>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</si>
  <si>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</si>
  <si>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</si>
  <si>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</si>
  <si>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</si>
  <si>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</si>
  <si>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</si>
  <si>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</si>
  <si>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</si>
  <si>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</si>
  <si>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</si>
  <si>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</si>
  <si>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</si>
  <si>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</si>
  <si>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</si>
  <si>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</si>
  <si>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</si>
  <si>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</si>
  <si>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</si>
  <si>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</si>
  <si>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</si>
  <si>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</si>
  <si>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</si>
  <si>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</si>
  <si>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</si>
  <si>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</si>
  <si>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</si>
  <si>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</si>
  <si>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</si>
  <si>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</si>
  <si>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</si>
  <si>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</si>
  <si>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</si>
  <si>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</si>
  <si>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</si>
  <si>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</si>
  <si>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</si>
  <si>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</si>
  <si>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</si>
  <si>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</si>
  <si>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</si>
  <si>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</si>
  <si>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</si>
  <si>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</si>
  <si>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</si>
  <si>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</si>
  <si>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</si>
  <si>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</si>
  <si>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</si>
  <si>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</si>
  <si>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</si>
  <si>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</si>
  <si>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</si>
  <si>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</si>
  <si>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</si>
  <si>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</si>
  <si>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</si>
  <si>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</si>
  <si>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</si>
  <si>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</si>
  <si>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</si>
  <si>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</si>
  <si>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</si>
  <si>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</si>
  <si>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</si>
  <si>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</si>
  <si>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</si>
  <si>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</si>
  <si>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</si>
  <si>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</si>
  <si>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</si>
  <si>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</si>
  <si>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</si>
  <si>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</si>
  <si>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</si>
  <si>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</si>
  <si>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</si>
  <si>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</si>
  <si>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</si>
  <si>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</si>
  <si>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</si>
  <si>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</si>
  <si>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</si>
  <si>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</si>
  <si>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</si>
  <si>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</si>
  <si>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</si>
  <si>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</si>
  <si>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</si>
  <si>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</si>
  <si>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</si>
  <si>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</si>
  <si>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</si>
  <si>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</si>
  <si>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</si>
  <si>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</si>
  <si>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</si>
  <si>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</si>
  <si>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</si>
  <si>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</si>
  <si>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</si>
  <si>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</si>
  <si>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</si>
  <si>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</si>
  <si>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</si>
  <si>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</si>
  <si>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</si>
  <si>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</si>
  <si>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</si>
  <si>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</si>
  <si>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</si>
  <si>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</si>
  <si>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</si>
  <si>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</si>
  <si>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</si>
  <si>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</si>
  <si>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</si>
  <si>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</si>
  <si>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</si>
  <si>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</si>
  <si>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</si>
  <si>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</si>
  <si>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</si>
  <si>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</si>
  <si>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</si>
  <si>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</si>
  <si>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</si>
  <si>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</si>
  <si>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</si>
  <si>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</si>
  <si>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</si>
  <si>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</si>
  <si>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</si>
  <si>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</si>
  <si>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</si>
  <si>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</si>
  <si>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</si>
  <si>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</si>
  <si>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</si>
  <si>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</si>
  <si>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</si>
  <si>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</si>
  <si>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</si>
  <si>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</si>
  <si>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</si>
  <si>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</si>
  <si>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</si>
  <si>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</si>
  <si>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</si>
  <si>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</si>
  <si>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</si>
  <si>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</si>
  <si>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</si>
  <si>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</si>
  <si>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</si>
  <si>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</si>
  <si>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</si>
  <si>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</si>
  <si>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</si>
  <si>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</si>
  <si>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</si>
  <si>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</si>
  <si>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</si>
  <si>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</si>
  <si>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</si>
  <si>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</si>
  <si>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</si>
  <si>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</si>
  <si>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</si>
  <si>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</si>
  <si>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</si>
  <si>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</si>
  <si>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</si>
  <si>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</si>
  <si>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</si>
  <si>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</si>
  <si>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</si>
  <si>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</si>
  <si>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</si>
  <si>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</si>
  <si>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</si>
  <si>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</si>
  <si>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</si>
  <si>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</si>
  <si>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</si>
  <si>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</si>
  <si>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</si>
  <si>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</si>
  <si>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</si>
  <si>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</si>
  <si>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</si>
  <si>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</si>
  <si>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</si>
  <si>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</si>
  <si>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</si>
  <si>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</si>
  <si>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</si>
  <si>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</si>
  <si>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</si>
  <si>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</si>
  <si>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</si>
  <si>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</si>
  <si>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</si>
  <si>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</si>
  <si>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</si>
  <si>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</si>
  <si>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</si>
  <si>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</si>
  <si>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</si>
  <si>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</si>
  <si>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</si>
  <si>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</si>
  <si>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</si>
  <si>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</si>
  <si>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</si>
  <si>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</si>
  <si>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</si>
  <si>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</si>
  <si>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</si>
  <si>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</si>
  <si>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</si>
  <si>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</si>
  <si>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</si>
  <si>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</si>
  <si>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</si>
  <si>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</si>
  <si>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</si>
  <si>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</si>
  <si>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</si>
  <si>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</si>
  <si>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</si>
  <si>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</si>
  <si>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</si>
  <si>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</si>
  <si>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</si>
  <si>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</si>
  <si>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</si>
  <si>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</si>
  <si>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</si>
  <si>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</si>
  <si>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</si>
  <si>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</si>
  <si>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</si>
  <si>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</si>
  <si>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</si>
  <si>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</si>
  <si>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</si>
  <si>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</si>
  <si>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</si>
  <si>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</si>
  <si>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</si>
  <si>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</si>
  <si>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</si>
  <si>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</si>
  <si>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</si>
  <si>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</si>
  <si>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</si>
  <si>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</si>
  <si>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</si>
  <si>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</si>
  <si>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</si>
  <si>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</si>
  <si>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</si>
  <si>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</si>
  <si>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</si>
  <si>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</si>
  <si>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</si>
  <si>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</si>
  <si>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</si>
  <si>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</si>
  <si>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</si>
  <si>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</si>
  <si>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</si>
  <si>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</si>
  <si>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</si>
  <si>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</si>
  <si>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</si>
  <si>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</si>
  <si>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</si>
  <si>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</si>
  <si>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</si>
  <si>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</si>
  <si>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</si>
  <si>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</si>
  <si>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</si>
  <si>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</si>
  <si>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</si>
  <si>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</si>
  <si>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</si>
  <si>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</si>
  <si>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</si>
  <si>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</si>
  <si>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</si>
  <si>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</si>
  <si>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</si>
  <si>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</si>
  <si>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</si>
  <si>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</si>
  <si>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</si>
  <si>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</si>
  <si>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</si>
  <si>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</si>
  <si>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</si>
  <si>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</si>
  <si>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</si>
  <si>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</si>
  <si>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</si>
  <si>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</si>
  <si>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</si>
  <si>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</si>
  <si>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</si>
  <si>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</si>
  <si>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</si>
  <si>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</si>
  <si>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</si>
  <si>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</si>
  <si>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</si>
  <si>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</si>
  <si>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</si>
  <si>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</si>
  <si>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</si>
  <si>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</si>
  <si>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</si>
  <si>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</si>
  <si>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</si>
  <si>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</si>
  <si>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</si>
  <si>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</si>
  <si>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</si>
  <si>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</si>
  <si>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</si>
  <si>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</si>
  <si>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</si>
  <si>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</si>
  <si>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</si>
  <si>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</si>
  <si>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</si>
  <si>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</si>
  <si>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</si>
  <si>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</si>
  <si>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</si>
  <si>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</si>
  <si>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</si>
  <si>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</si>
  <si>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</si>
  <si>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</si>
  <si>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</si>
  <si>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</si>
  <si>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</si>
  <si>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</si>
  <si>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</si>
  <si>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</si>
  <si>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</si>
  <si>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</si>
  <si>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</si>
  <si>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</si>
  <si>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</si>
  <si>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</si>
  <si>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</si>
  <si>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</si>
  <si>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</si>
  <si>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</si>
  <si>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</si>
  <si>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</si>
  <si>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</si>
  <si>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</si>
  <si>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</si>
  <si>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</si>
  <si>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</si>
  <si>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</si>
  <si>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</si>
  <si>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</si>
  <si>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</si>
  <si>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</si>
  <si>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</si>
  <si>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</si>
  <si>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</si>
  <si>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</si>
  <si>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</si>
  <si>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</si>
  <si>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</si>
  <si>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</si>
  <si>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</si>
  <si>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</si>
  <si>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</si>
  <si>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</si>
  <si>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</si>
  <si>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</si>
  <si>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</si>
  <si>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</si>
  <si>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</si>
  <si>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</si>
  <si>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</si>
  <si>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</si>
  <si>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</si>
  <si>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</si>
  <si>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</si>
  <si>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</si>
  <si>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</si>
  <si>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</si>
  <si>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</si>
  <si>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</si>
  <si>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</si>
  <si>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</si>
  <si>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</si>
  <si>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</si>
  <si>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</si>
  <si>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</si>
  <si>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</si>
  <si>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</si>
  <si>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</si>
  <si>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</si>
  <si>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</si>
  <si>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</si>
  <si>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</si>
  <si>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</si>
  <si>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</si>
  <si>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</si>
  <si>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</si>
  <si>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</si>
  <si>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</si>
  <si>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</si>
  <si>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</si>
  <si>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</si>
  <si>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</si>
  <si>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</si>
  <si>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</si>
  <si>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</si>
  <si>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</si>
  <si>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</si>
  <si>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</si>
  <si>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</si>
  <si>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</si>
  <si>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</si>
  <si>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</si>
  <si>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</si>
  <si>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</si>
  <si>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</si>
  <si>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</si>
  <si>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</si>
  <si>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</si>
  <si>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</si>
  <si>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</si>
  <si>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</si>
  <si>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</si>
  <si>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</si>
  <si>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</si>
  <si>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</si>
  <si>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</si>
  <si>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</si>
  <si>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</si>
  <si>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</si>
  <si>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</si>
  <si>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</si>
  <si>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</si>
  <si>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</si>
  <si>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</si>
  <si>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</si>
  <si>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</si>
  <si>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</si>
  <si>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</si>
  <si>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</si>
  <si>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</si>
  <si>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</si>
  <si>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</si>
  <si>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</si>
  <si>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</si>
  <si>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</si>
  <si>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</si>
  <si>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</si>
  <si>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</si>
  <si>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</si>
  <si>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</si>
  <si>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</si>
  <si>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</si>
  <si>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</si>
  <si>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</si>
  <si>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</si>
  <si>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</si>
  <si>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</si>
  <si>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</si>
  <si>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</si>
  <si>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</si>
  <si>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</si>
  <si>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</si>
  <si>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</si>
  <si>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</si>
  <si>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</si>
  <si>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</si>
  <si>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</si>
  <si>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</si>
  <si>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</si>
  <si>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</si>
  <si>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</si>
  <si>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</si>
  <si>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</si>
  <si>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</si>
  <si>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</si>
  <si>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</si>
  <si>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</si>
  <si>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</si>
  <si>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</si>
  <si>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</si>
  <si>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</si>
  <si>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</si>
  <si>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</si>
  <si>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</si>
  <si>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</si>
  <si>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</si>
  <si>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</si>
  <si>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</si>
  <si>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</si>
  <si>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</si>
  <si>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</si>
  <si>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</si>
  <si>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</si>
  <si>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</si>
  <si>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</si>
  <si>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</si>
  <si>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</si>
  <si>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</si>
  <si>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</si>
  <si>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</si>
  <si>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</si>
  <si>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</si>
  <si>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</si>
  <si>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</si>
  <si>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</si>
  <si>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</si>
  <si>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</si>
  <si>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</si>
  <si>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</si>
  <si>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</si>
  <si>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</si>
  <si>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</si>
  <si>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</si>
  <si>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</si>
  <si>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</si>
  <si>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</si>
  <si>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</si>
  <si>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</si>
  <si>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</si>
  <si>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</si>
  <si>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</si>
  <si>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</si>
  <si>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</si>
  <si>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</si>
  <si>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</si>
  <si>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</si>
  <si>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</si>
  <si>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</si>
  <si>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</si>
  <si>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</si>
  <si>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</si>
  <si>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</si>
  <si>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</si>
  <si>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</si>
  <si>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</si>
  <si>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</si>
  <si>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</si>
  <si>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</si>
  <si>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</si>
  <si>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</si>
  <si>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</si>
  <si>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</si>
  <si>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</si>
  <si>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</si>
  <si>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</si>
  <si>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</si>
  <si>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</si>
  <si>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</si>
  <si>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</si>
  <si>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</si>
  <si>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</si>
  <si>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</si>
  <si>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</si>
  <si>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</si>
  <si>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</si>
  <si>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</si>
  <si>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</si>
  <si>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</si>
  <si>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</si>
  <si>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</si>
  <si>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</si>
  <si>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</si>
  <si>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</si>
  <si>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</si>
  <si>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</si>
  <si>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</si>
  <si>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</si>
  <si>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</si>
  <si>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</si>
  <si>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</si>
  <si>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</si>
  <si>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</si>
  <si>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</si>
  <si>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</si>
  <si>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</si>
  <si>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</si>
  <si>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</si>
  <si>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</si>
  <si>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</si>
  <si>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</si>
  <si>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</si>
  <si>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</si>
  <si>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</si>
  <si>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</si>
  <si>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</si>
  <si>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</si>
  <si>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</si>
  <si>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</si>
  <si>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</si>
  <si>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</si>
  <si>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</si>
  <si>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</si>
  <si>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</si>
  <si>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</si>
  <si>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</si>
  <si>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</si>
  <si>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</si>
  <si>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</si>
  <si>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</si>
  <si>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</si>
  <si>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</si>
  <si>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</si>
  <si>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</si>
  <si>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</si>
  <si>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</si>
  <si>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</si>
  <si>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</si>
  <si>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</si>
  <si>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</si>
  <si>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</si>
  <si>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</si>
  <si>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</si>
  <si>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</si>
  <si>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</si>
  <si>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</si>
  <si>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</si>
  <si>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</si>
  <si>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</si>
  <si>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</si>
  <si>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</si>
  <si>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</si>
  <si>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</si>
  <si>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</si>
  <si>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</si>
  <si>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</si>
  <si>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</si>
  <si>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</si>
  <si>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</si>
  <si>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</si>
  <si>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</si>
  <si>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</si>
  <si>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</si>
  <si>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</si>
  <si>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</si>
  <si>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</si>
  <si>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</si>
  <si>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</si>
  <si>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</si>
  <si>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</si>
  <si>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</si>
  <si>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</si>
  <si>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</si>
  <si>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</si>
  <si>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</si>
  <si>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</si>
  <si>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</si>
  <si>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</si>
  <si>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</si>
  <si>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</si>
  <si>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</si>
  <si>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</si>
  <si>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</si>
  <si>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</si>
  <si>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</si>
  <si>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</si>
  <si>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</si>
  <si>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</si>
  <si>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</si>
  <si>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</si>
  <si>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</si>
  <si>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</si>
  <si>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</si>
  <si>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</si>
  <si>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</si>
  <si>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</si>
  <si>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</si>
  <si>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</si>
  <si>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</si>
  <si>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</si>
  <si>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</si>
  <si>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</si>
  <si>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</si>
  <si>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</si>
  <si>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</si>
  <si>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</si>
  <si>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</si>
  <si>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</si>
  <si>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</si>
  <si>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</si>
  <si>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</si>
  <si>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</si>
  <si>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</si>
  <si>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</si>
  <si>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</si>
  <si>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</si>
  <si>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</si>
  <si>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</si>
  <si>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</si>
  <si>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</si>
  <si>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</si>
  <si>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</si>
  <si>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</si>
  <si>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</si>
  <si>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</si>
  <si>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</si>
  <si>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</si>
  <si>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</si>
  <si>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</si>
  <si>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</si>
  <si>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</si>
  <si>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</si>
  <si>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</si>
  <si>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</si>
  <si>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</si>
  <si>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</si>
  <si>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</si>
  <si>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</si>
  <si>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</si>
  <si>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</si>
  <si>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</si>
  <si>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</si>
  <si>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</si>
  <si>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</si>
  <si>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</si>
  <si>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</si>
  <si>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</si>
  <si>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</si>
  <si>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</si>
  <si>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</si>
  <si>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</si>
  <si>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</si>
  <si>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</si>
  <si>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</si>
  <si>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</si>
  <si>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</si>
  <si>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</si>
  <si>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</si>
  <si>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</si>
  <si>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</si>
  <si>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</si>
  <si>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</si>
  <si>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</si>
  <si>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</si>
  <si>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</si>
  <si>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</si>
  <si>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</si>
  <si>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</si>
  <si>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</si>
  <si>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</si>
  <si>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</si>
  <si>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</si>
  <si>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</si>
  <si>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</si>
  <si>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</si>
  <si>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</si>
  <si>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</si>
  <si>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</si>
  <si>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</si>
  <si>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</si>
  <si>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</si>
  <si>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</si>
  <si>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</si>
  <si>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</si>
  <si>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</si>
  <si>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</si>
  <si>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</si>
  <si>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</si>
  <si>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</si>
  <si>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</si>
  <si>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</si>
  <si>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</si>
  <si>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</si>
  <si>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</si>
  <si>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</si>
  <si>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</si>
  <si>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</si>
  <si>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</si>
  <si>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</si>
  <si>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</si>
  <si>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</si>
  <si>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</si>
  <si>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</si>
  <si>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</si>
  <si>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</si>
  <si>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</si>
  <si>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</si>
  <si>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</si>
  <si>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</si>
  <si>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</si>
  <si>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</si>
  <si>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</si>
  <si>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</si>
  <si>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</si>
  <si>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</si>
  <si>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</si>
  <si>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</si>
  <si>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</si>
  <si>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</si>
  <si>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</si>
  <si>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</si>
  <si>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</si>
  <si>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</si>
  <si>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</si>
  <si>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</si>
  <si>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</si>
  <si>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</si>
  <si>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</si>
  <si>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</si>
  <si>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</si>
  <si>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</si>
  <si>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</si>
  <si>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</si>
  <si>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</si>
  <si>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</si>
  <si>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</si>
  <si>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</si>
  <si>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</si>
  <si>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</si>
  <si>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</si>
  <si>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</si>
  <si>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</si>
  <si>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</si>
  <si>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</si>
  <si>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</si>
  <si>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</si>
  <si>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</si>
  <si>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</si>
  <si>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</si>
  <si>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</si>
  <si>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</si>
  <si>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</si>
  <si>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</si>
  <si>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</si>
  <si>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</si>
  <si>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</si>
  <si>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</si>
  <si>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</si>
  <si>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</si>
  <si>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</si>
  <si>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</si>
  <si>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</si>
  <si>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</si>
  <si>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</si>
  <si>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</si>
  <si>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</si>
  <si>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</si>
  <si>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</si>
  <si>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</si>
  <si>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</si>
  <si>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</si>
  <si>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</si>
  <si>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</si>
  <si>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</si>
  <si>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</si>
  <si>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</si>
  <si>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</si>
  <si>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</si>
  <si>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</si>
  <si>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</si>
  <si>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</si>
  <si>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</si>
  <si>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</si>
  <si>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</si>
  <si>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</si>
  <si>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</si>
  <si>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</si>
  <si>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</si>
  <si>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</si>
  <si>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</si>
  <si>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</si>
  <si>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</si>
  <si>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</si>
  <si>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</si>
  <si>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</si>
  <si>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</si>
  <si>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</si>
  <si>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</si>
  <si>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</si>
  <si>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</si>
  <si>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</si>
  <si>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</si>
  <si>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</si>
  <si>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</si>
  <si>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</si>
  <si>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</si>
  <si>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</si>
  <si>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</si>
  <si>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</si>
  <si>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</si>
  <si>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</si>
  <si>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</si>
  <si>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</si>
  <si>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</si>
  <si>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</si>
  <si>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</si>
  <si>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</si>
  <si>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</si>
  <si>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</si>
  <si>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</si>
  <si>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</si>
  <si>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</si>
  <si>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</si>
  <si>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</si>
  <si>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</si>
  <si>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</si>
  <si>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</si>
  <si>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</si>
  <si>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</si>
  <si>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</si>
  <si>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</si>
  <si>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</si>
  <si>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</si>
  <si>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</si>
  <si>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</si>
  <si>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</si>
  <si>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</si>
  <si>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</si>
  <si>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</si>
  <si>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</si>
  <si>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</si>
  <si>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</si>
  <si>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</si>
  <si>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</si>
  <si>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</si>
  <si>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</si>
  <si>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</si>
  <si>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</si>
  <si>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</si>
  <si>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</si>
  <si>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</si>
  <si>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</si>
  <si>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</si>
  <si>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</si>
  <si>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</si>
  <si>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</si>
  <si>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</si>
  <si>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</si>
  <si>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</si>
  <si>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</si>
  <si>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</si>
  <si>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</si>
  <si>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</si>
  <si>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</si>
  <si>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</si>
  <si>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</si>
  <si>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</si>
  <si>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</si>
  <si>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</si>
  <si>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</si>
  <si>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</si>
  <si>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</si>
  <si>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</si>
  <si>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</si>
  <si>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</si>
  <si>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</si>
  <si>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</si>
  <si>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</si>
  <si>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</si>
  <si>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</si>
  <si>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</si>
  <si>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</si>
  <si>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</si>
  <si>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</si>
  <si>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</si>
  <si>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</si>
  <si>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</si>
  <si>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</si>
  <si>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</si>
  <si>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</si>
  <si>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</si>
  <si>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</si>
  <si>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</si>
  <si>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</si>
  <si>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</si>
  <si>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</si>
  <si>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</si>
  <si>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</si>
  <si>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</si>
  <si>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</si>
  <si>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</si>
  <si>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</si>
  <si>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</si>
  <si>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</si>
  <si>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</si>
  <si>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</si>
  <si>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</si>
  <si>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</si>
  <si>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</si>
  <si>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</si>
  <si>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</si>
  <si>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</si>
  <si>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</si>
  <si>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</si>
  <si>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</si>
  <si>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</si>
  <si>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</si>
  <si>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</si>
  <si>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</si>
  <si>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</si>
  <si>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</si>
  <si>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</si>
  <si>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</si>
  <si>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</si>
  <si>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</si>
  <si>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</si>
  <si>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</si>
  <si>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</si>
  <si>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</si>
  <si>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</si>
  <si>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</si>
  <si>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</si>
  <si>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</si>
  <si>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</si>
  <si>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</si>
  <si>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</si>
  <si>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</si>
  <si>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</si>
  <si>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</si>
  <si>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</si>
  <si>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</si>
  <si>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</si>
  <si>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</si>
  <si>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</si>
  <si>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</si>
  <si>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</si>
  <si>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</si>
  <si>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</si>
  <si>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</si>
  <si>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</si>
  <si>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</si>
  <si>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</si>
  <si>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</si>
  <si>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</si>
  <si>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</si>
  <si>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</si>
  <si>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</si>
  <si>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</si>
  <si>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</si>
  <si>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</si>
  <si>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</si>
  <si>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</si>
  <si>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</si>
  <si>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</si>
  <si>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</si>
  <si>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</si>
  <si>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</si>
  <si>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</si>
  <si>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</si>
  <si>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</si>
  <si>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</si>
  <si>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</si>
  <si>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</si>
  <si>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</si>
  <si>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</si>
  <si>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</si>
  <si>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</si>
  <si>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</si>
  <si>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</si>
  <si>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</si>
  <si>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</si>
  <si>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</si>
  <si>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</si>
  <si>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</si>
  <si>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</si>
  <si>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</si>
  <si>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</si>
  <si>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</si>
  <si>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</si>
  <si>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</si>
  <si>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</si>
  <si>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</si>
  <si>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</si>
  <si>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</si>
  <si>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</si>
  <si>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</si>
  <si>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</si>
  <si>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</si>
  <si>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</si>
  <si>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</si>
  <si>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</si>
  <si>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</si>
  <si>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</si>
  <si>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</si>
  <si>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</si>
  <si>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</si>
  <si>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</si>
  <si>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</si>
  <si>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</si>
  <si>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</si>
  <si>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</si>
  <si>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</si>
  <si>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</si>
  <si>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</si>
  <si>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</si>
  <si>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</si>
  <si>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</si>
  <si>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</si>
  <si>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</si>
  <si>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</si>
  <si>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</si>
  <si>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</si>
  <si>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</si>
  <si>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</si>
  <si>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</si>
  <si>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</si>
  <si>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</si>
  <si>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</si>
  <si>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</si>
  <si>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</si>
  <si>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</si>
  <si>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</si>
  <si>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</si>
  <si>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</si>
  <si>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</si>
  <si>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</si>
  <si>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</si>
  <si>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</si>
  <si>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</si>
  <si>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</si>
  <si>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</si>
  <si>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</si>
  <si>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</si>
  <si>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</si>
  <si>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</si>
  <si>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</si>
  <si>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</si>
  <si>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</si>
  <si>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</si>
  <si>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</si>
  <si>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</si>
  <si>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</si>
  <si>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</si>
  <si>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</si>
  <si>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</si>
  <si>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</si>
  <si>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</si>
  <si>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</si>
  <si>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</si>
  <si>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</si>
  <si>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</si>
  <si>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</si>
  <si>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</si>
  <si>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</si>
  <si>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</si>
  <si>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</si>
  <si>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</si>
  <si>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</si>
  <si>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</si>
  <si>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</si>
  <si>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</si>
  <si>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</si>
  <si>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</si>
  <si>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</si>
  <si>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</si>
  <si>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</si>
  <si>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</si>
  <si>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</si>
  <si>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</si>
  <si>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</si>
  <si>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</si>
  <si>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</si>
  <si>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</si>
  <si>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</si>
  <si>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</si>
  <si>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</si>
  <si>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</si>
  <si>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</si>
  <si>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</si>
  <si>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</si>
  <si>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</si>
  <si>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</si>
  <si>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</si>
  <si>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</si>
  <si>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</si>
  <si>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</si>
  <si>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</si>
  <si>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</si>
  <si>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</si>
  <si>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</si>
  <si>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</si>
  <si>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</si>
  <si>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</si>
  <si>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</si>
  <si>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</si>
  <si>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</si>
  <si>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</si>
  <si>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</si>
  <si>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</si>
  <si>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</si>
  <si>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</si>
  <si>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</si>
  <si>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</si>
  <si>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</si>
  <si>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</si>
  <si>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</si>
  <si>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</si>
  <si>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</si>
  <si>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</si>
  <si>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</si>
  <si>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</si>
  <si>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</si>
  <si>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</si>
  <si>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</si>
  <si>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</si>
  <si>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</si>
  <si>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</si>
  <si>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</si>
  <si>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</si>
  <si>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</si>
  <si>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</si>
  <si>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</si>
  <si>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</si>
  <si>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</si>
  <si>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</si>
  <si>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</si>
  <si>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</si>
  <si>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</si>
  <si>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</si>
  <si>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</si>
  <si>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</si>
  <si>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</si>
  <si>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</si>
  <si>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</si>
  <si>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</si>
  <si>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</si>
  <si>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</si>
  <si>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</si>
  <si>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</si>
  <si>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</si>
  <si>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</si>
  <si>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</si>
  <si>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</si>
  <si>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</si>
  <si>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</si>
  <si>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</si>
  <si>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</si>
  <si>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</si>
  <si>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</si>
  <si>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</si>
  <si>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</si>
  <si>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</si>
  <si>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</si>
  <si>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</si>
  <si>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</si>
  <si>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</si>
  <si>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</si>
  <si>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</si>
  <si>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</si>
  <si>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</si>
  <si>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</si>
  <si>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</si>
  <si>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</si>
  <si>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</si>
  <si>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</si>
  <si>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</si>
  <si>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</si>
  <si>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</si>
  <si>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</si>
  <si>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</si>
  <si>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</si>
  <si>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</si>
  <si>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</si>
  <si>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</si>
  <si>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</si>
  <si>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</si>
  <si>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</si>
  <si>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</si>
  <si>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</si>
  <si>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</si>
  <si>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</si>
  <si>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</si>
  <si>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</si>
  <si>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</si>
  <si>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</si>
  <si>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</si>
  <si>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</si>
  <si>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</si>
  <si>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</si>
  <si>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</si>
  <si>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</si>
  <si>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</si>
  <si>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</si>
  <si>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</si>
  <si>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</si>
  <si>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</si>
  <si>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</si>
  <si>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</si>
  <si>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</si>
  <si>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</si>
  <si>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</si>
  <si>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</si>
  <si>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</si>
  <si>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</si>
  <si>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</si>
  <si>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</si>
  <si>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</si>
  <si>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</si>
  <si>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</si>
  <si>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</si>
  <si>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</si>
  <si>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</si>
  <si>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</si>
  <si>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</si>
  <si>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</si>
  <si>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</si>
  <si>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</si>
  <si>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</si>
  <si>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</si>
  <si>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</si>
  <si>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</si>
  <si>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</si>
  <si>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</si>
  <si>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</si>
  <si>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</si>
  <si>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</si>
  <si>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</si>
  <si>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</si>
  <si>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</si>
  <si>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</si>
  <si>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</si>
  <si>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</si>
  <si>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</si>
  <si>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</si>
  <si>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</si>
  <si>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</si>
  <si>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</si>
  <si>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</si>
  <si>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</si>
  <si>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</si>
  <si>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</si>
  <si>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</si>
  <si>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</si>
  <si>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</si>
  <si>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</si>
  <si>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</si>
  <si>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</si>
  <si>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</si>
  <si>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</si>
  <si>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</si>
  <si>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</si>
  <si>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</si>
  <si>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</si>
  <si>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</si>
  <si>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</si>
  <si>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</si>
  <si>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</si>
  <si>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</si>
  <si>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</si>
  <si>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</si>
  <si>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</si>
  <si>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</si>
  <si>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</si>
  <si>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</si>
  <si>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</si>
  <si>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</si>
  <si>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</si>
  <si>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</si>
  <si>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</si>
  <si>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</si>
  <si>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</si>
  <si>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</si>
  <si>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</si>
  <si>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</si>
  <si>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</si>
  <si>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</si>
  <si>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</si>
  <si>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</si>
  <si>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</si>
  <si>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</si>
  <si>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</si>
  <si>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</si>
  <si>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</si>
  <si>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</si>
  <si>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</si>
  <si>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</si>
  <si>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</si>
  <si>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</si>
  <si>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</si>
  <si>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</si>
  <si>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</si>
  <si>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</si>
  <si>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</si>
  <si>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</si>
  <si>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</si>
  <si>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</si>
  <si>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</si>
  <si>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</si>
  <si>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</si>
  <si>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</si>
  <si>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</si>
  <si>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</si>
  <si>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</si>
  <si>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</si>
  <si>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</si>
  <si>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</si>
  <si>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</si>
  <si>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</si>
  <si>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</si>
  <si>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</si>
  <si>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</si>
  <si>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</si>
  <si>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</si>
  <si>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</si>
  <si>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</si>
  <si>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no informado</t>
  </si>
  <si>
    <t>No informada</t>
  </si>
  <si>
    <t>Paipa</t>
  </si>
  <si>
    <t>paipa</t>
  </si>
  <si>
    <t>LA ROTTA REYES LAURA DANIELA</t>
  </si>
  <si>
    <t>CUANTIAS MENORES</t>
  </si>
  <si>
    <t>CAJA COLOMBIANA DE SUBSIDIO FAMILIAR COLSUBSIDIO</t>
  </si>
  <si>
    <t xml:space="preserve">BANCO BILBAO VIZCAYA ARGENTARIA COLOMBIA S A </t>
  </si>
  <si>
    <t>EDS ESTACION LA  TURISTICA DE PAIPA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</si>
</sst>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5" borderId="0" xfId="0" applyFill="1" applyProtection="1">
      <protection locked="0" hidden="1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right"/>
      <protection locked="0"/>
    </xf>
    <xf numFmtId="164" fontId="2" fillId="0" borderId="0" xfId="1" applyNumberFormat="1" applyFont="1" applyProtection="1">
      <protection locked="0"/>
    </xf>
    <xf numFmtId="0" fontId="3" fillId="0" borderId="0" xfId="0" applyFont="1" applyProtection="1">
      <protection locked="0"/>
    </xf>
    <xf numFmtId="164" fontId="3" fillId="0" borderId="0" xfId="1" applyNumberFormat="1" applyFont="1" applyFill="1" applyProtection="1">
      <protection locked="0"/>
    </xf>
    <xf numFmtId="164" fontId="2" fillId="0" borderId="0" xfId="1" applyNumberFormat="1" applyFont="1" applyFill="1" applyProtection="1">
      <protection locked="0"/>
    </xf>
    <xf numFmtId="164" fontId="3" fillId="0" borderId="0" xfId="1" applyNumberFormat="1" applyFont="1" applyProtection="1">
      <protection locked="0"/>
    </xf>
    <xf numFmtId="0" fontId="4" fillId="0" borderId="0" xfId="0" applyFont="1" applyProtection="1">
      <protection locked="0"/>
    </xf>
    <xf numFmtId="164" fontId="0" fillId="6" borderId="9" xfId="1" applyNumberFormat="1" applyFont="1" applyFill="1" applyBorder="1" applyProtection="1">
      <protection locked="0"/>
    </xf>
    <xf numFmtId="164" fontId="0" fillId="6" borderId="10" xfId="1" applyNumberFormat="1" applyFont="1" applyFill="1" applyBorder="1" applyProtection="1">
      <protection locked="0"/>
    </xf>
    <xf numFmtId="164" fontId="0" fillId="2" borderId="9" xfId="1" applyNumberFormat="1" applyFont="1" applyFill="1" applyBorder="1" applyProtection="1">
      <protection locked="0"/>
    </xf>
    <xf numFmtId="164" fontId="0" fillId="2" borderId="10" xfId="1" applyNumberFormat="1" applyFont="1" applyFill="1" applyBorder="1" applyProtection="1">
      <protection locked="0"/>
    </xf>
    <xf numFmtId="164" fontId="3" fillId="6" borderId="9" xfId="1" applyNumberFormat="1" applyFont="1" applyFill="1" applyBorder="1" applyProtection="1">
      <protection locked="0"/>
    </xf>
    <xf numFmtId="164" fontId="3" fillId="6" borderId="10" xfId="1" applyNumberFormat="1" applyFont="1" applyFill="1" applyBorder="1" applyProtection="1">
      <protection locked="0"/>
    </xf>
    <xf numFmtId="164" fontId="3" fillId="2" borderId="9" xfId="1" applyNumberFormat="1" applyFont="1" applyFill="1" applyBorder="1" applyProtection="1">
      <protection locked="0"/>
    </xf>
    <xf numFmtId="164" fontId="3" fillId="2" borderId="10" xfId="1" applyNumberFormat="1" applyFont="1" applyFill="1" applyBorder="1" applyProtection="1">
      <protection locked="0"/>
    </xf>
    <xf numFmtId="43" fontId="2" fillId="0" borderId="0" xfId="1" applyFon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77ecd039d3cd8c3/Desktop/exogena%20%20ED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mc"/>
      <sheetName val="ingresos"/>
      <sheetName val="terceros"/>
      <sheetName val="terceros cto"/>
    </sheetNames>
    <sheetDataSet>
      <sheetData sheetId="0"/>
      <sheetData sheetId="1">
        <row r="1">
          <cell r="B1" t="str">
            <v>NOMBRE_MPIO</v>
          </cell>
          <cell r="C1" t="str">
            <v>CODIGO_MUNICIPIO</v>
          </cell>
        </row>
        <row r="2">
          <cell r="B2" t="str">
            <v>EL ENCANTO</v>
          </cell>
          <cell r="C2" t="str">
            <v>91263</v>
          </cell>
        </row>
        <row r="3">
          <cell r="B3" t="str">
            <v>LA CHORRERA</v>
          </cell>
          <cell r="C3" t="str">
            <v>91405</v>
          </cell>
        </row>
        <row r="4">
          <cell r="B4" t="str">
            <v>LA PEDRERA</v>
          </cell>
          <cell r="C4" t="str">
            <v>91407</v>
          </cell>
        </row>
        <row r="5">
          <cell r="B5" t="str">
            <v>LA VICTORIA</v>
          </cell>
          <cell r="C5" t="str">
            <v>91430</v>
          </cell>
        </row>
        <row r="6">
          <cell r="B6" t="str">
            <v>LETICIA</v>
          </cell>
          <cell r="C6" t="str">
            <v>91001</v>
          </cell>
        </row>
        <row r="7">
          <cell r="B7" t="str">
            <v>MIRITI - PARANÁ</v>
          </cell>
          <cell r="C7" t="str">
            <v>91460</v>
          </cell>
        </row>
        <row r="8">
          <cell r="B8" t="str">
            <v>PUERTO ALEGRIA</v>
          </cell>
          <cell r="C8" t="str">
            <v>91530</v>
          </cell>
        </row>
        <row r="9">
          <cell r="B9" t="str">
            <v>PUERTO ARICA</v>
          </cell>
          <cell r="C9" t="str">
            <v>91536</v>
          </cell>
        </row>
        <row r="10">
          <cell r="B10" t="str">
            <v>PUERTO NARIÑO</v>
          </cell>
          <cell r="C10" t="str">
            <v>91540</v>
          </cell>
        </row>
        <row r="11">
          <cell r="B11" t="str">
            <v>PUERTO SANTANDER</v>
          </cell>
          <cell r="C11" t="str">
            <v>91669</v>
          </cell>
        </row>
        <row r="12">
          <cell r="B12" t="str">
            <v>TARAPACÁ</v>
          </cell>
          <cell r="C12" t="str">
            <v>91798</v>
          </cell>
        </row>
        <row r="13">
          <cell r="B13" t="str">
            <v>CÁCERES</v>
          </cell>
          <cell r="C13" t="str">
            <v>05120</v>
          </cell>
        </row>
        <row r="14">
          <cell r="B14" t="str">
            <v>CAUCASIA</v>
          </cell>
          <cell r="C14" t="str">
            <v>05154</v>
          </cell>
        </row>
        <row r="15">
          <cell r="B15" t="str">
            <v>EL BAGRE</v>
          </cell>
          <cell r="C15" t="str">
            <v>05250</v>
          </cell>
        </row>
        <row r="16">
          <cell r="B16" t="str">
            <v>NECHÍ</v>
          </cell>
          <cell r="C16" t="str">
            <v>05495</v>
          </cell>
        </row>
        <row r="17">
          <cell r="B17" t="str">
            <v>TARAZÁ</v>
          </cell>
          <cell r="C17" t="str">
            <v>05790</v>
          </cell>
        </row>
        <row r="18">
          <cell r="B18" t="str">
            <v>ZARAGOZA</v>
          </cell>
          <cell r="C18" t="str">
            <v>05895</v>
          </cell>
        </row>
        <row r="19">
          <cell r="B19" t="str">
            <v>CARACOLÍ</v>
          </cell>
          <cell r="C19" t="str">
            <v>05142</v>
          </cell>
        </row>
        <row r="20">
          <cell r="B20" t="str">
            <v>MACEO</v>
          </cell>
          <cell r="C20" t="str">
            <v>05425</v>
          </cell>
        </row>
        <row r="21">
          <cell r="B21" t="str">
            <v>PUERTO BERRiO</v>
          </cell>
          <cell r="C21" t="str">
            <v>05579</v>
          </cell>
        </row>
        <row r="22">
          <cell r="B22" t="str">
            <v>PUERTO NARE</v>
          </cell>
          <cell r="C22" t="str">
            <v>05585</v>
          </cell>
        </row>
        <row r="23">
          <cell r="B23" t="str">
            <v>PUERTO TRIUNFO</v>
          </cell>
          <cell r="C23" t="str">
            <v>05591</v>
          </cell>
        </row>
        <row r="24">
          <cell r="B24" t="str">
            <v>YONDÓ</v>
          </cell>
          <cell r="C24" t="str">
            <v>05893</v>
          </cell>
        </row>
        <row r="25">
          <cell r="B25" t="str">
            <v>AMALFI</v>
          </cell>
          <cell r="C25" t="str">
            <v>05031</v>
          </cell>
        </row>
        <row r="26">
          <cell r="B26" t="str">
            <v>ANORÍ</v>
          </cell>
          <cell r="C26" t="str">
            <v>05040</v>
          </cell>
        </row>
        <row r="27">
          <cell r="B27" t="str">
            <v>CISNEROS</v>
          </cell>
          <cell r="C27" t="str">
            <v>05190</v>
          </cell>
        </row>
        <row r="28">
          <cell r="B28" t="str">
            <v>REMEDIOS</v>
          </cell>
          <cell r="C28" t="str">
            <v>05604</v>
          </cell>
        </row>
        <row r="29">
          <cell r="B29" t="str">
            <v>SAN ROQUE</v>
          </cell>
          <cell r="C29" t="str">
            <v>05670</v>
          </cell>
        </row>
        <row r="30">
          <cell r="B30" t="str">
            <v>SANTO DOMINGO</v>
          </cell>
          <cell r="C30" t="str">
            <v>05690</v>
          </cell>
        </row>
        <row r="31">
          <cell r="B31" t="str">
            <v>SEGOVIA</v>
          </cell>
          <cell r="C31" t="str">
            <v>05736</v>
          </cell>
        </row>
        <row r="32">
          <cell r="B32" t="str">
            <v>VEGACHÍ</v>
          </cell>
          <cell r="C32" t="str">
            <v>05858</v>
          </cell>
        </row>
        <row r="33">
          <cell r="B33" t="str">
            <v>YALÍ</v>
          </cell>
          <cell r="C33" t="str">
            <v>05885</v>
          </cell>
        </row>
        <row r="34">
          <cell r="B34" t="str">
            <v>YOLOMBÓ</v>
          </cell>
          <cell r="C34" t="str">
            <v>05890</v>
          </cell>
        </row>
        <row r="35">
          <cell r="B35" t="str">
            <v>ANGOSTURA</v>
          </cell>
          <cell r="C35" t="str">
            <v>05038</v>
          </cell>
        </row>
        <row r="36">
          <cell r="B36" t="str">
            <v>BELMIRA</v>
          </cell>
          <cell r="C36" t="str">
            <v>05086</v>
          </cell>
        </row>
        <row r="37">
          <cell r="B37" t="str">
            <v>BRICEÑO</v>
          </cell>
          <cell r="C37" t="str">
            <v>05107</v>
          </cell>
        </row>
        <row r="38">
          <cell r="B38" t="str">
            <v>CAMPAMENTO</v>
          </cell>
          <cell r="C38" t="str">
            <v>05134</v>
          </cell>
        </row>
        <row r="39">
          <cell r="B39" t="str">
            <v>CAROLINA</v>
          </cell>
          <cell r="C39" t="str">
            <v>05150</v>
          </cell>
        </row>
        <row r="40">
          <cell r="B40" t="str">
            <v>DON MATiAS</v>
          </cell>
          <cell r="C40" t="str">
            <v>05237</v>
          </cell>
        </row>
        <row r="41">
          <cell r="B41" t="str">
            <v>ENTRERRIOS</v>
          </cell>
          <cell r="C41" t="str">
            <v>05264</v>
          </cell>
        </row>
        <row r="42">
          <cell r="B42" t="str">
            <v>GÓMEZ PLATA</v>
          </cell>
          <cell r="C42" t="str">
            <v>05310</v>
          </cell>
        </row>
        <row r="43">
          <cell r="B43" t="str">
            <v>GUADALUPE</v>
          </cell>
          <cell r="C43" t="str">
            <v>05315</v>
          </cell>
        </row>
        <row r="44">
          <cell r="B44" t="str">
            <v>ITUANGO</v>
          </cell>
          <cell r="C44" t="str">
            <v>05361</v>
          </cell>
        </row>
        <row r="45">
          <cell r="B45" t="str">
            <v>SAN ANDRÉS</v>
          </cell>
          <cell r="C45" t="str">
            <v>05647</v>
          </cell>
        </row>
        <row r="46">
          <cell r="B46" t="str">
            <v>SAN JOSÉ DE LA MONTAÑA</v>
          </cell>
          <cell r="C46" t="str">
            <v>05658</v>
          </cell>
        </row>
        <row r="47">
          <cell r="B47" t="str">
            <v>SAN PEDRO</v>
          </cell>
          <cell r="C47" t="str">
            <v>05664</v>
          </cell>
        </row>
        <row r="48">
          <cell r="B48" t="str">
            <v>SANTA ROSA de osos</v>
          </cell>
          <cell r="C48" t="str">
            <v>05686</v>
          </cell>
        </row>
        <row r="49">
          <cell r="B49" t="str">
            <v>TOLEDO</v>
          </cell>
          <cell r="C49" t="str">
            <v>05819</v>
          </cell>
        </row>
        <row r="50">
          <cell r="B50" t="str">
            <v>VALDIVIA</v>
          </cell>
          <cell r="C50" t="str">
            <v>05854</v>
          </cell>
        </row>
        <row r="51">
          <cell r="B51" t="str">
            <v>YARUMAL</v>
          </cell>
          <cell r="C51" t="str">
            <v>05887</v>
          </cell>
        </row>
        <row r="52">
          <cell r="B52" t="str">
            <v>ABRIAQUÍ</v>
          </cell>
          <cell r="C52" t="str">
            <v>05004</v>
          </cell>
        </row>
        <row r="53">
          <cell r="B53" t="str">
            <v>ANZA</v>
          </cell>
          <cell r="C53" t="str">
            <v>05044</v>
          </cell>
        </row>
        <row r="54">
          <cell r="B54" t="str">
            <v>ARMENIA</v>
          </cell>
          <cell r="C54" t="str">
            <v>05059</v>
          </cell>
        </row>
        <row r="55">
          <cell r="B55" t="str">
            <v>BURITICÁ</v>
          </cell>
          <cell r="C55" t="str">
            <v>05113</v>
          </cell>
        </row>
        <row r="56">
          <cell r="B56" t="str">
            <v>CAÑASGORDAS</v>
          </cell>
          <cell r="C56" t="str">
            <v>05138</v>
          </cell>
        </row>
        <row r="57">
          <cell r="B57" t="str">
            <v>DABEIBA</v>
          </cell>
          <cell r="C57" t="str">
            <v>05234</v>
          </cell>
        </row>
        <row r="58">
          <cell r="B58" t="str">
            <v>EBÉJICO</v>
          </cell>
          <cell r="C58" t="str">
            <v>05240</v>
          </cell>
        </row>
        <row r="59">
          <cell r="B59" t="str">
            <v>FRONTINO</v>
          </cell>
          <cell r="C59" t="str">
            <v>05284</v>
          </cell>
        </row>
        <row r="60">
          <cell r="B60" t="str">
            <v>GIRALDO</v>
          </cell>
          <cell r="C60" t="str">
            <v>05306</v>
          </cell>
        </row>
        <row r="61">
          <cell r="B61" t="str">
            <v>HELICONIA</v>
          </cell>
          <cell r="C61" t="str">
            <v>05347</v>
          </cell>
        </row>
        <row r="62">
          <cell r="B62" t="str">
            <v>LIBORINA</v>
          </cell>
          <cell r="C62" t="str">
            <v>05411</v>
          </cell>
        </row>
        <row r="63">
          <cell r="B63" t="str">
            <v>OLAYA</v>
          </cell>
          <cell r="C63" t="str">
            <v>05501</v>
          </cell>
        </row>
        <row r="64">
          <cell r="B64" t="str">
            <v>PEQUE</v>
          </cell>
          <cell r="C64" t="str">
            <v>05543</v>
          </cell>
        </row>
        <row r="65">
          <cell r="B65" t="str">
            <v>SABANALARGA</v>
          </cell>
          <cell r="C65" t="str">
            <v>05628</v>
          </cell>
        </row>
        <row r="66">
          <cell r="B66" t="str">
            <v>SAN JERÓNIMO</v>
          </cell>
          <cell r="C66" t="str">
            <v>05656</v>
          </cell>
        </row>
        <row r="67">
          <cell r="B67" t="str">
            <v>SANTAFÉ DE ANTIOQUIA</v>
          </cell>
          <cell r="C67" t="str">
            <v>05042</v>
          </cell>
        </row>
        <row r="68">
          <cell r="B68" t="str">
            <v>SOPETRaN</v>
          </cell>
          <cell r="C68" t="str">
            <v>05761</v>
          </cell>
        </row>
        <row r="69">
          <cell r="B69" t="str">
            <v>URAMITA</v>
          </cell>
          <cell r="C69" t="str">
            <v>05842</v>
          </cell>
        </row>
        <row r="70">
          <cell r="B70" t="str">
            <v>ABEJORRAL</v>
          </cell>
          <cell r="C70" t="str">
            <v>05002</v>
          </cell>
        </row>
        <row r="71">
          <cell r="B71" t="str">
            <v>ALEJANDRÍA</v>
          </cell>
          <cell r="C71" t="str">
            <v>05021</v>
          </cell>
        </row>
        <row r="72">
          <cell r="B72" t="str">
            <v>ARGELIA</v>
          </cell>
          <cell r="C72" t="str">
            <v>05055</v>
          </cell>
        </row>
        <row r="73">
          <cell r="B73" t="str">
            <v>CARMEN DE VIBORAL</v>
          </cell>
          <cell r="C73" t="str">
            <v>05148</v>
          </cell>
        </row>
        <row r="74">
          <cell r="B74" t="str">
            <v>COCORNÁ</v>
          </cell>
          <cell r="C74" t="str">
            <v>05197</v>
          </cell>
        </row>
        <row r="75">
          <cell r="B75" t="str">
            <v>CONCEPCIÓN</v>
          </cell>
          <cell r="C75" t="str">
            <v>05206</v>
          </cell>
        </row>
        <row r="76">
          <cell r="B76" t="str">
            <v>GRANADA</v>
          </cell>
          <cell r="C76" t="str">
            <v>05313</v>
          </cell>
        </row>
        <row r="77">
          <cell r="B77" t="str">
            <v>GUARNE</v>
          </cell>
          <cell r="C77" t="str">
            <v>05318</v>
          </cell>
        </row>
        <row r="78">
          <cell r="B78" t="str">
            <v>GUATAPE</v>
          </cell>
          <cell r="C78" t="str">
            <v>05321</v>
          </cell>
        </row>
        <row r="79">
          <cell r="B79" t="str">
            <v>LA CEJA</v>
          </cell>
          <cell r="C79" t="str">
            <v>05376</v>
          </cell>
        </row>
        <row r="80">
          <cell r="B80" t="str">
            <v>LA UNIÓN</v>
          </cell>
          <cell r="C80" t="str">
            <v>05400</v>
          </cell>
        </row>
        <row r="81">
          <cell r="B81" t="str">
            <v>MARINILLA</v>
          </cell>
          <cell r="C81" t="str">
            <v>05440</v>
          </cell>
        </row>
        <row r="82">
          <cell r="B82" t="str">
            <v>NARIÑO</v>
          </cell>
          <cell r="C82" t="str">
            <v>05483</v>
          </cell>
        </row>
        <row r="83">
          <cell r="B83" t="str">
            <v>PEÑOL</v>
          </cell>
          <cell r="C83" t="str">
            <v>05541</v>
          </cell>
        </row>
        <row r="84">
          <cell r="B84" t="str">
            <v>RETIRO</v>
          </cell>
          <cell r="C84" t="str">
            <v>05607</v>
          </cell>
        </row>
        <row r="85">
          <cell r="B85" t="str">
            <v>RIONEGRO</v>
          </cell>
          <cell r="C85" t="str">
            <v>05615</v>
          </cell>
        </row>
        <row r="86">
          <cell r="B86" t="str">
            <v>SAN CARLOS</v>
          </cell>
          <cell r="C86" t="str">
            <v>05649</v>
          </cell>
        </row>
        <row r="87">
          <cell r="B87" t="str">
            <v>SAN FRANCISCO</v>
          </cell>
          <cell r="C87" t="str">
            <v>05652</v>
          </cell>
        </row>
        <row r="88">
          <cell r="B88" t="str">
            <v>SAN LUIS</v>
          </cell>
          <cell r="C88" t="str">
            <v>05660</v>
          </cell>
        </row>
        <row r="89">
          <cell r="B89" t="str">
            <v>SAN RAFAEL</v>
          </cell>
          <cell r="C89" t="str">
            <v>05667</v>
          </cell>
        </row>
        <row r="90">
          <cell r="B90" t="str">
            <v>SAN VICENTE</v>
          </cell>
          <cell r="C90" t="str">
            <v>05674</v>
          </cell>
        </row>
        <row r="91">
          <cell r="B91" t="str">
            <v>SANTUARIO</v>
          </cell>
          <cell r="C91" t="str">
            <v>05697</v>
          </cell>
        </row>
        <row r="92">
          <cell r="B92" t="str">
            <v>SONSON</v>
          </cell>
          <cell r="C92" t="str">
            <v>05756</v>
          </cell>
        </row>
        <row r="93">
          <cell r="B93" t="str">
            <v>AMAGa</v>
          </cell>
          <cell r="C93" t="str">
            <v>05030</v>
          </cell>
        </row>
        <row r="94">
          <cell r="B94" t="str">
            <v>ANDES</v>
          </cell>
          <cell r="C94" t="str">
            <v>05034</v>
          </cell>
        </row>
        <row r="95">
          <cell r="B95" t="str">
            <v>ANGELOPOLIS</v>
          </cell>
          <cell r="C95" t="str">
            <v>05036</v>
          </cell>
        </row>
        <row r="96">
          <cell r="B96" t="str">
            <v>BETANIA</v>
          </cell>
          <cell r="C96" t="str">
            <v>05091</v>
          </cell>
        </row>
        <row r="97">
          <cell r="B97" t="str">
            <v>BETULIA</v>
          </cell>
          <cell r="C97" t="str">
            <v>05093</v>
          </cell>
        </row>
        <row r="98">
          <cell r="B98" t="str">
            <v>CAICEDO</v>
          </cell>
          <cell r="C98" t="str">
            <v>05125</v>
          </cell>
        </row>
        <row r="99">
          <cell r="B99" t="str">
            <v>CARAMANTA</v>
          </cell>
          <cell r="C99" t="str">
            <v>05145</v>
          </cell>
        </row>
        <row r="100">
          <cell r="B100" t="str">
            <v>CIUDAD BOLÍVAR</v>
          </cell>
          <cell r="C100" t="str">
            <v>05101</v>
          </cell>
        </row>
        <row r="101">
          <cell r="B101" t="str">
            <v>CONCORDIA</v>
          </cell>
          <cell r="C101" t="str">
            <v>05209</v>
          </cell>
        </row>
        <row r="102">
          <cell r="B102" t="str">
            <v>FREDONIA</v>
          </cell>
          <cell r="C102" t="str">
            <v>05282</v>
          </cell>
        </row>
        <row r="103">
          <cell r="B103" t="str">
            <v>HISPANIA</v>
          </cell>
          <cell r="C103" t="str">
            <v>05353</v>
          </cell>
        </row>
        <row r="104">
          <cell r="B104" t="str">
            <v>JARDÍN</v>
          </cell>
          <cell r="C104" t="str">
            <v>05364</v>
          </cell>
        </row>
        <row r="105">
          <cell r="B105" t="str">
            <v>JERICÓ</v>
          </cell>
          <cell r="C105" t="str">
            <v>05368</v>
          </cell>
        </row>
        <row r="106">
          <cell r="B106" t="str">
            <v>LA PINTADA</v>
          </cell>
          <cell r="C106" t="str">
            <v>05390</v>
          </cell>
        </row>
        <row r="107">
          <cell r="B107" t="str">
            <v>MONTEBELLO</v>
          </cell>
          <cell r="C107" t="str">
            <v>05467</v>
          </cell>
        </row>
        <row r="108">
          <cell r="B108" t="str">
            <v>PUEBLORRICO</v>
          </cell>
          <cell r="C108" t="str">
            <v>05576</v>
          </cell>
        </row>
        <row r="109">
          <cell r="B109" t="str">
            <v>SALGAR</v>
          </cell>
          <cell r="C109" t="str">
            <v>05642</v>
          </cell>
        </row>
        <row r="110">
          <cell r="B110" t="str">
            <v>SANTA BaRBARA</v>
          </cell>
          <cell r="C110" t="str">
            <v>05679</v>
          </cell>
        </row>
        <row r="111">
          <cell r="B111" t="str">
            <v>TÁMESIS</v>
          </cell>
          <cell r="C111" t="str">
            <v>05789</v>
          </cell>
        </row>
        <row r="112">
          <cell r="B112" t="str">
            <v>TARSO</v>
          </cell>
          <cell r="C112" t="str">
            <v>05792</v>
          </cell>
        </row>
        <row r="113">
          <cell r="B113" t="str">
            <v>TITIRIBÍ</v>
          </cell>
          <cell r="C113" t="str">
            <v>05809</v>
          </cell>
        </row>
        <row r="114">
          <cell r="B114" t="str">
            <v>URRAO</v>
          </cell>
          <cell r="C114" t="str">
            <v>05847</v>
          </cell>
        </row>
        <row r="115">
          <cell r="B115" t="str">
            <v>VALPARAISO</v>
          </cell>
          <cell r="C115" t="str">
            <v>05856</v>
          </cell>
        </row>
        <row r="116">
          <cell r="B116" t="str">
            <v>VENECIA</v>
          </cell>
          <cell r="C116" t="str">
            <v>05861</v>
          </cell>
        </row>
        <row r="117">
          <cell r="B117" t="str">
            <v>APARTADÓ</v>
          </cell>
          <cell r="C117" t="str">
            <v>05045</v>
          </cell>
        </row>
        <row r="118">
          <cell r="B118" t="str">
            <v>ARBOLETES</v>
          </cell>
          <cell r="C118" t="str">
            <v>05051</v>
          </cell>
        </row>
        <row r="119">
          <cell r="B119" t="str">
            <v>CAREPA</v>
          </cell>
          <cell r="C119" t="str">
            <v>05147</v>
          </cell>
        </row>
        <row r="120">
          <cell r="B120" t="str">
            <v>CHIGORODÓ</v>
          </cell>
          <cell r="C120" t="str">
            <v>05172</v>
          </cell>
        </row>
        <row r="121">
          <cell r="B121" t="str">
            <v>MURINDÓ</v>
          </cell>
          <cell r="C121" t="str">
            <v>05475</v>
          </cell>
        </row>
        <row r="122">
          <cell r="B122" t="str">
            <v>MUTATA</v>
          </cell>
          <cell r="C122" t="str">
            <v>05480</v>
          </cell>
        </row>
        <row r="123">
          <cell r="B123" t="str">
            <v>NECOCLÍ</v>
          </cell>
          <cell r="C123" t="str">
            <v>05490</v>
          </cell>
        </row>
        <row r="124">
          <cell r="B124" t="str">
            <v>SAN JUAN DE URABA</v>
          </cell>
          <cell r="C124" t="str">
            <v>05659</v>
          </cell>
        </row>
        <row r="125">
          <cell r="B125" t="str">
            <v>SAN PEDRO DE URABA</v>
          </cell>
          <cell r="C125" t="str">
            <v>05665</v>
          </cell>
        </row>
        <row r="126">
          <cell r="B126" t="str">
            <v>TURBO</v>
          </cell>
          <cell r="C126" t="str">
            <v>05837</v>
          </cell>
        </row>
        <row r="127">
          <cell r="B127" t="str">
            <v>VIGÍA DEL FUERTE</v>
          </cell>
          <cell r="C127" t="str">
            <v>05873</v>
          </cell>
        </row>
        <row r="128">
          <cell r="B128" t="str">
            <v>BARBOSA</v>
          </cell>
          <cell r="C128" t="str">
            <v>05079</v>
          </cell>
        </row>
        <row r="129">
          <cell r="B129" t="str">
            <v>BELLO</v>
          </cell>
          <cell r="C129" t="str">
            <v>05088</v>
          </cell>
        </row>
        <row r="130">
          <cell r="B130" t="str">
            <v>CALDAS</v>
          </cell>
          <cell r="C130" t="str">
            <v>05129</v>
          </cell>
        </row>
        <row r="131">
          <cell r="B131" t="str">
            <v>COPACABANA</v>
          </cell>
          <cell r="C131" t="str">
            <v>05212</v>
          </cell>
        </row>
        <row r="132">
          <cell r="B132" t="str">
            <v>ENVIGADO</v>
          </cell>
          <cell r="C132" t="str">
            <v>05266</v>
          </cell>
        </row>
        <row r="133">
          <cell r="B133" t="str">
            <v>GIRARDOTA</v>
          </cell>
          <cell r="C133" t="str">
            <v>05308</v>
          </cell>
        </row>
        <row r="134">
          <cell r="B134" t="str">
            <v>ITAGUI</v>
          </cell>
          <cell r="C134" t="str">
            <v>05360</v>
          </cell>
        </row>
        <row r="135">
          <cell r="B135" t="str">
            <v>LA ESTRELLA</v>
          </cell>
          <cell r="C135" t="str">
            <v>05380</v>
          </cell>
        </row>
        <row r="136">
          <cell r="B136" t="str">
            <v>MEDELLÍN</v>
          </cell>
          <cell r="C136" t="str">
            <v>05001</v>
          </cell>
        </row>
        <row r="137">
          <cell r="B137" t="str">
            <v>SABANETA</v>
          </cell>
          <cell r="C137" t="str">
            <v>05631</v>
          </cell>
        </row>
        <row r="138">
          <cell r="B138" t="str">
            <v>ARAUCA</v>
          </cell>
          <cell r="C138" t="str">
            <v>81001</v>
          </cell>
        </row>
        <row r="139">
          <cell r="B139" t="str">
            <v>ARAUQUITA</v>
          </cell>
          <cell r="C139" t="str">
            <v>81065</v>
          </cell>
        </row>
        <row r="140">
          <cell r="B140" t="str">
            <v>CRAVO NORTE</v>
          </cell>
          <cell r="C140" t="str">
            <v>81220</v>
          </cell>
        </row>
        <row r="141">
          <cell r="B141" t="str">
            <v>FORTUL</v>
          </cell>
          <cell r="C141" t="str">
            <v>81300</v>
          </cell>
        </row>
        <row r="142">
          <cell r="B142" t="str">
            <v>PUERTO RONDÓN</v>
          </cell>
          <cell r="C142" t="str">
            <v>81591</v>
          </cell>
        </row>
        <row r="143">
          <cell r="B143" t="str">
            <v>SARAVENA</v>
          </cell>
          <cell r="C143" t="str">
            <v>81736</v>
          </cell>
        </row>
        <row r="144">
          <cell r="B144" t="str">
            <v>TAME</v>
          </cell>
          <cell r="C144" t="str">
            <v>81794</v>
          </cell>
        </row>
        <row r="145">
          <cell r="B145" t="str">
            <v>PROVIDENCIA Y SANTA CATALINA</v>
          </cell>
          <cell r="C145" t="str">
            <v>88564</v>
          </cell>
        </row>
        <row r="146">
          <cell r="B146" t="str">
            <v>SAN ANDReS</v>
          </cell>
          <cell r="C146" t="str">
            <v>88001</v>
          </cell>
        </row>
        <row r="147">
          <cell r="B147" t="str">
            <v>BARRANQUILLA</v>
          </cell>
          <cell r="C147" t="str">
            <v>08001</v>
          </cell>
        </row>
        <row r="148">
          <cell r="B148" t="str">
            <v>GALAPA</v>
          </cell>
          <cell r="C148" t="str">
            <v>08296</v>
          </cell>
        </row>
        <row r="149">
          <cell r="B149" t="str">
            <v>MALAMBO</v>
          </cell>
          <cell r="C149" t="str">
            <v>08433</v>
          </cell>
        </row>
        <row r="150">
          <cell r="B150" t="str">
            <v>PUERTO COLOMBIA</v>
          </cell>
          <cell r="C150" t="str">
            <v>08573</v>
          </cell>
        </row>
        <row r="151">
          <cell r="B151" t="str">
            <v>SOLEDAD</v>
          </cell>
          <cell r="C151" t="str">
            <v>08758</v>
          </cell>
        </row>
        <row r="152">
          <cell r="B152" t="str">
            <v>CAMPO DE LA CRUZ</v>
          </cell>
          <cell r="C152" t="str">
            <v>08137</v>
          </cell>
        </row>
        <row r="153">
          <cell r="B153" t="str">
            <v>CANDELARIA</v>
          </cell>
          <cell r="C153" t="str">
            <v>08141</v>
          </cell>
        </row>
        <row r="154">
          <cell r="B154" t="str">
            <v>LURUACO</v>
          </cell>
          <cell r="C154" t="str">
            <v>08421</v>
          </cell>
        </row>
        <row r="155">
          <cell r="B155" t="str">
            <v>MANATi</v>
          </cell>
          <cell r="C155" t="str">
            <v>08436</v>
          </cell>
        </row>
        <row r="156">
          <cell r="B156" t="str">
            <v>REPELON</v>
          </cell>
          <cell r="C156" t="str">
            <v>08606</v>
          </cell>
        </row>
        <row r="157">
          <cell r="B157" t="str">
            <v>SANTA LUCiA</v>
          </cell>
          <cell r="C157" t="str">
            <v>08675</v>
          </cell>
        </row>
        <row r="158">
          <cell r="B158" t="str">
            <v>SUAN</v>
          </cell>
          <cell r="C158" t="str">
            <v>08770</v>
          </cell>
        </row>
        <row r="159">
          <cell r="B159" t="str">
            <v>BARANOA</v>
          </cell>
          <cell r="C159" t="str">
            <v>08078</v>
          </cell>
        </row>
        <row r="160">
          <cell r="B160" t="str">
            <v>PALMAR DE VARELA</v>
          </cell>
          <cell r="C160" t="str">
            <v>08520</v>
          </cell>
        </row>
        <row r="161">
          <cell r="B161" t="str">
            <v>POLONUEVO</v>
          </cell>
          <cell r="C161" t="str">
            <v>08558</v>
          </cell>
        </row>
        <row r="162">
          <cell r="B162" t="str">
            <v>PONEDERA</v>
          </cell>
          <cell r="C162" t="str">
            <v>08560</v>
          </cell>
        </row>
        <row r="163">
          <cell r="B163" t="str">
            <v>Sabanagrande</v>
          </cell>
          <cell r="C163" t="str">
            <v>08634</v>
          </cell>
        </row>
        <row r="164">
          <cell r="B164" t="str">
            <v>SABANALARGA</v>
          </cell>
          <cell r="C164" t="str">
            <v>08638</v>
          </cell>
        </row>
        <row r="165">
          <cell r="B165" t="str">
            <v>Santo Tomas</v>
          </cell>
          <cell r="C165" t="str">
            <v>08685</v>
          </cell>
        </row>
        <row r="166">
          <cell r="B166" t="str">
            <v>JUAN DE ACOSTA</v>
          </cell>
          <cell r="C166" t="str">
            <v>08372</v>
          </cell>
        </row>
        <row r="167">
          <cell r="B167" t="str">
            <v>PIOJÓ</v>
          </cell>
          <cell r="C167" t="str">
            <v>08549</v>
          </cell>
        </row>
        <row r="168">
          <cell r="B168" t="str">
            <v>TUBARA</v>
          </cell>
          <cell r="C168" t="str">
            <v>08832</v>
          </cell>
        </row>
        <row r="169">
          <cell r="B169" t="str">
            <v>USIACURi</v>
          </cell>
          <cell r="C169" t="str">
            <v>08849</v>
          </cell>
        </row>
        <row r="170">
          <cell r="B170" t="str">
            <v>BOGOTA D.C.</v>
          </cell>
          <cell r="C170" t="str">
            <v>11001</v>
          </cell>
        </row>
        <row r="171">
          <cell r="B171" t="str">
            <v>CICUCO</v>
          </cell>
          <cell r="C171" t="str">
            <v>13188</v>
          </cell>
        </row>
        <row r="172">
          <cell r="B172" t="str">
            <v>HATILLO DE LOBA</v>
          </cell>
          <cell r="C172" t="str">
            <v>13300</v>
          </cell>
        </row>
        <row r="173">
          <cell r="B173" t="str">
            <v>MARGARITA</v>
          </cell>
          <cell r="C173" t="str">
            <v>13440</v>
          </cell>
        </row>
        <row r="174">
          <cell r="B174" t="str">
            <v>MOMPÓS</v>
          </cell>
          <cell r="C174" t="str">
            <v>13468</v>
          </cell>
        </row>
        <row r="175">
          <cell r="B175" t="str">
            <v>SAN FERNANDO</v>
          </cell>
          <cell r="C175" t="str">
            <v>13650</v>
          </cell>
        </row>
        <row r="176">
          <cell r="B176" t="str">
            <v>TALAIGUA NUEVO</v>
          </cell>
          <cell r="C176" t="str">
            <v>13780</v>
          </cell>
        </row>
        <row r="177">
          <cell r="B177" t="str">
            <v>ARJONA</v>
          </cell>
          <cell r="C177" t="str">
            <v>13052</v>
          </cell>
        </row>
        <row r="178">
          <cell r="B178" t="str">
            <v>ARROYOHONDO</v>
          </cell>
          <cell r="C178" t="str">
            <v>13062</v>
          </cell>
        </row>
        <row r="179">
          <cell r="B179" t="str">
            <v>CALAMAR</v>
          </cell>
          <cell r="C179" t="str">
            <v>13140</v>
          </cell>
        </row>
        <row r="180">
          <cell r="B180" t="str">
            <v>CARTAGENA</v>
          </cell>
          <cell r="C180" t="str">
            <v>13001</v>
          </cell>
        </row>
        <row r="181">
          <cell r="B181" t="str">
            <v>CLEMENCIA</v>
          </cell>
          <cell r="C181" t="str">
            <v>13222</v>
          </cell>
        </row>
        <row r="182">
          <cell r="B182" t="str">
            <v>MAHATES</v>
          </cell>
          <cell r="C182" t="str">
            <v>13433</v>
          </cell>
        </row>
        <row r="183">
          <cell r="B183" t="str">
            <v>SAN CRISTOBAL</v>
          </cell>
          <cell r="C183" t="str">
            <v>13620</v>
          </cell>
        </row>
        <row r="184">
          <cell r="B184" t="str">
            <v>SAN ESTANISLAO</v>
          </cell>
          <cell r="C184" t="str">
            <v>13647</v>
          </cell>
        </row>
        <row r="185">
          <cell r="B185" t="str">
            <v>SANTA CATALINA</v>
          </cell>
          <cell r="C185" t="str">
            <v>13673</v>
          </cell>
        </row>
        <row r="186">
          <cell r="B186" t="str">
            <v>SANTA ROSA DE LIMA</v>
          </cell>
          <cell r="C186" t="str">
            <v>13683</v>
          </cell>
        </row>
        <row r="187">
          <cell r="B187" t="str">
            <v>SOPLAVIENTO</v>
          </cell>
          <cell r="C187" t="str">
            <v>13760</v>
          </cell>
        </row>
        <row r="188">
          <cell r="B188" t="str">
            <v>TURBACO</v>
          </cell>
          <cell r="C188" t="str">
            <v>13836</v>
          </cell>
        </row>
        <row r="189">
          <cell r="B189" t="str">
            <v>TURBANA</v>
          </cell>
          <cell r="C189" t="str">
            <v>13838</v>
          </cell>
        </row>
        <row r="190">
          <cell r="B190" t="str">
            <v>VILLANUEVA</v>
          </cell>
          <cell r="C190" t="str">
            <v>13873</v>
          </cell>
        </row>
        <row r="191">
          <cell r="B191" t="str">
            <v>ALTOS DEL ROSARIO</v>
          </cell>
          <cell r="C191" t="str">
            <v>13030</v>
          </cell>
        </row>
        <row r="192">
          <cell r="B192" t="str">
            <v>BARRANCO DE LOBA</v>
          </cell>
          <cell r="C192" t="str">
            <v>13074</v>
          </cell>
        </row>
        <row r="193">
          <cell r="B193" t="str">
            <v>EL PEÑON</v>
          </cell>
          <cell r="C193" t="str">
            <v>13268</v>
          </cell>
        </row>
        <row r="194">
          <cell r="B194" t="str">
            <v>REGIDOR</v>
          </cell>
          <cell r="C194" t="str">
            <v>13580</v>
          </cell>
        </row>
        <row r="195">
          <cell r="B195" t="str">
            <v>RÍO VIEJO</v>
          </cell>
          <cell r="C195" t="str">
            <v>13600</v>
          </cell>
        </row>
        <row r="196">
          <cell r="B196" t="str">
            <v>SAN MARTIN DE LOBA</v>
          </cell>
          <cell r="C196" t="str">
            <v>13667</v>
          </cell>
        </row>
        <row r="197">
          <cell r="B197" t="str">
            <v>ARENAL</v>
          </cell>
          <cell r="C197" t="str">
            <v>13042</v>
          </cell>
        </row>
        <row r="198">
          <cell r="B198" t="str">
            <v>CANTAGALLO</v>
          </cell>
          <cell r="C198" t="str">
            <v>13160</v>
          </cell>
        </row>
        <row r="199">
          <cell r="B199" t="str">
            <v>MORALES</v>
          </cell>
          <cell r="C199" t="str">
            <v>13473</v>
          </cell>
        </row>
        <row r="200">
          <cell r="B200" t="str">
            <v>SAN PABLO</v>
          </cell>
          <cell r="C200" t="str">
            <v>13670</v>
          </cell>
        </row>
        <row r="201">
          <cell r="B201" t="str">
            <v>SANTA ROSA DEL SUR</v>
          </cell>
          <cell r="C201" t="str">
            <v>13688</v>
          </cell>
        </row>
        <row r="202">
          <cell r="B202" t="str">
            <v>SIMITÍ</v>
          </cell>
          <cell r="C202" t="str">
            <v>13744</v>
          </cell>
        </row>
        <row r="203">
          <cell r="B203" t="str">
            <v>ACHÍ</v>
          </cell>
          <cell r="C203" t="str">
            <v>13006</v>
          </cell>
        </row>
        <row r="204">
          <cell r="B204" t="str">
            <v>MAGANGUÉ</v>
          </cell>
          <cell r="C204" t="str">
            <v>13430</v>
          </cell>
        </row>
        <row r="205">
          <cell r="B205" t="str">
            <v>MONTECRISTO</v>
          </cell>
          <cell r="C205" t="str">
            <v>13458</v>
          </cell>
        </row>
        <row r="206">
          <cell r="B206" t="str">
            <v>PINILLOS</v>
          </cell>
          <cell r="C206" t="str">
            <v>13549</v>
          </cell>
        </row>
        <row r="207">
          <cell r="B207" t="str">
            <v>SAN JACINTO DEL CAUCA</v>
          </cell>
          <cell r="C207" t="str">
            <v>13655</v>
          </cell>
        </row>
        <row r="208">
          <cell r="B208" t="str">
            <v>TIQUISIO</v>
          </cell>
          <cell r="C208" t="str">
            <v>13810</v>
          </cell>
        </row>
        <row r="209">
          <cell r="B209" t="str">
            <v>CARMEN DE BOLÍVAR</v>
          </cell>
          <cell r="C209" t="str">
            <v>13244</v>
          </cell>
        </row>
        <row r="210">
          <cell r="B210" t="str">
            <v>CÓRDOBA</v>
          </cell>
          <cell r="C210" t="str">
            <v>13212</v>
          </cell>
        </row>
        <row r="211">
          <cell r="B211" t="str">
            <v>EL GUAMO</v>
          </cell>
          <cell r="C211" t="str">
            <v>13248</v>
          </cell>
        </row>
        <row r="212">
          <cell r="B212" t="str">
            <v>MARÍA LA BAJA</v>
          </cell>
          <cell r="C212" t="str">
            <v>13442</v>
          </cell>
        </row>
        <row r="213">
          <cell r="B213" t="str">
            <v>SAN JACINTO</v>
          </cell>
          <cell r="C213" t="str">
            <v>13654</v>
          </cell>
        </row>
        <row r="214">
          <cell r="B214" t="str">
            <v>SAN JUAN NEPOMUCENO</v>
          </cell>
          <cell r="C214" t="str">
            <v>13657</v>
          </cell>
        </row>
        <row r="215">
          <cell r="B215" t="str">
            <v>ZAMBRANO</v>
          </cell>
          <cell r="C215" t="str">
            <v>13894</v>
          </cell>
        </row>
        <row r="216">
          <cell r="B216" t="str">
            <v>CHÍQUIZA</v>
          </cell>
          <cell r="C216" t="str">
            <v>15232</v>
          </cell>
        </row>
        <row r="217">
          <cell r="B217" t="str">
            <v>CHIVATÁ</v>
          </cell>
          <cell r="C217" t="str">
            <v>15187</v>
          </cell>
        </row>
        <row r="218">
          <cell r="B218" t="str">
            <v>CÓMBITA</v>
          </cell>
          <cell r="C218" t="str">
            <v>15204</v>
          </cell>
        </row>
        <row r="219">
          <cell r="B219" t="str">
            <v>CUCAITA</v>
          </cell>
          <cell r="C219" t="str">
            <v>15224</v>
          </cell>
        </row>
        <row r="220">
          <cell r="B220" t="str">
            <v>MOTAVITA</v>
          </cell>
          <cell r="C220" t="str">
            <v>15476</v>
          </cell>
        </row>
        <row r="221">
          <cell r="B221" t="str">
            <v>OICATÁ</v>
          </cell>
          <cell r="C221" t="str">
            <v>15500</v>
          </cell>
        </row>
        <row r="222">
          <cell r="B222" t="str">
            <v>SAMACÁ</v>
          </cell>
          <cell r="C222" t="str">
            <v>15646</v>
          </cell>
        </row>
        <row r="223">
          <cell r="B223" t="str">
            <v>SIACHOQUE</v>
          </cell>
          <cell r="C223" t="str">
            <v>15740</v>
          </cell>
        </row>
        <row r="224">
          <cell r="B224" t="str">
            <v>SORA</v>
          </cell>
          <cell r="C224" t="str">
            <v>15762</v>
          </cell>
        </row>
        <row r="225">
          <cell r="B225" t="str">
            <v>SORACÁ</v>
          </cell>
          <cell r="C225" t="str">
            <v>15764</v>
          </cell>
        </row>
        <row r="226">
          <cell r="B226" t="str">
            <v>SOTAQUIRÁ</v>
          </cell>
          <cell r="C226" t="str">
            <v>15763</v>
          </cell>
        </row>
        <row r="227">
          <cell r="B227" t="str">
            <v>TOCA</v>
          </cell>
          <cell r="C227" t="str">
            <v>15814</v>
          </cell>
        </row>
        <row r="228">
          <cell r="B228" t="str">
            <v>TUNJA</v>
          </cell>
          <cell r="C228" t="str">
            <v>15001</v>
          </cell>
        </row>
        <row r="229">
          <cell r="B229" t="str">
            <v>TUTA</v>
          </cell>
          <cell r="C229" t="str">
            <v>15837</v>
          </cell>
        </row>
        <row r="230">
          <cell r="B230" t="str">
            <v>VENTAQUEMADA</v>
          </cell>
          <cell r="C230" t="str">
            <v>15861</v>
          </cell>
        </row>
        <row r="231">
          <cell r="B231" t="str">
            <v>CHISCAS</v>
          </cell>
          <cell r="C231" t="str">
            <v>15180</v>
          </cell>
        </row>
        <row r="232">
          <cell r="B232" t="str">
            <v>CUBARÁ</v>
          </cell>
          <cell r="C232" t="str">
            <v>15223</v>
          </cell>
        </row>
        <row r="233">
          <cell r="B233" t="str">
            <v>EL COCUY</v>
          </cell>
          <cell r="C233" t="str">
            <v>15244</v>
          </cell>
        </row>
        <row r="234">
          <cell r="B234" t="str">
            <v>EL ESPINO</v>
          </cell>
          <cell r="C234" t="str">
            <v>15248</v>
          </cell>
        </row>
        <row r="235">
          <cell r="B235" t="str">
            <v>GUACAMAYAS</v>
          </cell>
          <cell r="C235" t="str">
            <v>15317</v>
          </cell>
        </row>
        <row r="236">
          <cell r="B236" t="str">
            <v>GÜICÁN</v>
          </cell>
          <cell r="C236" t="str">
            <v>15332</v>
          </cell>
        </row>
        <row r="237">
          <cell r="B237" t="str">
            <v>PANQUEBA</v>
          </cell>
          <cell r="C237" t="str">
            <v>15522</v>
          </cell>
        </row>
        <row r="238">
          <cell r="B238" t="str">
            <v>LABRANZAGRANDE</v>
          </cell>
          <cell r="C238" t="str">
            <v>15377</v>
          </cell>
        </row>
        <row r="239">
          <cell r="B239" t="str">
            <v>PAJARITO</v>
          </cell>
          <cell r="C239" t="str">
            <v>15518</v>
          </cell>
        </row>
        <row r="240">
          <cell r="B240" t="str">
            <v>PAYA</v>
          </cell>
          <cell r="C240" t="str">
            <v>15533</v>
          </cell>
        </row>
        <row r="241">
          <cell r="B241" t="str">
            <v>PISBA</v>
          </cell>
          <cell r="C241" t="str">
            <v>15550</v>
          </cell>
        </row>
        <row r="242">
          <cell r="B242" t="str">
            <v>BERBEO</v>
          </cell>
          <cell r="C242" t="str">
            <v>15090</v>
          </cell>
        </row>
        <row r="243">
          <cell r="B243" t="str">
            <v>CAMPOHERMOSO</v>
          </cell>
          <cell r="C243" t="str">
            <v>15135</v>
          </cell>
        </row>
        <row r="244">
          <cell r="B244" t="str">
            <v>MIRAFLORES</v>
          </cell>
          <cell r="C244" t="str">
            <v>15455</v>
          </cell>
        </row>
        <row r="245">
          <cell r="B245" t="str">
            <v>PÁEZ</v>
          </cell>
          <cell r="C245" t="str">
            <v>15514</v>
          </cell>
        </row>
        <row r="246">
          <cell r="B246" t="str">
            <v>SAN EDUARDO</v>
          </cell>
          <cell r="C246" t="str">
            <v>15660</v>
          </cell>
        </row>
        <row r="247">
          <cell r="B247" t="str">
            <v>ZETAQUIRA</v>
          </cell>
          <cell r="C247" t="str">
            <v>15897</v>
          </cell>
        </row>
        <row r="248">
          <cell r="B248" t="str">
            <v>BOYACÁ</v>
          </cell>
          <cell r="C248" t="str">
            <v>15104</v>
          </cell>
        </row>
        <row r="249">
          <cell r="B249" t="str">
            <v>CIÉNEGA</v>
          </cell>
          <cell r="C249" t="str">
            <v>15189</v>
          </cell>
        </row>
        <row r="250">
          <cell r="B250" t="str">
            <v>JENESANO</v>
          </cell>
          <cell r="C250" t="str">
            <v>15367</v>
          </cell>
        </row>
        <row r="251">
          <cell r="B251" t="str">
            <v>NUEVO COLÓN</v>
          </cell>
          <cell r="C251" t="str">
            <v>15494</v>
          </cell>
        </row>
        <row r="252">
          <cell r="B252" t="str">
            <v>RAMIRIQUÍ</v>
          </cell>
          <cell r="C252" t="str">
            <v>15599</v>
          </cell>
        </row>
        <row r="253">
          <cell r="B253" t="str">
            <v>RONDÓN</v>
          </cell>
          <cell r="C253" t="str">
            <v>15621</v>
          </cell>
        </row>
        <row r="254">
          <cell r="B254" t="str">
            <v>TIBANÁ</v>
          </cell>
          <cell r="C254" t="str">
            <v>15804</v>
          </cell>
        </row>
        <row r="255">
          <cell r="B255" t="str">
            <v>TURMEQUÉ</v>
          </cell>
          <cell r="C255" t="str">
            <v>15835</v>
          </cell>
        </row>
        <row r="256">
          <cell r="B256" t="str">
            <v>UMBITA</v>
          </cell>
          <cell r="C256" t="str">
            <v>15842</v>
          </cell>
        </row>
        <row r="257">
          <cell r="B257" t="str">
            <v>VIRACACHÁ</v>
          </cell>
          <cell r="C257" t="str">
            <v>15879</v>
          </cell>
        </row>
        <row r="258">
          <cell r="B258" t="str">
            <v>CHINAVITA</v>
          </cell>
          <cell r="C258" t="str">
            <v>15172</v>
          </cell>
        </row>
        <row r="259">
          <cell r="B259" t="str">
            <v>GARAGOA</v>
          </cell>
          <cell r="C259" t="str">
            <v>15299</v>
          </cell>
        </row>
        <row r="260">
          <cell r="B260" t="str">
            <v>MACANAL</v>
          </cell>
          <cell r="C260" t="str">
            <v>15425</v>
          </cell>
        </row>
        <row r="261">
          <cell r="B261" t="str">
            <v>PACHAVITA</v>
          </cell>
          <cell r="C261" t="str">
            <v>15511</v>
          </cell>
        </row>
        <row r="262">
          <cell r="B262" t="str">
            <v>SAN LUIS DE GACENO</v>
          </cell>
          <cell r="C262" t="str">
            <v>15667</v>
          </cell>
        </row>
        <row r="263">
          <cell r="B263" t="str">
            <v>SANTA MARÍA</v>
          </cell>
          <cell r="C263" t="str">
            <v>15690</v>
          </cell>
        </row>
        <row r="264">
          <cell r="B264" t="str">
            <v>BOAVITA</v>
          </cell>
          <cell r="C264" t="str">
            <v>15097</v>
          </cell>
        </row>
        <row r="265">
          <cell r="B265" t="str">
            <v>COVARACHÍA</v>
          </cell>
          <cell r="C265" t="str">
            <v>15218</v>
          </cell>
        </row>
        <row r="266">
          <cell r="B266" t="str">
            <v>LA UVITA</v>
          </cell>
          <cell r="C266" t="str">
            <v>15403</v>
          </cell>
        </row>
        <row r="267">
          <cell r="B267" t="str">
            <v>SAN MATEO</v>
          </cell>
          <cell r="C267" t="str">
            <v>15673</v>
          </cell>
        </row>
        <row r="268">
          <cell r="B268" t="str">
            <v>SATIVANORTE</v>
          </cell>
          <cell r="C268" t="str">
            <v>15720</v>
          </cell>
        </row>
        <row r="269">
          <cell r="B269" t="str">
            <v>SATIVASUR</v>
          </cell>
          <cell r="C269" t="str">
            <v>15723</v>
          </cell>
        </row>
        <row r="270">
          <cell r="B270" t="str">
            <v>SOATÁ</v>
          </cell>
          <cell r="C270" t="str">
            <v>15753</v>
          </cell>
        </row>
        <row r="271">
          <cell r="B271" t="str">
            <v>SUSACÓN</v>
          </cell>
          <cell r="C271" t="str">
            <v>15774</v>
          </cell>
        </row>
        <row r="272">
          <cell r="B272" t="str">
            <v>TIPACOQUE</v>
          </cell>
          <cell r="C272" t="str">
            <v>15810</v>
          </cell>
        </row>
        <row r="273">
          <cell r="B273" t="str">
            <v>BRICEÑO</v>
          </cell>
          <cell r="C273" t="str">
            <v>15106</v>
          </cell>
        </row>
        <row r="274">
          <cell r="B274" t="str">
            <v>BUENAVISTA</v>
          </cell>
          <cell r="C274" t="str">
            <v>15109</v>
          </cell>
        </row>
        <row r="275">
          <cell r="B275" t="str">
            <v>CALDAS</v>
          </cell>
          <cell r="C275" t="str">
            <v>15131</v>
          </cell>
        </row>
        <row r="276">
          <cell r="B276" t="str">
            <v>CHIQUINQUIRÁ</v>
          </cell>
          <cell r="C276" t="str">
            <v>15176</v>
          </cell>
        </row>
        <row r="277">
          <cell r="B277" t="str">
            <v>COPER</v>
          </cell>
          <cell r="C277" t="str">
            <v>15212</v>
          </cell>
        </row>
        <row r="278">
          <cell r="B278" t="str">
            <v>LA VICTORIA</v>
          </cell>
          <cell r="C278" t="str">
            <v>15401</v>
          </cell>
        </row>
        <row r="279">
          <cell r="B279" t="str">
            <v>MARIPÍ</v>
          </cell>
          <cell r="C279" t="str">
            <v>15442</v>
          </cell>
        </row>
        <row r="280">
          <cell r="B280" t="str">
            <v>MUZO</v>
          </cell>
          <cell r="C280" t="str">
            <v>15480</v>
          </cell>
        </row>
        <row r="281">
          <cell r="B281" t="str">
            <v>OTANCHE</v>
          </cell>
          <cell r="C281" t="str">
            <v>15507</v>
          </cell>
        </row>
        <row r="282">
          <cell r="B282" t="str">
            <v>PAUNA</v>
          </cell>
          <cell r="C282" t="str">
            <v>15531</v>
          </cell>
        </row>
        <row r="283">
          <cell r="B283" t="str">
            <v>PUERTO BOYACa</v>
          </cell>
          <cell r="C283" t="str">
            <v>15572</v>
          </cell>
        </row>
        <row r="284">
          <cell r="B284" t="str">
            <v>QUÍPAMA</v>
          </cell>
          <cell r="C284" t="str">
            <v>15580</v>
          </cell>
        </row>
        <row r="285">
          <cell r="B285" t="str">
            <v>SABOYÁ</v>
          </cell>
          <cell r="C285" t="str">
            <v>15632</v>
          </cell>
        </row>
        <row r="286">
          <cell r="B286" t="str">
            <v>SAN MIGUEL DE SEMA</v>
          </cell>
          <cell r="C286" t="str">
            <v>15676</v>
          </cell>
        </row>
        <row r="287">
          <cell r="B287" t="str">
            <v>SAN PABLO BORBUR</v>
          </cell>
          <cell r="C287" t="str">
            <v>15681</v>
          </cell>
        </row>
        <row r="288">
          <cell r="B288" t="str">
            <v>TUNUNGUÁ</v>
          </cell>
          <cell r="C288" t="str">
            <v>15832</v>
          </cell>
        </row>
        <row r="289">
          <cell r="B289" t="str">
            <v>ALMEIDA</v>
          </cell>
          <cell r="C289" t="str">
            <v>15022</v>
          </cell>
        </row>
        <row r="290">
          <cell r="B290" t="str">
            <v>CHIVOR</v>
          </cell>
          <cell r="C290" t="str">
            <v>15236</v>
          </cell>
        </row>
        <row r="291">
          <cell r="B291" t="str">
            <v>GUATEQUE</v>
          </cell>
          <cell r="C291" t="str">
            <v>15322</v>
          </cell>
        </row>
        <row r="292">
          <cell r="B292" t="str">
            <v>GUAYATÁ</v>
          </cell>
          <cell r="C292" t="str">
            <v>15325</v>
          </cell>
        </row>
        <row r="293">
          <cell r="B293" t="str">
            <v>LA CAPILLA</v>
          </cell>
          <cell r="C293" t="str">
            <v>15380</v>
          </cell>
        </row>
        <row r="294">
          <cell r="B294" t="str">
            <v>SOMONDOCO</v>
          </cell>
          <cell r="C294" t="str">
            <v>15761</v>
          </cell>
        </row>
        <row r="295">
          <cell r="B295" t="str">
            <v>SUTATENZA</v>
          </cell>
          <cell r="C295" t="str">
            <v>15778</v>
          </cell>
        </row>
        <row r="296">
          <cell r="B296" t="str">
            <v>TENZA</v>
          </cell>
          <cell r="C296" t="str">
            <v>15798</v>
          </cell>
        </row>
        <row r="297">
          <cell r="B297" t="str">
            <v>ARCABUCO</v>
          </cell>
          <cell r="C297" t="str">
            <v>15051</v>
          </cell>
        </row>
        <row r="298">
          <cell r="B298" t="str">
            <v>CHITARAQUE</v>
          </cell>
          <cell r="C298" t="str">
            <v>15185</v>
          </cell>
        </row>
        <row r="299">
          <cell r="B299" t="str">
            <v>GACHANTIVÁ</v>
          </cell>
          <cell r="C299" t="str">
            <v>15293</v>
          </cell>
        </row>
        <row r="300">
          <cell r="B300" t="str">
            <v>MONIQUIRÁ</v>
          </cell>
          <cell r="C300" t="str">
            <v>15469</v>
          </cell>
        </row>
        <row r="301">
          <cell r="B301" t="str">
            <v>RÁQUIRA</v>
          </cell>
          <cell r="C301" t="str">
            <v>15600</v>
          </cell>
        </row>
        <row r="302">
          <cell r="B302" t="str">
            <v>SÁCHICA</v>
          </cell>
          <cell r="C302" t="str">
            <v>15638</v>
          </cell>
        </row>
        <row r="303">
          <cell r="B303" t="str">
            <v>SAN JOSÉ DE PARE</v>
          </cell>
          <cell r="C303" t="str">
            <v>15664</v>
          </cell>
        </row>
        <row r="304">
          <cell r="B304" t="str">
            <v>SANTA SOFÍA</v>
          </cell>
          <cell r="C304" t="str">
            <v>15696</v>
          </cell>
        </row>
        <row r="305">
          <cell r="B305" t="str">
            <v>SANTANA</v>
          </cell>
          <cell r="C305" t="str">
            <v>15686</v>
          </cell>
        </row>
        <row r="306">
          <cell r="B306" t="str">
            <v>SUTAMARCHÁN</v>
          </cell>
          <cell r="C306" t="str">
            <v>15776</v>
          </cell>
        </row>
        <row r="307">
          <cell r="B307" t="str">
            <v>TINJACÁ</v>
          </cell>
          <cell r="C307" t="str">
            <v>15808</v>
          </cell>
        </row>
        <row r="308">
          <cell r="B308" t="str">
            <v>TOGÜÍ</v>
          </cell>
          <cell r="C308" t="str">
            <v>15816</v>
          </cell>
        </row>
        <row r="309">
          <cell r="B309" t="str">
            <v>VILLA DE LEYVA</v>
          </cell>
          <cell r="C309" t="str">
            <v>15407</v>
          </cell>
        </row>
        <row r="310">
          <cell r="B310" t="str">
            <v>AQUITANIA</v>
          </cell>
          <cell r="C310" t="str">
            <v>15047</v>
          </cell>
        </row>
        <row r="311">
          <cell r="B311" t="str">
            <v>CUÍTIVA</v>
          </cell>
          <cell r="C311" t="str">
            <v>15226</v>
          </cell>
        </row>
        <row r="312">
          <cell r="B312" t="str">
            <v>FIRAVITOBA</v>
          </cell>
          <cell r="C312" t="str">
            <v>15272</v>
          </cell>
        </row>
        <row r="313">
          <cell r="B313" t="str">
            <v>GAMEZA</v>
          </cell>
          <cell r="C313" t="str">
            <v>15296</v>
          </cell>
        </row>
        <row r="314">
          <cell r="B314" t="str">
            <v>IZA</v>
          </cell>
          <cell r="C314" t="str">
            <v>15362</v>
          </cell>
        </row>
        <row r="315">
          <cell r="B315" t="str">
            <v>MONGUA</v>
          </cell>
          <cell r="C315" t="str">
            <v>15464</v>
          </cell>
        </row>
        <row r="316">
          <cell r="B316" t="str">
            <v>MONGUÍ</v>
          </cell>
          <cell r="C316" t="str">
            <v>15466</v>
          </cell>
        </row>
        <row r="317">
          <cell r="B317" t="str">
            <v>NOBSA</v>
          </cell>
          <cell r="C317" t="str">
            <v>15491</v>
          </cell>
        </row>
        <row r="318">
          <cell r="B318" t="str">
            <v>PESCA</v>
          </cell>
          <cell r="C318" t="str">
            <v>15542</v>
          </cell>
        </row>
        <row r="319">
          <cell r="B319" t="str">
            <v>SOGAMOSO</v>
          </cell>
          <cell r="C319" t="str">
            <v>15759</v>
          </cell>
        </row>
        <row r="320">
          <cell r="B320" t="str">
            <v>TIBASOSA</v>
          </cell>
          <cell r="C320" t="str">
            <v>15806</v>
          </cell>
        </row>
        <row r="321">
          <cell r="B321" t="str">
            <v>TÓPAGA</v>
          </cell>
          <cell r="C321" t="str">
            <v>15820</v>
          </cell>
        </row>
        <row r="322">
          <cell r="B322" t="str">
            <v>TOTA</v>
          </cell>
          <cell r="C322" t="str">
            <v>15822</v>
          </cell>
        </row>
        <row r="323">
          <cell r="B323" t="str">
            <v>BELÉN</v>
          </cell>
          <cell r="C323" t="str">
            <v>15087</v>
          </cell>
        </row>
        <row r="324">
          <cell r="B324" t="str">
            <v>BUSBANZÁ</v>
          </cell>
          <cell r="C324" t="str">
            <v>15114</v>
          </cell>
        </row>
        <row r="325">
          <cell r="B325" t="str">
            <v>CERINZA</v>
          </cell>
          <cell r="C325" t="str">
            <v>15162</v>
          </cell>
        </row>
        <row r="326">
          <cell r="B326" t="str">
            <v>CORRALES</v>
          </cell>
          <cell r="C326" t="str">
            <v>15215</v>
          </cell>
        </row>
        <row r="327">
          <cell r="B327" t="str">
            <v>DUITAMA</v>
          </cell>
          <cell r="C327" t="str">
            <v>15238</v>
          </cell>
        </row>
        <row r="328">
          <cell r="B328" t="str">
            <v>FLORESTA</v>
          </cell>
          <cell r="C328" t="str">
            <v>15276</v>
          </cell>
        </row>
        <row r="329">
          <cell r="B329" t="str">
            <v>PAIPA</v>
          </cell>
          <cell r="C329" t="str">
            <v>15516</v>
          </cell>
        </row>
        <row r="330">
          <cell r="B330" t="str">
            <v>SAN ROSA VITERBO</v>
          </cell>
          <cell r="C330" t="str">
            <v>15693</v>
          </cell>
        </row>
        <row r="331">
          <cell r="B331" t="str">
            <v>TUTAZÁ</v>
          </cell>
          <cell r="C331" t="str">
            <v>15839</v>
          </cell>
        </row>
        <row r="332">
          <cell r="B332" t="str">
            <v>BETÉITIVA</v>
          </cell>
          <cell r="C332" t="str">
            <v>15092</v>
          </cell>
        </row>
        <row r="333">
          <cell r="B333" t="str">
            <v>CHITA</v>
          </cell>
          <cell r="C333" t="str">
            <v>15183</v>
          </cell>
        </row>
        <row r="334">
          <cell r="B334" t="str">
            <v>JERICÓ</v>
          </cell>
          <cell r="C334" t="str">
            <v>15368</v>
          </cell>
        </row>
        <row r="335">
          <cell r="B335" t="str">
            <v>PAZ DE RÍO</v>
          </cell>
          <cell r="C335" t="str">
            <v>15537</v>
          </cell>
        </row>
        <row r="336">
          <cell r="B336" t="str">
            <v>SOCHA</v>
          </cell>
          <cell r="C336" t="str">
            <v>15757</v>
          </cell>
        </row>
        <row r="337">
          <cell r="B337" t="str">
            <v>SOCOTÁ</v>
          </cell>
          <cell r="C337" t="str">
            <v>15755</v>
          </cell>
        </row>
        <row r="338">
          <cell r="B338" t="str">
            <v>TASCO</v>
          </cell>
          <cell r="C338" t="str">
            <v>15790</v>
          </cell>
        </row>
        <row r="339">
          <cell r="B339" t="str">
            <v>FILADELFIA</v>
          </cell>
          <cell r="C339" t="str">
            <v>17272</v>
          </cell>
        </row>
        <row r="340">
          <cell r="B340" t="str">
            <v>LA MERCED</v>
          </cell>
          <cell r="C340" t="str">
            <v>17388</v>
          </cell>
        </row>
        <row r="341">
          <cell r="B341" t="str">
            <v>MARMATO</v>
          </cell>
          <cell r="C341" t="str">
            <v>17442</v>
          </cell>
        </row>
        <row r="342">
          <cell r="B342" t="str">
            <v>RIOSUCIO</v>
          </cell>
          <cell r="C342" t="str">
            <v>17614</v>
          </cell>
        </row>
        <row r="343">
          <cell r="B343" t="str">
            <v>SUPÍA</v>
          </cell>
          <cell r="C343" t="str">
            <v>17777</v>
          </cell>
        </row>
        <row r="344">
          <cell r="B344" t="str">
            <v>MANZANARES</v>
          </cell>
          <cell r="C344" t="str">
            <v>17433</v>
          </cell>
        </row>
        <row r="345">
          <cell r="B345" t="str">
            <v>MARQUETALIA</v>
          </cell>
          <cell r="C345" t="str">
            <v>17444</v>
          </cell>
        </row>
        <row r="346">
          <cell r="B346" t="str">
            <v>MARULANDA</v>
          </cell>
          <cell r="C346" t="str">
            <v>17446</v>
          </cell>
        </row>
        <row r="347">
          <cell r="B347" t="str">
            <v>PENSILVANIA</v>
          </cell>
          <cell r="C347" t="str">
            <v>17541</v>
          </cell>
        </row>
        <row r="348">
          <cell r="B348" t="str">
            <v>ANSERMA</v>
          </cell>
          <cell r="C348" t="str">
            <v>17042</v>
          </cell>
        </row>
        <row r="349">
          <cell r="B349" t="str">
            <v>BELALCÁZAR</v>
          </cell>
          <cell r="C349" t="str">
            <v>17088</v>
          </cell>
        </row>
        <row r="350">
          <cell r="B350" t="str">
            <v>RISARALDA</v>
          </cell>
          <cell r="C350" t="str">
            <v>17616</v>
          </cell>
        </row>
        <row r="351">
          <cell r="B351" t="str">
            <v>SAN JOSÉ</v>
          </cell>
          <cell r="C351" t="str">
            <v>17665</v>
          </cell>
        </row>
        <row r="352">
          <cell r="B352" t="str">
            <v>VITERBO</v>
          </cell>
          <cell r="C352" t="str">
            <v>17877</v>
          </cell>
        </row>
        <row r="353">
          <cell r="B353" t="str">
            <v>CHINCHINa</v>
          </cell>
          <cell r="C353" t="str">
            <v>17174</v>
          </cell>
        </row>
        <row r="354">
          <cell r="B354" t="str">
            <v>MANIZALES</v>
          </cell>
          <cell r="C354" t="str">
            <v>17001</v>
          </cell>
        </row>
        <row r="355">
          <cell r="B355" t="str">
            <v>NEIRA</v>
          </cell>
          <cell r="C355" t="str">
            <v>17486</v>
          </cell>
        </row>
        <row r="356">
          <cell r="B356" t="str">
            <v>PALESTINA</v>
          </cell>
          <cell r="C356" t="str">
            <v>17524</v>
          </cell>
        </row>
        <row r="357">
          <cell r="B357" t="str">
            <v>VILLAMARiA</v>
          </cell>
          <cell r="C357" t="str">
            <v>17873</v>
          </cell>
        </row>
        <row r="358">
          <cell r="B358" t="str">
            <v>AGUADAS</v>
          </cell>
          <cell r="C358" t="str">
            <v>17013</v>
          </cell>
        </row>
        <row r="359">
          <cell r="B359" t="str">
            <v>ARANZAZU</v>
          </cell>
          <cell r="C359" t="str">
            <v>17050</v>
          </cell>
        </row>
        <row r="360">
          <cell r="B360" t="str">
            <v>PÁCORA</v>
          </cell>
          <cell r="C360" t="str">
            <v>17513</v>
          </cell>
        </row>
        <row r="361">
          <cell r="B361" t="str">
            <v>SALAMINA</v>
          </cell>
          <cell r="C361" t="str">
            <v>17653</v>
          </cell>
        </row>
        <row r="362">
          <cell r="B362" t="str">
            <v>LA DORADA</v>
          </cell>
          <cell r="C362" t="str">
            <v>17380</v>
          </cell>
        </row>
        <row r="363">
          <cell r="B363" t="str">
            <v>NORCASIA</v>
          </cell>
          <cell r="C363" t="str">
            <v>17495</v>
          </cell>
        </row>
        <row r="364">
          <cell r="B364" t="str">
            <v>SAMANÁ</v>
          </cell>
          <cell r="C364" t="str">
            <v>17662</v>
          </cell>
        </row>
        <row r="365">
          <cell r="B365" t="str">
            <v>VICTORIA</v>
          </cell>
          <cell r="C365" t="str">
            <v>17867</v>
          </cell>
        </row>
        <row r="366">
          <cell r="B366" t="str">
            <v>ALBANIA</v>
          </cell>
          <cell r="C366" t="str">
            <v>18029</v>
          </cell>
        </row>
        <row r="367">
          <cell r="B367" t="str">
            <v>BELÉN DE LOS ANDAQUIES</v>
          </cell>
          <cell r="C367" t="str">
            <v>18094</v>
          </cell>
        </row>
        <row r="368">
          <cell r="B368" t="str">
            <v>CARTAGENA DEL CHAIRÁ</v>
          </cell>
          <cell r="C368" t="str">
            <v>18150</v>
          </cell>
        </row>
        <row r="369">
          <cell r="B369" t="str">
            <v>CURRILLO</v>
          </cell>
          <cell r="C369" t="str">
            <v>18205</v>
          </cell>
        </row>
        <row r="370">
          <cell r="B370" t="str">
            <v>EL DONCELLO</v>
          </cell>
          <cell r="C370" t="str">
            <v>18247</v>
          </cell>
        </row>
        <row r="371">
          <cell r="B371" t="str">
            <v>EL PAUJIL</v>
          </cell>
          <cell r="C371" t="str">
            <v>18256</v>
          </cell>
        </row>
        <row r="372">
          <cell r="B372" t="str">
            <v>FLORENCIA</v>
          </cell>
          <cell r="C372" t="str">
            <v>18001</v>
          </cell>
        </row>
        <row r="373">
          <cell r="B373" t="str">
            <v>LA MONTAÑITA</v>
          </cell>
          <cell r="C373" t="str">
            <v>18410</v>
          </cell>
        </row>
        <row r="374">
          <cell r="B374" t="str">
            <v>MILaN</v>
          </cell>
          <cell r="C374" t="str">
            <v>18460</v>
          </cell>
        </row>
        <row r="375">
          <cell r="B375" t="str">
            <v>MORELIA</v>
          </cell>
          <cell r="C375" t="str">
            <v>18479</v>
          </cell>
        </row>
        <row r="376">
          <cell r="B376" t="str">
            <v>PUERTO RICO</v>
          </cell>
          <cell r="C376" t="str">
            <v>18592</v>
          </cell>
        </row>
        <row r="377">
          <cell r="B377" t="str">
            <v>SAN JOSE DEL FRAGUA</v>
          </cell>
          <cell r="C377" t="str">
            <v>18610</v>
          </cell>
        </row>
        <row r="378">
          <cell r="B378" t="str">
            <v>SAN VICENTE DEL CAGUÁN</v>
          </cell>
          <cell r="C378" t="str">
            <v>18753</v>
          </cell>
        </row>
        <row r="379">
          <cell r="B379" t="str">
            <v>SOLANO</v>
          </cell>
          <cell r="C379" t="str">
            <v>18756</v>
          </cell>
        </row>
        <row r="380">
          <cell r="B380" t="str">
            <v>SOLITA</v>
          </cell>
          <cell r="C380" t="str">
            <v>18785</v>
          </cell>
        </row>
        <row r="381">
          <cell r="B381" t="str">
            <v>VALPARAISO</v>
          </cell>
          <cell r="C381" t="str">
            <v>18860</v>
          </cell>
        </row>
        <row r="382">
          <cell r="B382" t="str">
            <v>AGUAZUL</v>
          </cell>
          <cell r="C382" t="str">
            <v>85010</v>
          </cell>
        </row>
        <row r="383">
          <cell r="B383" t="str">
            <v>CHAMEZA</v>
          </cell>
          <cell r="C383" t="str">
            <v>85015</v>
          </cell>
        </row>
        <row r="384">
          <cell r="B384" t="str">
            <v>HATO COROZAL</v>
          </cell>
          <cell r="C384" t="str">
            <v>85125</v>
          </cell>
        </row>
        <row r="385">
          <cell r="B385" t="str">
            <v>LA SALINA</v>
          </cell>
          <cell r="C385" t="str">
            <v>85136</v>
          </cell>
        </row>
        <row r="386">
          <cell r="B386" t="str">
            <v>MANÍ</v>
          </cell>
          <cell r="C386" t="str">
            <v>85139</v>
          </cell>
        </row>
        <row r="387">
          <cell r="B387" t="str">
            <v>MONTERREY</v>
          </cell>
          <cell r="C387" t="str">
            <v>85162</v>
          </cell>
        </row>
        <row r="388">
          <cell r="B388" t="str">
            <v>NUNCHÍA</v>
          </cell>
          <cell r="C388" t="str">
            <v>85225</v>
          </cell>
        </row>
        <row r="389">
          <cell r="B389" t="str">
            <v>OROCUÉ</v>
          </cell>
          <cell r="C389" t="str">
            <v>85230</v>
          </cell>
        </row>
        <row r="390">
          <cell r="B390" t="str">
            <v>PAZ DE ARIPORO</v>
          </cell>
          <cell r="C390" t="str">
            <v>85250</v>
          </cell>
        </row>
        <row r="391">
          <cell r="B391" t="str">
            <v>PORE</v>
          </cell>
          <cell r="C391" t="str">
            <v>85263</v>
          </cell>
        </row>
        <row r="392">
          <cell r="B392" t="str">
            <v>RECETOR</v>
          </cell>
          <cell r="C392" t="str">
            <v>85279</v>
          </cell>
        </row>
        <row r="393">
          <cell r="B393" t="str">
            <v>SABANALARGA</v>
          </cell>
          <cell r="C393" t="str">
            <v>85300</v>
          </cell>
        </row>
        <row r="394">
          <cell r="B394" t="str">
            <v>SÁCAMA</v>
          </cell>
          <cell r="C394" t="str">
            <v>85315</v>
          </cell>
        </row>
        <row r="395">
          <cell r="B395" t="str">
            <v>SAN LUIS DE PALENQUE</v>
          </cell>
          <cell r="C395" t="str">
            <v>85325</v>
          </cell>
        </row>
        <row r="396">
          <cell r="B396" t="str">
            <v>TÁMARA</v>
          </cell>
          <cell r="C396" t="str">
            <v>85400</v>
          </cell>
        </row>
        <row r="397">
          <cell r="B397" t="str">
            <v>TAURAMENA</v>
          </cell>
          <cell r="C397" t="str">
            <v>85410</v>
          </cell>
        </row>
        <row r="398">
          <cell r="B398" t="str">
            <v>TRINIDAD</v>
          </cell>
          <cell r="C398" t="str">
            <v>85430</v>
          </cell>
        </row>
        <row r="399">
          <cell r="B399" t="str">
            <v>VILLANUEVA</v>
          </cell>
          <cell r="C399" t="str">
            <v>85440</v>
          </cell>
        </row>
        <row r="400">
          <cell r="B400" t="str">
            <v>YOPAL</v>
          </cell>
          <cell r="C400" t="str">
            <v>85001</v>
          </cell>
        </row>
        <row r="401">
          <cell r="B401" t="str">
            <v>CAJIBÍO</v>
          </cell>
          <cell r="C401" t="str">
            <v>19130</v>
          </cell>
        </row>
        <row r="402">
          <cell r="B402" t="str">
            <v>EL TAMBO</v>
          </cell>
          <cell r="C402" t="str">
            <v>19256</v>
          </cell>
        </row>
        <row r="403">
          <cell r="B403" t="str">
            <v>LA SIERRA</v>
          </cell>
          <cell r="C403" t="str">
            <v>19392</v>
          </cell>
        </row>
        <row r="404">
          <cell r="B404" t="str">
            <v>MORALES</v>
          </cell>
          <cell r="C404" t="str">
            <v>19473</v>
          </cell>
        </row>
        <row r="405">
          <cell r="B405" t="str">
            <v>PIENDAMO</v>
          </cell>
          <cell r="C405" t="str">
            <v>19548</v>
          </cell>
        </row>
        <row r="406">
          <cell r="B406" t="str">
            <v>POPAYÁN</v>
          </cell>
          <cell r="C406" t="str">
            <v>19001</v>
          </cell>
        </row>
        <row r="407">
          <cell r="B407" t="str">
            <v>ROSAS</v>
          </cell>
          <cell r="C407" t="str">
            <v>19622</v>
          </cell>
        </row>
        <row r="408">
          <cell r="B408" t="str">
            <v>SOTARA</v>
          </cell>
          <cell r="C408" t="str">
            <v>19760</v>
          </cell>
        </row>
        <row r="409">
          <cell r="B409" t="str">
            <v>TIMBIO</v>
          </cell>
          <cell r="C409" t="str">
            <v>19807</v>
          </cell>
        </row>
        <row r="410">
          <cell r="B410" t="str">
            <v>BUENOS AIRES</v>
          </cell>
          <cell r="C410" t="str">
            <v>19110</v>
          </cell>
        </row>
        <row r="411">
          <cell r="B411" t="str">
            <v>CALOTO</v>
          </cell>
          <cell r="C411" t="str">
            <v>19142</v>
          </cell>
        </row>
        <row r="412">
          <cell r="B412" t="str">
            <v>CORINTO</v>
          </cell>
          <cell r="C412" t="str">
            <v>19212</v>
          </cell>
        </row>
        <row r="413">
          <cell r="B413" t="str">
            <v>MIRANDA</v>
          </cell>
          <cell r="C413" t="str">
            <v>19455</v>
          </cell>
        </row>
        <row r="414">
          <cell r="B414" t="str">
            <v>PADILLA</v>
          </cell>
          <cell r="C414" t="str">
            <v>19513</v>
          </cell>
        </row>
        <row r="415">
          <cell r="B415" t="str">
            <v>PUERTO TEJADA</v>
          </cell>
          <cell r="C415" t="str">
            <v>19573</v>
          </cell>
        </row>
        <row r="416">
          <cell r="B416" t="str">
            <v>SANTANDER DE QUILICHAO</v>
          </cell>
          <cell r="C416" t="str">
            <v>19698</v>
          </cell>
        </row>
        <row r="417">
          <cell r="B417" t="str">
            <v>SUAREZ</v>
          </cell>
          <cell r="C417" t="str">
            <v>19780</v>
          </cell>
        </row>
        <row r="418">
          <cell r="B418" t="str">
            <v>VILLA RICA</v>
          </cell>
          <cell r="C418" t="str">
            <v>19845</v>
          </cell>
        </row>
        <row r="419">
          <cell r="B419" t="str">
            <v>GUAPI</v>
          </cell>
          <cell r="C419" t="str">
            <v>19318</v>
          </cell>
        </row>
        <row r="420">
          <cell r="B420" t="str">
            <v>LOPEZ</v>
          </cell>
          <cell r="C420" t="str">
            <v>19418</v>
          </cell>
        </row>
        <row r="421">
          <cell r="B421" t="str">
            <v>TIMBIQUI</v>
          </cell>
          <cell r="C421" t="str">
            <v>19809</v>
          </cell>
        </row>
        <row r="422">
          <cell r="B422" t="str">
            <v>CALDONO</v>
          </cell>
          <cell r="C422" t="str">
            <v>19137</v>
          </cell>
        </row>
        <row r="423">
          <cell r="B423" t="str">
            <v>INZÁ</v>
          </cell>
          <cell r="C423" t="str">
            <v>19355</v>
          </cell>
        </row>
        <row r="424">
          <cell r="B424" t="str">
            <v>JAMBALO</v>
          </cell>
          <cell r="C424" t="str">
            <v>19364</v>
          </cell>
        </row>
        <row r="425">
          <cell r="B425" t="str">
            <v>PAEZ</v>
          </cell>
          <cell r="C425" t="str">
            <v>19517</v>
          </cell>
        </row>
        <row r="426">
          <cell r="B426" t="str">
            <v>PURACE</v>
          </cell>
          <cell r="C426" t="str">
            <v>19585</v>
          </cell>
        </row>
        <row r="427">
          <cell r="B427" t="str">
            <v>Silvia</v>
          </cell>
          <cell r="C427" t="str">
            <v>19743</v>
          </cell>
        </row>
        <row r="428">
          <cell r="B428" t="str">
            <v>TORIBIO</v>
          </cell>
          <cell r="C428" t="str">
            <v>19821</v>
          </cell>
        </row>
        <row r="429">
          <cell r="B429" t="str">
            <v>TOTORO</v>
          </cell>
          <cell r="C429" t="str">
            <v>19824</v>
          </cell>
        </row>
        <row r="430">
          <cell r="B430" t="str">
            <v>ALMAGUER</v>
          </cell>
          <cell r="C430" t="str">
            <v>19022</v>
          </cell>
        </row>
        <row r="431">
          <cell r="B431" t="str">
            <v>ARGELIA</v>
          </cell>
          <cell r="C431" t="str">
            <v>19050</v>
          </cell>
        </row>
        <row r="432">
          <cell r="B432" t="str">
            <v>BALBOA</v>
          </cell>
          <cell r="C432" t="str">
            <v>19075</v>
          </cell>
        </row>
        <row r="433">
          <cell r="B433" t="str">
            <v>BOLÍVAR</v>
          </cell>
          <cell r="C433" t="str">
            <v>19100</v>
          </cell>
        </row>
        <row r="434">
          <cell r="B434" t="str">
            <v>FLORENCIA</v>
          </cell>
          <cell r="C434" t="str">
            <v>19290</v>
          </cell>
        </row>
        <row r="435">
          <cell r="B435" t="str">
            <v>LA VEGA</v>
          </cell>
          <cell r="C435" t="str">
            <v>19397</v>
          </cell>
        </row>
        <row r="436">
          <cell r="B436" t="str">
            <v>MERCADERES</v>
          </cell>
          <cell r="C436" t="str">
            <v>19450</v>
          </cell>
        </row>
        <row r="437">
          <cell r="B437" t="str">
            <v>PATIA</v>
          </cell>
          <cell r="C437" t="str">
            <v>19532</v>
          </cell>
        </row>
        <row r="438">
          <cell r="B438" t="str">
            <v>PIAMONTE</v>
          </cell>
          <cell r="C438" t="str">
            <v>19533</v>
          </cell>
        </row>
        <row r="439">
          <cell r="B439" t="str">
            <v>SAN SEBASTIAN</v>
          </cell>
          <cell r="C439" t="str">
            <v>19693</v>
          </cell>
        </row>
        <row r="440">
          <cell r="B440" t="str">
            <v>SANTA ROSA</v>
          </cell>
          <cell r="C440" t="str">
            <v>19701</v>
          </cell>
        </row>
        <row r="441">
          <cell r="B441" t="str">
            <v>SUCRE</v>
          </cell>
          <cell r="C441" t="str">
            <v>19785</v>
          </cell>
        </row>
        <row r="442">
          <cell r="B442" t="str">
            <v>BECERRIL</v>
          </cell>
          <cell r="C442" t="str">
            <v>20045</v>
          </cell>
        </row>
        <row r="443">
          <cell r="B443" t="str">
            <v>CHIMICHAGUA</v>
          </cell>
          <cell r="C443" t="str">
            <v>20175</v>
          </cell>
        </row>
        <row r="444">
          <cell r="B444" t="str">
            <v>CHIRIGUANA</v>
          </cell>
          <cell r="C444" t="str">
            <v>20178</v>
          </cell>
        </row>
        <row r="445">
          <cell r="B445" t="str">
            <v>CURUMANÍ</v>
          </cell>
          <cell r="C445" t="str">
            <v>20228</v>
          </cell>
        </row>
        <row r="446">
          <cell r="B446" t="str">
            <v>LA JAGUA DE IBIRICO</v>
          </cell>
          <cell r="C446" t="str">
            <v>20400</v>
          </cell>
        </row>
        <row r="447">
          <cell r="B447" t="str">
            <v>PAILITAS</v>
          </cell>
          <cell r="C447" t="str">
            <v>20517</v>
          </cell>
        </row>
        <row r="448">
          <cell r="B448" t="str">
            <v>TAMALAMEQUE</v>
          </cell>
          <cell r="C448" t="str">
            <v>20787</v>
          </cell>
        </row>
        <row r="449">
          <cell r="B449" t="str">
            <v>ASTREA</v>
          </cell>
          <cell r="C449" t="str">
            <v>20032</v>
          </cell>
        </row>
        <row r="450">
          <cell r="B450" t="str">
            <v>BOSCONIA</v>
          </cell>
          <cell r="C450" t="str">
            <v>20060</v>
          </cell>
        </row>
        <row r="451">
          <cell r="B451" t="str">
            <v>EL COPEY</v>
          </cell>
          <cell r="C451" t="str">
            <v>20238</v>
          </cell>
        </row>
        <row r="452">
          <cell r="B452" t="str">
            <v>EL PASO</v>
          </cell>
          <cell r="C452" t="str">
            <v>20250</v>
          </cell>
        </row>
        <row r="453">
          <cell r="B453" t="str">
            <v>AGUSTÍN CODAZZI</v>
          </cell>
          <cell r="C453" t="str">
            <v>20013</v>
          </cell>
        </row>
        <row r="454">
          <cell r="B454" t="str">
            <v>LA PAZ</v>
          </cell>
          <cell r="C454" t="str">
            <v>20621</v>
          </cell>
        </row>
        <row r="455">
          <cell r="B455" t="str">
            <v>MANAURE</v>
          </cell>
          <cell r="C455" t="str">
            <v>20443</v>
          </cell>
        </row>
        <row r="456">
          <cell r="B456" t="str">
            <v>PUEBLO BELLO</v>
          </cell>
          <cell r="C456" t="str">
            <v>20570</v>
          </cell>
        </row>
        <row r="457">
          <cell r="B457" t="str">
            <v>SAN DIEGO</v>
          </cell>
          <cell r="C457" t="str">
            <v>20750</v>
          </cell>
        </row>
        <row r="458">
          <cell r="B458" t="str">
            <v>VALLEDUPAR</v>
          </cell>
          <cell r="C458" t="str">
            <v>20001</v>
          </cell>
        </row>
        <row r="459">
          <cell r="B459" t="str">
            <v>AGUACHICA</v>
          </cell>
          <cell r="C459" t="str">
            <v>20011</v>
          </cell>
        </row>
        <row r="460">
          <cell r="B460" t="str">
            <v>GAMARRA</v>
          </cell>
          <cell r="C460" t="str">
            <v>20295</v>
          </cell>
        </row>
        <row r="461">
          <cell r="B461" t="str">
            <v>GONZÁLEZ</v>
          </cell>
          <cell r="C461" t="str">
            <v>20310</v>
          </cell>
        </row>
        <row r="462">
          <cell r="B462" t="str">
            <v>LA GLORIA</v>
          </cell>
          <cell r="C462" t="str">
            <v>20383</v>
          </cell>
        </row>
        <row r="463">
          <cell r="B463" t="str">
            <v>PELAYA</v>
          </cell>
          <cell r="C463" t="str">
            <v>20550</v>
          </cell>
        </row>
        <row r="464">
          <cell r="B464" t="str">
            <v>RÍO DE ORO</v>
          </cell>
          <cell r="C464" t="str">
            <v>20614</v>
          </cell>
        </row>
        <row r="465">
          <cell r="B465" t="str">
            <v>SAN ALBERTO</v>
          </cell>
          <cell r="C465" t="str">
            <v>20710</v>
          </cell>
        </row>
        <row r="466">
          <cell r="B466" t="str">
            <v>SAN MARTÍN</v>
          </cell>
          <cell r="C466" t="str">
            <v>20770</v>
          </cell>
        </row>
        <row r="467">
          <cell r="B467" t="str">
            <v>ATRATO</v>
          </cell>
          <cell r="C467" t="str">
            <v>27050</v>
          </cell>
        </row>
        <row r="468">
          <cell r="B468" t="str">
            <v>BAGADÓ</v>
          </cell>
          <cell r="C468" t="str">
            <v>27073</v>
          </cell>
        </row>
        <row r="469">
          <cell r="B469" t="str">
            <v>BOJAYA</v>
          </cell>
          <cell r="C469" t="str">
            <v>27099</v>
          </cell>
        </row>
        <row r="470">
          <cell r="B470" t="str">
            <v>EL CARMEN DE ATRATO</v>
          </cell>
          <cell r="C470" t="str">
            <v>27245</v>
          </cell>
        </row>
        <row r="471">
          <cell r="B471" t="str">
            <v>LLORÓ</v>
          </cell>
          <cell r="C471" t="str">
            <v>27413</v>
          </cell>
        </row>
        <row r="472">
          <cell r="B472" t="str">
            <v>MEDIO ATRATO</v>
          </cell>
          <cell r="C472" t="str">
            <v>27425</v>
          </cell>
        </row>
        <row r="473">
          <cell r="B473" t="str">
            <v>QUIBDÓ</v>
          </cell>
          <cell r="C473" t="str">
            <v>27001</v>
          </cell>
        </row>
        <row r="474">
          <cell r="B474" t="str">
            <v>RIO QUITO</v>
          </cell>
          <cell r="C474" t="str">
            <v>27600</v>
          </cell>
        </row>
        <row r="475">
          <cell r="B475" t="str">
            <v>ACANDÍ</v>
          </cell>
          <cell r="C475" t="str">
            <v>27006</v>
          </cell>
        </row>
        <row r="476">
          <cell r="B476" t="str">
            <v>BELÉN DE BAJIRA</v>
          </cell>
          <cell r="C476" t="str">
            <v>27086</v>
          </cell>
        </row>
        <row r="477">
          <cell r="B477" t="str">
            <v>CARMÉN DEL DARIÉN</v>
          </cell>
          <cell r="C477" t="str">
            <v>27150</v>
          </cell>
        </row>
        <row r="478">
          <cell r="B478" t="str">
            <v>RIOSUCIO</v>
          </cell>
          <cell r="C478" t="str">
            <v>27615</v>
          </cell>
        </row>
        <row r="479">
          <cell r="B479" t="str">
            <v>UNGUÍA</v>
          </cell>
          <cell r="C479" t="str">
            <v>27800</v>
          </cell>
        </row>
        <row r="480">
          <cell r="B480" t="str">
            <v>BAHÍA SOLANO</v>
          </cell>
          <cell r="C480" t="str">
            <v>27075</v>
          </cell>
        </row>
        <row r="481">
          <cell r="B481" t="str">
            <v>JURADÓ</v>
          </cell>
          <cell r="C481" t="str">
            <v>27372</v>
          </cell>
        </row>
        <row r="482">
          <cell r="B482" t="str">
            <v>NUQUÍ</v>
          </cell>
          <cell r="C482" t="str">
            <v>27495</v>
          </cell>
        </row>
        <row r="483">
          <cell r="B483" t="str">
            <v>ALTO BAUDÓ</v>
          </cell>
          <cell r="C483" t="str">
            <v>27025</v>
          </cell>
        </row>
        <row r="484">
          <cell r="B484" t="str">
            <v>BAJO BAUDÓ</v>
          </cell>
          <cell r="C484" t="str">
            <v>27077</v>
          </cell>
        </row>
        <row r="485">
          <cell r="B485" t="str">
            <v>El Litoral del San Juan</v>
          </cell>
          <cell r="C485" t="str">
            <v>27250</v>
          </cell>
        </row>
        <row r="486">
          <cell r="B486" t="str">
            <v>MEDIO BAUDÓ</v>
          </cell>
          <cell r="C486" t="str">
            <v>27430</v>
          </cell>
        </row>
        <row r="487">
          <cell r="B487" t="str">
            <v>CANTON DE SAN PABLO</v>
          </cell>
          <cell r="C487" t="str">
            <v>27135</v>
          </cell>
        </row>
        <row r="488">
          <cell r="B488" t="str">
            <v>CERTEGUI</v>
          </cell>
          <cell r="C488" t="str">
            <v>27160</v>
          </cell>
        </row>
        <row r="489">
          <cell r="B489" t="str">
            <v>CONDOTO</v>
          </cell>
          <cell r="C489" t="str">
            <v>27205</v>
          </cell>
        </row>
        <row r="490">
          <cell r="B490" t="str">
            <v>ITSMINA</v>
          </cell>
          <cell r="C490" t="str">
            <v>27361</v>
          </cell>
        </row>
        <row r="491">
          <cell r="B491" t="str">
            <v>MEDIO SAN JUAN</v>
          </cell>
          <cell r="C491" t="str">
            <v>27450</v>
          </cell>
        </row>
        <row r="492">
          <cell r="B492" t="str">
            <v>NÓVITA</v>
          </cell>
          <cell r="C492" t="str">
            <v>27491</v>
          </cell>
        </row>
        <row r="493">
          <cell r="B493" t="str">
            <v>RÍO FRÍO</v>
          </cell>
          <cell r="C493" t="str">
            <v>27580</v>
          </cell>
        </row>
        <row r="494">
          <cell r="B494" t="str">
            <v>SAN JOSÉ DEL PALMAR</v>
          </cell>
          <cell r="C494" t="str">
            <v>27660</v>
          </cell>
        </row>
        <row r="495">
          <cell r="B495" t="str">
            <v>SIPÍ</v>
          </cell>
          <cell r="C495" t="str">
            <v>27745</v>
          </cell>
        </row>
        <row r="496">
          <cell r="B496" t="str">
            <v>TADÓ</v>
          </cell>
          <cell r="C496" t="str">
            <v>27787</v>
          </cell>
        </row>
        <row r="497">
          <cell r="B497" t="str">
            <v>UNION PANAMERICANA</v>
          </cell>
          <cell r="C497" t="str">
            <v>27810</v>
          </cell>
        </row>
        <row r="498">
          <cell r="B498" t="str">
            <v>TIERRALTA</v>
          </cell>
          <cell r="C498" t="str">
            <v>23807</v>
          </cell>
        </row>
        <row r="499">
          <cell r="B499" t="str">
            <v>VALENCIA</v>
          </cell>
          <cell r="C499" t="str">
            <v>23855</v>
          </cell>
        </row>
        <row r="500">
          <cell r="B500" t="str">
            <v>CHIMÁ</v>
          </cell>
          <cell r="C500" t="str">
            <v>23168</v>
          </cell>
        </row>
        <row r="501">
          <cell r="B501" t="str">
            <v>COTORRA</v>
          </cell>
          <cell r="C501" t="str">
            <v>23300</v>
          </cell>
        </row>
        <row r="502">
          <cell r="B502" t="str">
            <v>LORICA</v>
          </cell>
          <cell r="C502" t="str">
            <v>23417</v>
          </cell>
        </row>
        <row r="503">
          <cell r="B503" t="str">
            <v>MOMIL</v>
          </cell>
          <cell r="C503" t="str">
            <v>23464</v>
          </cell>
        </row>
        <row r="504">
          <cell r="B504" t="str">
            <v>PURÍSIMA</v>
          </cell>
          <cell r="C504" t="str">
            <v>23586</v>
          </cell>
        </row>
        <row r="505">
          <cell r="B505" t="str">
            <v>MONTERÍA</v>
          </cell>
          <cell r="C505" t="str">
            <v>23001</v>
          </cell>
        </row>
        <row r="506">
          <cell r="B506" t="str">
            <v>CANALETE</v>
          </cell>
          <cell r="C506" t="str">
            <v>23090</v>
          </cell>
        </row>
        <row r="507">
          <cell r="B507" t="str">
            <v>LOS CÓRDOBAS</v>
          </cell>
          <cell r="C507" t="str">
            <v>23419</v>
          </cell>
        </row>
        <row r="508">
          <cell r="B508" t="str">
            <v>MOÑITOS</v>
          </cell>
          <cell r="C508" t="str">
            <v>23500</v>
          </cell>
        </row>
        <row r="509">
          <cell r="B509" t="str">
            <v>PUERTO ESCONDIDO</v>
          </cell>
          <cell r="C509" t="str">
            <v>23574</v>
          </cell>
        </row>
        <row r="510">
          <cell r="B510" t="str">
            <v>SAN ANTERO</v>
          </cell>
          <cell r="C510" t="str">
            <v>23672</v>
          </cell>
        </row>
        <row r="511">
          <cell r="B511" t="str">
            <v>SAN BERNARDO DEL VIENTO</v>
          </cell>
          <cell r="C511" t="str">
            <v>23675</v>
          </cell>
        </row>
        <row r="512">
          <cell r="B512" t="str">
            <v>CHINÚ</v>
          </cell>
          <cell r="C512" t="str">
            <v>23182</v>
          </cell>
        </row>
        <row r="513">
          <cell r="B513" t="str">
            <v>SAHAGÚN</v>
          </cell>
          <cell r="C513" t="str">
            <v>23660</v>
          </cell>
        </row>
        <row r="514">
          <cell r="B514" t="str">
            <v>SAN ANDRÉS SOTAVENTO</v>
          </cell>
          <cell r="C514" t="str">
            <v>23670</v>
          </cell>
        </row>
        <row r="515">
          <cell r="B515" t="str">
            <v>AYAPEL</v>
          </cell>
          <cell r="C515" t="str">
            <v>23068</v>
          </cell>
        </row>
        <row r="516">
          <cell r="B516" t="str">
            <v>BUENAVISTA</v>
          </cell>
          <cell r="C516" t="str">
            <v>23079</v>
          </cell>
        </row>
        <row r="517">
          <cell r="B517" t="str">
            <v>LA APARTADA</v>
          </cell>
          <cell r="C517" t="str">
            <v>23350</v>
          </cell>
        </row>
        <row r="518">
          <cell r="B518" t="str">
            <v>MONTELÍBANO</v>
          </cell>
          <cell r="C518" t="str">
            <v>23466</v>
          </cell>
        </row>
        <row r="519">
          <cell r="B519" t="str">
            <v>PLANETA RICA</v>
          </cell>
          <cell r="C519" t="str">
            <v>23555</v>
          </cell>
        </row>
        <row r="520">
          <cell r="B520" t="str">
            <v>PUEBLO NUEVO</v>
          </cell>
          <cell r="C520" t="str">
            <v>23570</v>
          </cell>
        </row>
        <row r="521">
          <cell r="B521" t="str">
            <v>PUERTO LIBERTADOR</v>
          </cell>
          <cell r="C521" t="str">
            <v>23580</v>
          </cell>
        </row>
        <row r="522">
          <cell r="B522" t="str">
            <v>CERETÉ</v>
          </cell>
          <cell r="C522" t="str">
            <v>23162</v>
          </cell>
        </row>
        <row r="523">
          <cell r="B523" t="str">
            <v>CIÉNAGA DE ORO</v>
          </cell>
          <cell r="C523" t="str">
            <v>23189</v>
          </cell>
        </row>
        <row r="524">
          <cell r="B524" t="str">
            <v>SAN CARLOS</v>
          </cell>
          <cell r="C524" t="str">
            <v>23678</v>
          </cell>
        </row>
        <row r="525">
          <cell r="B525" t="str">
            <v>SAN PELAYO</v>
          </cell>
          <cell r="C525" t="str">
            <v>23686</v>
          </cell>
        </row>
        <row r="526">
          <cell r="B526" t="str">
            <v>CHOCONTÁ</v>
          </cell>
          <cell r="C526" t="str">
            <v>25183</v>
          </cell>
        </row>
        <row r="527">
          <cell r="B527" t="str">
            <v>MACHETA</v>
          </cell>
          <cell r="C527" t="str">
            <v>25426</v>
          </cell>
        </row>
        <row r="528">
          <cell r="B528" t="str">
            <v>MANTA</v>
          </cell>
          <cell r="C528" t="str">
            <v>25436</v>
          </cell>
        </row>
        <row r="529">
          <cell r="B529" t="str">
            <v>SESQUILÉ</v>
          </cell>
          <cell r="C529" t="str">
            <v>25736</v>
          </cell>
        </row>
        <row r="530">
          <cell r="B530" t="str">
            <v>SUESCA</v>
          </cell>
          <cell r="C530" t="str">
            <v>25772</v>
          </cell>
        </row>
        <row r="531">
          <cell r="B531" t="str">
            <v>TIBIRITA</v>
          </cell>
          <cell r="C531" t="str">
            <v>25807</v>
          </cell>
        </row>
        <row r="532">
          <cell r="B532" t="str">
            <v>VILLAPINZÓN</v>
          </cell>
          <cell r="C532" t="str">
            <v>25873</v>
          </cell>
        </row>
        <row r="533">
          <cell r="B533" t="str">
            <v>AGUA DE DIOS</v>
          </cell>
          <cell r="C533" t="str">
            <v>25001</v>
          </cell>
        </row>
        <row r="534">
          <cell r="B534" t="str">
            <v>GIRARDOT</v>
          </cell>
          <cell r="C534" t="str">
            <v>25307</v>
          </cell>
        </row>
        <row r="535">
          <cell r="B535" t="str">
            <v>GUATAQUÍ</v>
          </cell>
          <cell r="C535" t="str">
            <v>25324</v>
          </cell>
        </row>
        <row r="536">
          <cell r="B536" t="str">
            <v>JERUSALÉN</v>
          </cell>
          <cell r="C536" t="str">
            <v>25368</v>
          </cell>
        </row>
        <row r="537">
          <cell r="B537" t="str">
            <v>NARIÑO</v>
          </cell>
          <cell r="C537" t="str">
            <v>25483</v>
          </cell>
        </row>
        <row r="538">
          <cell r="B538" t="str">
            <v>NILO</v>
          </cell>
          <cell r="C538" t="str">
            <v>25488</v>
          </cell>
        </row>
        <row r="539">
          <cell r="B539" t="str">
            <v>RICAURTE</v>
          </cell>
          <cell r="C539" t="str">
            <v>25612</v>
          </cell>
        </row>
        <row r="540">
          <cell r="B540" t="str">
            <v>TOCAIMA</v>
          </cell>
          <cell r="C540" t="str">
            <v>25815</v>
          </cell>
        </row>
        <row r="541">
          <cell r="B541" t="str">
            <v>CAPARRAPÍ</v>
          </cell>
          <cell r="C541" t="str">
            <v>25148</v>
          </cell>
        </row>
        <row r="542">
          <cell r="B542" t="str">
            <v>GUADUAS</v>
          </cell>
          <cell r="C542" t="str">
            <v>25320</v>
          </cell>
        </row>
        <row r="543">
          <cell r="B543" t="str">
            <v>PUERTO SALGAR</v>
          </cell>
          <cell r="C543" t="str">
            <v>25572</v>
          </cell>
        </row>
        <row r="544">
          <cell r="B544" t="str">
            <v>ALBÁN</v>
          </cell>
          <cell r="C544" t="str">
            <v>25019</v>
          </cell>
        </row>
        <row r="545">
          <cell r="B545" t="str">
            <v>LA PEÑA</v>
          </cell>
          <cell r="C545" t="str">
            <v>25398</v>
          </cell>
        </row>
        <row r="546">
          <cell r="B546" t="str">
            <v>LA VEGA</v>
          </cell>
          <cell r="C546" t="str">
            <v>25402</v>
          </cell>
        </row>
        <row r="547">
          <cell r="B547" t="str">
            <v>NIMAIMA</v>
          </cell>
          <cell r="C547" t="str">
            <v>25489</v>
          </cell>
        </row>
        <row r="548">
          <cell r="B548" t="str">
            <v>NOCAIMA</v>
          </cell>
          <cell r="C548" t="str">
            <v>25491</v>
          </cell>
        </row>
        <row r="549">
          <cell r="B549" t="str">
            <v>QUEBRADANEGRA</v>
          </cell>
          <cell r="C549" t="str">
            <v>25592</v>
          </cell>
        </row>
        <row r="550">
          <cell r="B550" t="str">
            <v>SAN FRANCISCO</v>
          </cell>
          <cell r="C550" t="str">
            <v>25658</v>
          </cell>
        </row>
        <row r="551">
          <cell r="B551" t="str">
            <v>SASAIMA</v>
          </cell>
          <cell r="C551" t="str">
            <v>25718</v>
          </cell>
        </row>
        <row r="552">
          <cell r="B552" t="str">
            <v>SUPATÁ</v>
          </cell>
          <cell r="C552" t="str">
            <v>25777</v>
          </cell>
        </row>
        <row r="553">
          <cell r="B553" t="str">
            <v>ÚTICA</v>
          </cell>
          <cell r="C553" t="str">
            <v>25851</v>
          </cell>
        </row>
        <row r="554">
          <cell r="B554" t="str">
            <v>VERGARA</v>
          </cell>
          <cell r="C554" t="str">
            <v>25862</v>
          </cell>
        </row>
        <row r="555">
          <cell r="B555" t="str">
            <v>VILLETA</v>
          </cell>
          <cell r="C555" t="str">
            <v>25875</v>
          </cell>
        </row>
        <row r="556">
          <cell r="B556" t="str">
            <v>GACHALA</v>
          </cell>
          <cell r="C556" t="str">
            <v>25293</v>
          </cell>
        </row>
        <row r="557">
          <cell r="B557" t="str">
            <v>GACHETA</v>
          </cell>
          <cell r="C557" t="str">
            <v>25297</v>
          </cell>
        </row>
        <row r="558">
          <cell r="B558" t="str">
            <v>GAMA</v>
          </cell>
          <cell r="C558" t="str">
            <v>25299</v>
          </cell>
        </row>
        <row r="559">
          <cell r="B559" t="str">
            <v>GUASCA</v>
          </cell>
          <cell r="C559" t="str">
            <v>25322</v>
          </cell>
        </row>
        <row r="560">
          <cell r="B560" t="str">
            <v>GUATAVITA</v>
          </cell>
          <cell r="C560" t="str">
            <v>25326</v>
          </cell>
        </row>
        <row r="561">
          <cell r="B561" t="str">
            <v>JUNÍN</v>
          </cell>
          <cell r="C561" t="str">
            <v>25372</v>
          </cell>
        </row>
        <row r="562">
          <cell r="B562" t="str">
            <v>LA CALERA</v>
          </cell>
          <cell r="C562" t="str">
            <v>25377</v>
          </cell>
        </row>
        <row r="563">
          <cell r="B563" t="str">
            <v>UBALÁ</v>
          </cell>
          <cell r="C563" t="str">
            <v>25839</v>
          </cell>
        </row>
        <row r="564">
          <cell r="B564" t="str">
            <v>BELTRÁN</v>
          </cell>
          <cell r="C564" t="str">
            <v>25086</v>
          </cell>
        </row>
        <row r="565">
          <cell r="B565" t="str">
            <v>BITUIMA</v>
          </cell>
          <cell r="C565" t="str">
            <v>25095</v>
          </cell>
        </row>
        <row r="566">
          <cell r="B566" t="str">
            <v>CHAGUANÍ</v>
          </cell>
          <cell r="C566" t="str">
            <v>25168</v>
          </cell>
        </row>
        <row r="567">
          <cell r="B567" t="str">
            <v>GUAYABAL DE SIQUIMA</v>
          </cell>
          <cell r="C567" t="str">
            <v>25328</v>
          </cell>
        </row>
        <row r="568">
          <cell r="B568" t="str">
            <v>PULI</v>
          </cell>
          <cell r="C568" t="str">
            <v>25580</v>
          </cell>
        </row>
        <row r="569">
          <cell r="B569" t="str">
            <v>SAN JUAN DE RÍO SECO</v>
          </cell>
          <cell r="C569" t="str">
            <v>25662</v>
          </cell>
        </row>
        <row r="570">
          <cell r="B570" t="str">
            <v>VIANÍ</v>
          </cell>
          <cell r="C570" t="str">
            <v>25867</v>
          </cell>
        </row>
        <row r="571">
          <cell r="B571" t="str">
            <v>MEDINA</v>
          </cell>
          <cell r="C571" t="str">
            <v>25438</v>
          </cell>
        </row>
        <row r="572">
          <cell r="B572" t="str">
            <v>PARATEBUENO</v>
          </cell>
          <cell r="C572" t="str">
            <v>25530</v>
          </cell>
        </row>
        <row r="573">
          <cell r="B573" t="str">
            <v>CAQUEZA</v>
          </cell>
          <cell r="C573" t="str">
            <v>25151</v>
          </cell>
        </row>
        <row r="574">
          <cell r="B574" t="str">
            <v>CHIPAQUE</v>
          </cell>
          <cell r="C574" t="str">
            <v>25178</v>
          </cell>
        </row>
        <row r="575">
          <cell r="B575" t="str">
            <v>CHOACHÍ</v>
          </cell>
          <cell r="C575" t="str">
            <v>25181</v>
          </cell>
        </row>
        <row r="576">
          <cell r="B576" t="str">
            <v>FOMEQUE</v>
          </cell>
          <cell r="C576" t="str">
            <v>25279</v>
          </cell>
        </row>
        <row r="577">
          <cell r="B577" t="str">
            <v>FOSCA</v>
          </cell>
          <cell r="C577" t="str">
            <v>25281</v>
          </cell>
        </row>
        <row r="578">
          <cell r="B578" t="str">
            <v>GUAYABETAL</v>
          </cell>
          <cell r="C578" t="str">
            <v>25335</v>
          </cell>
        </row>
        <row r="579">
          <cell r="B579" t="str">
            <v>GUTIÉRREZ</v>
          </cell>
          <cell r="C579" t="str">
            <v>25339</v>
          </cell>
        </row>
        <row r="580">
          <cell r="B580" t="str">
            <v>QUETAME</v>
          </cell>
          <cell r="C580" t="str">
            <v>25594</v>
          </cell>
        </row>
        <row r="581">
          <cell r="B581" t="str">
            <v>UBAQUE</v>
          </cell>
          <cell r="C581" t="str">
            <v>25841</v>
          </cell>
        </row>
        <row r="582">
          <cell r="B582" t="str">
            <v>UNE</v>
          </cell>
          <cell r="C582" t="str">
            <v>25845</v>
          </cell>
        </row>
        <row r="583">
          <cell r="B583" t="str">
            <v>EL PEÑÓN</v>
          </cell>
          <cell r="C583" t="str">
            <v>25258</v>
          </cell>
        </row>
        <row r="584">
          <cell r="B584" t="str">
            <v>LA PALMA</v>
          </cell>
          <cell r="C584" t="str">
            <v>25394</v>
          </cell>
        </row>
        <row r="585">
          <cell r="B585" t="str">
            <v>PACHO</v>
          </cell>
          <cell r="C585" t="str">
            <v>25513</v>
          </cell>
        </row>
        <row r="586">
          <cell r="B586" t="str">
            <v>PAIME</v>
          </cell>
          <cell r="C586" t="str">
            <v>25518</v>
          </cell>
        </row>
        <row r="587">
          <cell r="B587" t="str">
            <v>SAN CAYETANO</v>
          </cell>
          <cell r="C587" t="str">
            <v>25653</v>
          </cell>
        </row>
        <row r="588">
          <cell r="B588" t="str">
            <v>TOPAIPI</v>
          </cell>
          <cell r="C588" t="str">
            <v>25823</v>
          </cell>
        </row>
        <row r="589">
          <cell r="B589" t="str">
            <v>VILLAGOMEZ</v>
          </cell>
          <cell r="C589" t="str">
            <v>25871</v>
          </cell>
        </row>
        <row r="590">
          <cell r="B590" t="str">
            <v>YACOPÍ</v>
          </cell>
          <cell r="C590" t="str">
            <v>25885</v>
          </cell>
        </row>
        <row r="591">
          <cell r="B591" t="str">
            <v>CAJICÁ</v>
          </cell>
          <cell r="C591" t="str">
            <v>25126</v>
          </cell>
        </row>
        <row r="592">
          <cell r="B592" t="str">
            <v>CHÍA</v>
          </cell>
          <cell r="C592" t="str">
            <v>25175</v>
          </cell>
        </row>
        <row r="593">
          <cell r="B593" t="str">
            <v>COGUA</v>
          </cell>
          <cell r="C593" t="str">
            <v>25200</v>
          </cell>
        </row>
        <row r="594">
          <cell r="B594" t="str">
            <v>GACHANCIPÁ</v>
          </cell>
          <cell r="C594" t="str">
            <v>25295</v>
          </cell>
        </row>
        <row r="595">
          <cell r="B595" t="str">
            <v>NEMOCoN</v>
          </cell>
          <cell r="C595" t="str">
            <v>25486</v>
          </cell>
        </row>
        <row r="596">
          <cell r="B596" t="str">
            <v>SOPÓ</v>
          </cell>
          <cell r="C596" t="str">
            <v>25758</v>
          </cell>
        </row>
        <row r="597">
          <cell r="B597" t="str">
            <v>TABIO</v>
          </cell>
          <cell r="C597" t="str">
            <v>25785</v>
          </cell>
        </row>
        <row r="598">
          <cell r="B598" t="str">
            <v>TOCANCIPÁ</v>
          </cell>
          <cell r="C598" t="str">
            <v>25817</v>
          </cell>
        </row>
        <row r="599">
          <cell r="B599" t="str">
            <v>ZIPAQUIRÁ</v>
          </cell>
          <cell r="C599" t="str">
            <v>25899</v>
          </cell>
        </row>
        <row r="600">
          <cell r="B600" t="str">
            <v>BOJACÁ</v>
          </cell>
          <cell r="C600" t="str">
            <v>25099</v>
          </cell>
        </row>
        <row r="601">
          <cell r="B601" t="str">
            <v>COTA</v>
          </cell>
          <cell r="C601" t="str">
            <v>25214</v>
          </cell>
        </row>
        <row r="602">
          <cell r="B602" t="str">
            <v>EL ROSAL</v>
          </cell>
          <cell r="C602" t="str">
            <v>25260</v>
          </cell>
        </row>
        <row r="603">
          <cell r="B603" t="str">
            <v>FACATATIVÁ</v>
          </cell>
          <cell r="C603" t="str">
            <v>25269</v>
          </cell>
        </row>
        <row r="604">
          <cell r="B604" t="str">
            <v>FUNZA</v>
          </cell>
          <cell r="C604" t="str">
            <v>25286</v>
          </cell>
        </row>
        <row r="605">
          <cell r="B605" t="str">
            <v>MADRID</v>
          </cell>
          <cell r="C605" t="str">
            <v>25430</v>
          </cell>
        </row>
        <row r="606">
          <cell r="B606" t="str">
            <v>MOSQUERA</v>
          </cell>
          <cell r="C606" t="str">
            <v>25473</v>
          </cell>
        </row>
        <row r="607">
          <cell r="B607" t="str">
            <v>SUBACHOQUE</v>
          </cell>
          <cell r="C607" t="str">
            <v>25769</v>
          </cell>
        </row>
        <row r="608">
          <cell r="B608" t="str">
            <v>TENJO</v>
          </cell>
          <cell r="C608" t="str">
            <v>25799</v>
          </cell>
        </row>
        <row r="609">
          <cell r="B609" t="str">
            <v>ZIPACoN</v>
          </cell>
          <cell r="C609" t="str">
            <v>25898</v>
          </cell>
        </row>
        <row r="610">
          <cell r="B610" t="str">
            <v>SIBATÉ</v>
          </cell>
          <cell r="C610" t="str">
            <v>25740</v>
          </cell>
        </row>
        <row r="611">
          <cell r="B611" t="str">
            <v>SOACHA</v>
          </cell>
          <cell r="C611" t="str">
            <v>25754</v>
          </cell>
        </row>
        <row r="612">
          <cell r="B612" t="str">
            <v>ARBELÁEZ</v>
          </cell>
          <cell r="C612" t="str">
            <v>25053</v>
          </cell>
        </row>
        <row r="613">
          <cell r="B613" t="str">
            <v>CABRERA</v>
          </cell>
          <cell r="C613" t="str">
            <v>25120</v>
          </cell>
        </row>
        <row r="614">
          <cell r="B614" t="str">
            <v>FUSAGASUGÁ</v>
          </cell>
          <cell r="C614" t="str">
            <v>25290</v>
          </cell>
        </row>
        <row r="615">
          <cell r="B615" t="str">
            <v>GRANADA</v>
          </cell>
          <cell r="C615" t="str">
            <v>25312</v>
          </cell>
        </row>
        <row r="616">
          <cell r="B616" t="str">
            <v>PANDI</v>
          </cell>
          <cell r="C616" t="str">
            <v>25524</v>
          </cell>
        </row>
        <row r="617">
          <cell r="B617" t="str">
            <v>PASCA</v>
          </cell>
          <cell r="C617" t="str">
            <v>25535</v>
          </cell>
        </row>
        <row r="618">
          <cell r="B618" t="str">
            <v>SAN BERNARDO</v>
          </cell>
          <cell r="C618" t="str">
            <v>25649</v>
          </cell>
        </row>
        <row r="619">
          <cell r="B619" t="str">
            <v>SILVANIA</v>
          </cell>
          <cell r="C619" t="str">
            <v>25743</v>
          </cell>
        </row>
        <row r="620">
          <cell r="B620" t="str">
            <v>TIBACUY</v>
          </cell>
          <cell r="C620" t="str">
            <v>25805</v>
          </cell>
        </row>
        <row r="621">
          <cell r="B621" t="str">
            <v>VENECIA</v>
          </cell>
          <cell r="C621" t="str">
            <v>25506</v>
          </cell>
        </row>
        <row r="622">
          <cell r="B622" t="str">
            <v>ANAPOIMA</v>
          </cell>
          <cell r="C622" t="str">
            <v>25035</v>
          </cell>
        </row>
        <row r="623">
          <cell r="B623" t="str">
            <v>ANOLAIMA</v>
          </cell>
          <cell r="C623" t="str">
            <v>25040</v>
          </cell>
        </row>
        <row r="624">
          <cell r="B624" t="str">
            <v>APULO</v>
          </cell>
          <cell r="C624" t="str">
            <v>25599</v>
          </cell>
        </row>
        <row r="625">
          <cell r="B625" t="str">
            <v>CACHIPAY</v>
          </cell>
          <cell r="C625" t="str">
            <v>25123</v>
          </cell>
        </row>
        <row r="626">
          <cell r="B626" t="str">
            <v>EL COLEGIO</v>
          </cell>
          <cell r="C626" t="str">
            <v>25245</v>
          </cell>
        </row>
        <row r="627">
          <cell r="B627" t="str">
            <v>LA MESA</v>
          </cell>
          <cell r="C627" t="str">
            <v>25386</v>
          </cell>
        </row>
        <row r="628">
          <cell r="B628" t="str">
            <v>QUIPILE</v>
          </cell>
          <cell r="C628" t="str">
            <v>25596</v>
          </cell>
        </row>
        <row r="629">
          <cell r="B629" t="str">
            <v>SAN ANTONIO DE TEQUENDAMA</v>
          </cell>
          <cell r="C629" t="str">
            <v>25645</v>
          </cell>
        </row>
        <row r="630">
          <cell r="B630" t="str">
            <v>TENA</v>
          </cell>
          <cell r="C630" t="str">
            <v>25797</v>
          </cell>
        </row>
        <row r="631">
          <cell r="B631" t="str">
            <v>VIOTÁ</v>
          </cell>
          <cell r="C631" t="str">
            <v>25878</v>
          </cell>
        </row>
        <row r="632">
          <cell r="B632" t="str">
            <v>CARMEN DE CARUPA</v>
          </cell>
          <cell r="C632" t="str">
            <v>25154</v>
          </cell>
        </row>
        <row r="633">
          <cell r="B633" t="str">
            <v>CUCUNUBÁ</v>
          </cell>
          <cell r="C633" t="str">
            <v>25224</v>
          </cell>
        </row>
        <row r="634">
          <cell r="B634" t="str">
            <v>FÚQUENE</v>
          </cell>
          <cell r="C634" t="str">
            <v>25288</v>
          </cell>
        </row>
        <row r="635">
          <cell r="B635" t="str">
            <v>GUACHETÁ</v>
          </cell>
          <cell r="C635" t="str">
            <v>25317</v>
          </cell>
        </row>
        <row r="636">
          <cell r="B636" t="str">
            <v>LENGUAZAQUE</v>
          </cell>
          <cell r="C636" t="str">
            <v>25407</v>
          </cell>
        </row>
        <row r="637">
          <cell r="B637" t="str">
            <v>SIMIJACA</v>
          </cell>
          <cell r="C637" t="str">
            <v>25745</v>
          </cell>
        </row>
        <row r="638">
          <cell r="B638" t="str">
            <v>SUSA</v>
          </cell>
          <cell r="C638" t="str">
            <v>25779</v>
          </cell>
        </row>
        <row r="639">
          <cell r="B639" t="str">
            <v>SUTATAUSA</v>
          </cell>
          <cell r="C639" t="str">
            <v>25781</v>
          </cell>
        </row>
        <row r="640">
          <cell r="B640" t="str">
            <v>TAUSA</v>
          </cell>
          <cell r="C640" t="str">
            <v>25793</v>
          </cell>
        </row>
        <row r="641">
          <cell r="B641" t="str">
            <v>UBATE</v>
          </cell>
          <cell r="C641" t="str">
            <v>25843</v>
          </cell>
        </row>
        <row r="642">
          <cell r="B642" t="str">
            <v>BARRANCO MINA</v>
          </cell>
          <cell r="C642" t="str">
            <v>94343</v>
          </cell>
        </row>
        <row r="643">
          <cell r="B643" t="str">
            <v>CACAHUAL</v>
          </cell>
          <cell r="C643" t="str">
            <v>94886</v>
          </cell>
        </row>
        <row r="644">
          <cell r="B644" t="str">
            <v>INÍRIDA</v>
          </cell>
          <cell r="C644" t="str">
            <v>94001</v>
          </cell>
        </row>
        <row r="645">
          <cell r="B645" t="str">
            <v>LA GUADALUPE</v>
          </cell>
          <cell r="C645" t="str">
            <v>94885</v>
          </cell>
        </row>
        <row r="646">
          <cell r="B646" t="str">
            <v>MAPIRIPaN</v>
          </cell>
          <cell r="C646" t="str">
            <v>94663</v>
          </cell>
        </row>
        <row r="647">
          <cell r="B647" t="str">
            <v>MORICHAL</v>
          </cell>
          <cell r="C647" t="str">
            <v>94888</v>
          </cell>
        </row>
        <row r="648">
          <cell r="B648" t="str">
            <v>PANA PANA</v>
          </cell>
          <cell r="C648" t="str">
            <v>94887</v>
          </cell>
        </row>
        <row r="649">
          <cell r="B649" t="str">
            <v>PUERTO COLOMBIA</v>
          </cell>
          <cell r="C649" t="str">
            <v>94884</v>
          </cell>
        </row>
        <row r="650">
          <cell r="B650" t="str">
            <v>SAN FELIPE</v>
          </cell>
          <cell r="C650" t="str">
            <v>94883</v>
          </cell>
        </row>
        <row r="651">
          <cell r="B651" t="str">
            <v>CALAMAR</v>
          </cell>
          <cell r="C651" t="str">
            <v>95015</v>
          </cell>
        </row>
        <row r="652">
          <cell r="B652" t="str">
            <v>EL RETORNO</v>
          </cell>
          <cell r="C652" t="str">
            <v>95025</v>
          </cell>
        </row>
        <row r="653">
          <cell r="B653" t="str">
            <v>MIRAFLORES</v>
          </cell>
          <cell r="C653" t="str">
            <v>95200</v>
          </cell>
        </row>
        <row r="654">
          <cell r="B654" t="str">
            <v>SAN JOSÉ DEL GUAVIARE</v>
          </cell>
          <cell r="C654" t="str">
            <v>95001</v>
          </cell>
        </row>
        <row r="655">
          <cell r="B655" t="str">
            <v>AGRADO</v>
          </cell>
          <cell r="C655" t="str">
            <v>41013</v>
          </cell>
        </row>
        <row r="656">
          <cell r="B656" t="str">
            <v>ALTAMIRA</v>
          </cell>
          <cell r="C656" t="str">
            <v>41026</v>
          </cell>
        </row>
        <row r="657">
          <cell r="B657" t="str">
            <v>GARZÓN</v>
          </cell>
          <cell r="C657" t="str">
            <v>41298</v>
          </cell>
        </row>
        <row r="658">
          <cell r="B658" t="str">
            <v>GIGANTE</v>
          </cell>
          <cell r="C658" t="str">
            <v>41306</v>
          </cell>
        </row>
        <row r="659">
          <cell r="B659" t="str">
            <v>GUADALUPE</v>
          </cell>
          <cell r="C659" t="str">
            <v>41319</v>
          </cell>
        </row>
        <row r="660">
          <cell r="B660" t="str">
            <v>PITAL</v>
          </cell>
          <cell r="C660" t="str">
            <v>41548</v>
          </cell>
        </row>
        <row r="661">
          <cell r="B661" t="str">
            <v>SUAZA</v>
          </cell>
          <cell r="C661" t="str">
            <v>41770</v>
          </cell>
        </row>
        <row r="662">
          <cell r="B662" t="str">
            <v>TARQUI</v>
          </cell>
          <cell r="C662" t="str">
            <v>41791</v>
          </cell>
        </row>
        <row r="663">
          <cell r="B663" t="str">
            <v>AIPE</v>
          </cell>
          <cell r="C663" t="str">
            <v>41016</v>
          </cell>
        </row>
        <row r="664">
          <cell r="B664" t="str">
            <v>ALGECIRAS</v>
          </cell>
          <cell r="C664" t="str">
            <v>41020</v>
          </cell>
        </row>
        <row r="665">
          <cell r="B665" t="str">
            <v>BARAYA</v>
          </cell>
          <cell r="C665" t="str">
            <v>41078</v>
          </cell>
        </row>
        <row r="666">
          <cell r="B666" t="str">
            <v>CAMPOALEGRE</v>
          </cell>
          <cell r="C666" t="str">
            <v>41132</v>
          </cell>
        </row>
        <row r="667">
          <cell r="B667" t="str">
            <v>COLOMBIA</v>
          </cell>
          <cell r="C667" t="str">
            <v>41206</v>
          </cell>
        </row>
        <row r="668">
          <cell r="B668" t="str">
            <v>HOBO</v>
          </cell>
          <cell r="C668" t="str">
            <v>41349</v>
          </cell>
        </row>
        <row r="669">
          <cell r="B669" t="str">
            <v>IQUIRA</v>
          </cell>
          <cell r="C669" t="str">
            <v>41357</v>
          </cell>
        </row>
        <row r="670">
          <cell r="B670" t="str">
            <v>NEIVA</v>
          </cell>
          <cell r="C670" t="str">
            <v>41001</v>
          </cell>
        </row>
        <row r="671">
          <cell r="B671" t="str">
            <v>PALERMO</v>
          </cell>
          <cell r="C671" t="str">
            <v>41524</v>
          </cell>
        </row>
        <row r="672">
          <cell r="B672" t="str">
            <v>RIVERA</v>
          </cell>
          <cell r="C672" t="str">
            <v>41615</v>
          </cell>
        </row>
        <row r="673">
          <cell r="B673" t="str">
            <v>SANTA MARÍA</v>
          </cell>
          <cell r="C673" t="str">
            <v>41676</v>
          </cell>
        </row>
        <row r="674">
          <cell r="B674" t="str">
            <v>TELLO</v>
          </cell>
          <cell r="C674" t="str">
            <v>41799</v>
          </cell>
        </row>
        <row r="675">
          <cell r="B675" t="str">
            <v>TERUEL</v>
          </cell>
          <cell r="C675" t="str">
            <v>41801</v>
          </cell>
        </row>
        <row r="676">
          <cell r="B676" t="str">
            <v>VILLAVIEJA</v>
          </cell>
          <cell r="C676" t="str">
            <v>41872</v>
          </cell>
        </row>
        <row r="677">
          <cell r="B677" t="str">
            <v>YAGUARÁ</v>
          </cell>
          <cell r="C677" t="str">
            <v>41885</v>
          </cell>
        </row>
        <row r="678">
          <cell r="B678" t="str">
            <v>LA ARGENTINA</v>
          </cell>
          <cell r="C678" t="str">
            <v>41378</v>
          </cell>
        </row>
        <row r="679">
          <cell r="B679" t="str">
            <v>LA PLATA</v>
          </cell>
          <cell r="C679" t="str">
            <v>41396</v>
          </cell>
        </row>
        <row r="680">
          <cell r="B680" t="str">
            <v>NÁTAGA</v>
          </cell>
          <cell r="C680" t="str">
            <v>41483</v>
          </cell>
        </row>
        <row r="681">
          <cell r="B681" t="str">
            <v>PAICOL</v>
          </cell>
          <cell r="C681" t="str">
            <v>41518</v>
          </cell>
        </row>
        <row r="682">
          <cell r="B682" t="str">
            <v>TESALIA</v>
          </cell>
          <cell r="C682" t="str">
            <v>41797</v>
          </cell>
        </row>
        <row r="683">
          <cell r="B683" t="str">
            <v>ACEVEDO</v>
          </cell>
          <cell r="C683" t="str">
            <v>41006</v>
          </cell>
        </row>
        <row r="684">
          <cell r="B684" t="str">
            <v>ELÍAS</v>
          </cell>
          <cell r="C684" t="str">
            <v>41244</v>
          </cell>
        </row>
        <row r="685">
          <cell r="B685" t="str">
            <v>ISNOS</v>
          </cell>
          <cell r="C685" t="str">
            <v>41359</v>
          </cell>
        </row>
        <row r="686">
          <cell r="B686" t="str">
            <v>OPORAPA</v>
          </cell>
          <cell r="C686" t="str">
            <v>41503</v>
          </cell>
        </row>
        <row r="687">
          <cell r="B687" t="str">
            <v>PALESTINA</v>
          </cell>
          <cell r="C687" t="str">
            <v>41530</v>
          </cell>
        </row>
        <row r="688">
          <cell r="B688" t="str">
            <v>PITALITO</v>
          </cell>
          <cell r="C688" t="str">
            <v>41551</v>
          </cell>
        </row>
        <row r="689">
          <cell r="B689" t="str">
            <v>SALADOBLANCO</v>
          </cell>
          <cell r="C689" t="str">
            <v>41660</v>
          </cell>
        </row>
        <row r="690">
          <cell r="B690" t="str">
            <v>SAN AGUSTÍN</v>
          </cell>
          <cell r="C690" t="str">
            <v>41668</v>
          </cell>
        </row>
        <row r="691">
          <cell r="B691" t="str">
            <v>TIMANÁ</v>
          </cell>
          <cell r="C691" t="str">
            <v>41807</v>
          </cell>
        </row>
        <row r="692">
          <cell r="B692" t="str">
            <v>ALBANIA</v>
          </cell>
          <cell r="C692" t="str">
            <v>44035</v>
          </cell>
        </row>
        <row r="693">
          <cell r="B693" t="str">
            <v>DIBULLA</v>
          </cell>
          <cell r="C693" t="str">
            <v>44090</v>
          </cell>
        </row>
        <row r="694">
          <cell r="B694" t="str">
            <v>MAICAO</v>
          </cell>
          <cell r="C694" t="str">
            <v>44430</v>
          </cell>
        </row>
        <row r="695">
          <cell r="B695" t="str">
            <v>MANAURE</v>
          </cell>
          <cell r="C695" t="str">
            <v>44560</v>
          </cell>
        </row>
        <row r="696">
          <cell r="B696" t="str">
            <v>RIOHACHA</v>
          </cell>
          <cell r="C696" t="str">
            <v>44001</v>
          </cell>
        </row>
        <row r="697">
          <cell r="B697" t="str">
            <v>URIBIA</v>
          </cell>
          <cell r="C697" t="str">
            <v>44847</v>
          </cell>
        </row>
        <row r="698">
          <cell r="B698" t="str">
            <v>BARRANCAS</v>
          </cell>
          <cell r="C698" t="str">
            <v>44078</v>
          </cell>
        </row>
        <row r="699">
          <cell r="B699" t="str">
            <v>DISTRACCION</v>
          </cell>
          <cell r="C699" t="str">
            <v>44098</v>
          </cell>
        </row>
        <row r="700">
          <cell r="B700" t="str">
            <v>EL MOLINO</v>
          </cell>
          <cell r="C700" t="str">
            <v>44110</v>
          </cell>
        </row>
        <row r="701">
          <cell r="B701" t="str">
            <v>FONSECA</v>
          </cell>
          <cell r="C701" t="str">
            <v>44279</v>
          </cell>
        </row>
        <row r="702">
          <cell r="B702" t="str">
            <v>HATONUEVO</v>
          </cell>
          <cell r="C702" t="str">
            <v>44378</v>
          </cell>
        </row>
        <row r="703">
          <cell r="B703" t="str">
            <v>LA JAGUA DEL PILAR</v>
          </cell>
          <cell r="C703" t="str">
            <v>44420</v>
          </cell>
        </row>
        <row r="704">
          <cell r="B704" t="str">
            <v>SAN JUAN DEL CESAR</v>
          </cell>
          <cell r="C704" t="str">
            <v>44650</v>
          </cell>
        </row>
        <row r="705">
          <cell r="B705" t="str">
            <v>URUMITA</v>
          </cell>
          <cell r="C705" t="str">
            <v>44855</v>
          </cell>
        </row>
        <row r="706">
          <cell r="B706" t="str">
            <v>VILLANUEVA</v>
          </cell>
          <cell r="C706" t="str">
            <v>44874</v>
          </cell>
        </row>
        <row r="707">
          <cell r="B707" t="str">
            <v>ARIGUANÍ</v>
          </cell>
          <cell r="C707" t="str">
            <v>47058</v>
          </cell>
        </row>
        <row r="708">
          <cell r="B708" t="str">
            <v>CHIBOLO</v>
          </cell>
          <cell r="C708" t="str">
            <v>47170</v>
          </cell>
        </row>
        <row r="709">
          <cell r="B709" t="str">
            <v>NUEVA GRANADA</v>
          </cell>
          <cell r="C709" t="str">
            <v>47460</v>
          </cell>
        </row>
        <row r="710">
          <cell r="B710" t="str">
            <v>PLATO</v>
          </cell>
          <cell r="C710" t="str">
            <v>47555</v>
          </cell>
        </row>
        <row r="711">
          <cell r="B711" t="str">
            <v>SABANAS DE SAN ANGEL</v>
          </cell>
          <cell r="C711" t="str">
            <v>47660</v>
          </cell>
        </row>
        <row r="712">
          <cell r="B712" t="str">
            <v>TENERIFE</v>
          </cell>
          <cell r="C712" t="str">
            <v>47798</v>
          </cell>
        </row>
        <row r="713">
          <cell r="B713" t="str">
            <v>ALGARROBO</v>
          </cell>
          <cell r="C713" t="str">
            <v>47030</v>
          </cell>
        </row>
        <row r="714">
          <cell r="B714" t="str">
            <v>ARACATACA</v>
          </cell>
          <cell r="C714" t="str">
            <v>47053</v>
          </cell>
        </row>
        <row r="715">
          <cell r="B715" t="str">
            <v>CIÉNAGA</v>
          </cell>
          <cell r="C715" t="str">
            <v>47189</v>
          </cell>
        </row>
        <row r="716">
          <cell r="B716" t="str">
            <v>EL RETEN</v>
          </cell>
          <cell r="C716" t="str">
            <v>47268</v>
          </cell>
        </row>
        <row r="717">
          <cell r="B717" t="str">
            <v>FUNDACION</v>
          </cell>
          <cell r="C717" t="str">
            <v>47288</v>
          </cell>
        </row>
        <row r="718">
          <cell r="B718" t="str">
            <v>PUEBLO VIEJO</v>
          </cell>
          <cell r="C718" t="str">
            <v>47570</v>
          </cell>
        </row>
        <row r="719">
          <cell r="B719" t="str">
            <v>ZONA BANANERA</v>
          </cell>
          <cell r="C719" t="str">
            <v>47980</v>
          </cell>
        </row>
        <row r="720">
          <cell r="B720" t="str">
            <v>CERRO SAN ANTONIO</v>
          </cell>
          <cell r="C720" t="str">
            <v>47161</v>
          </cell>
        </row>
        <row r="721">
          <cell r="B721" t="str">
            <v>CONCORDIA</v>
          </cell>
          <cell r="C721" t="str">
            <v>47205</v>
          </cell>
        </row>
        <row r="722">
          <cell r="B722" t="str">
            <v>EL PIÑON</v>
          </cell>
          <cell r="C722" t="str">
            <v>47258</v>
          </cell>
        </row>
        <row r="723">
          <cell r="B723" t="str">
            <v>PEDRAZA</v>
          </cell>
          <cell r="C723" t="str">
            <v>47541</v>
          </cell>
        </row>
        <row r="724">
          <cell r="B724" t="str">
            <v>PIVIJAY</v>
          </cell>
          <cell r="C724" t="str">
            <v>47551</v>
          </cell>
        </row>
        <row r="725">
          <cell r="B725" t="str">
            <v>REMOLINO</v>
          </cell>
          <cell r="C725" t="str">
            <v>47605</v>
          </cell>
        </row>
        <row r="726">
          <cell r="B726" t="str">
            <v>SALAMINA</v>
          </cell>
          <cell r="C726" t="str">
            <v>47675</v>
          </cell>
        </row>
        <row r="727">
          <cell r="B727" t="str">
            <v>SITIONUEVO</v>
          </cell>
          <cell r="C727" t="str">
            <v>47745</v>
          </cell>
        </row>
        <row r="728">
          <cell r="B728" t="str">
            <v>ZAPAYAN</v>
          </cell>
          <cell r="C728" t="str">
            <v>47960</v>
          </cell>
        </row>
        <row r="729">
          <cell r="B729" t="str">
            <v>SANTA MARTA</v>
          </cell>
          <cell r="C729" t="str">
            <v>47001</v>
          </cell>
        </row>
        <row r="730">
          <cell r="B730" t="str">
            <v>EL BANCO</v>
          </cell>
          <cell r="C730" t="str">
            <v>47245</v>
          </cell>
        </row>
        <row r="731">
          <cell r="B731" t="str">
            <v>GUAMAL</v>
          </cell>
          <cell r="C731" t="str">
            <v>47318</v>
          </cell>
        </row>
        <row r="732">
          <cell r="B732" t="str">
            <v>PIJIÑO DEL CARMEN</v>
          </cell>
          <cell r="C732" t="str">
            <v>47545</v>
          </cell>
        </row>
        <row r="733">
          <cell r="B733" t="str">
            <v>SAN SEBASTIAN DE BUENAVISTA</v>
          </cell>
          <cell r="C733" t="str">
            <v>47692</v>
          </cell>
        </row>
        <row r="734">
          <cell r="B734" t="str">
            <v>SAN ZENON</v>
          </cell>
          <cell r="C734" t="str">
            <v>47703</v>
          </cell>
        </row>
        <row r="735">
          <cell r="B735" t="str">
            <v>SANTA ANA</v>
          </cell>
          <cell r="C735" t="str">
            <v>47707</v>
          </cell>
        </row>
        <row r="736">
          <cell r="B736" t="str">
            <v>SANTA BARBARA DE PINTO</v>
          </cell>
          <cell r="C736" t="str">
            <v>47720</v>
          </cell>
        </row>
        <row r="737">
          <cell r="B737" t="str">
            <v>EL CASTILLO</v>
          </cell>
          <cell r="C737" t="str">
            <v>50251</v>
          </cell>
        </row>
        <row r="738">
          <cell r="B738" t="str">
            <v>EL DORADO</v>
          </cell>
          <cell r="C738" t="str">
            <v>50270</v>
          </cell>
        </row>
        <row r="739">
          <cell r="B739" t="str">
            <v>FUENTE DE ORO</v>
          </cell>
          <cell r="C739" t="str">
            <v>50287</v>
          </cell>
        </row>
        <row r="740">
          <cell r="B740" t="str">
            <v>GRANADA</v>
          </cell>
          <cell r="C740" t="str">
            <v>50313</v>
          </cell>
        </row>
        <row r="741">
          <cell r="B741" t="str">
            <v>LA MACARENA</v>
          </cell>
          <cell r="C741" t="str">
            <v>50350</v>
          </cell>
        </row>
        <row r="742">
          <cell r="B742" t="str">
            <v>LA URIBE</v>
          </cell>
          <cell r="C742" t="str">
            <v>50370</v>
          </cell>
        </row>
        <row r="743">
          <cell r="B743" t="str">
            <v>LEJANÍAS</v>
          </cell>
          <cell r="C743" t="str">
            <v>50400</v>
          </cell>
        </row>
        <row r="744">
          <cell r="B744" t="str">
            <v>MAPIRIPaN</v>
          </cell>
          <cell r="C744" t="str">
            <v>50325</v>
          </cell>
        </row>
        <row r="745">
          <cell r="B745" t="str">
            <v>MESETAS</v>
          </cell>
          <cell r="C745" t="str">
            <v>50330</v>
          </cell>
        </row>
        <row r="746">
          <cell r="B746" t="str">
            <v>PUERTO CONCORDIA</v>
          </cell>
          <cell r="C746" t="str">
            <v>50450</v>
          </cell>
        </row>
        <row r="747">
          <cell r="B747" t="str">
            <v>PUERTO LLERAS</v>
          </cell>
          <cell r="C747" t="str">
            <v>50577</v>
          </cell>
        </row>
        <row r="748">
          <cell r="B748" t="str">
            <v>PUERTO RICO</v>
          </cell>
          <cell r="C748" t="str">
            <v>50590</v>
          </cell>
        </row>
        <row r="749">
          <cell r="B749" t="str">
            <v>SAN JUAN DE ARAMA</v>
          </cell>
          <cell r="C749" t="str">
            <v>50683</v>
          </cell>
        </row>
        <row r="750">
          <cell r="B750" t="str">
            <v>VISTA HERMOSA</v>
          </cell>
          <cell r="C750" t="str">
            <v>50711</v>
          </cell>
        </row>
        <row r="751">
          <cell r="B751" t="str">
            <v>VILLAVICENCIO</v>
          </cell>
          <cell r="C751" t="str">
            <v>50001</v>
          </cell>
        </row>
        <row r="752">
          <cell r="B752" t="str">
            <v>ACACiAS</v>
          </cell>
          <cell r="C752" t="str">
            <v>50006</v>
          </cell>
        </row>
        <row r="753">
          <cell r="B753" t="str">
            <v>BARRANCA DE UPIA</v>
          </cell>
          <cell r="C753" t="str">
            <v>50110</v>
          </cell>
        </row>
        <row r="754">
          <cell r="B754" t="str">
            <v>CASTILLA LA NUEVA</v>
          </cell>
          <cell r="C754" t="str">
            <v>50150</v>
          </cell>
        </row>
        <row r="755">
          <cell r="B755" t="str">
            <v>CUMARAL</v>
          </cell>
          <cell r="C755" t="str">
            <v>50226</v>
          </cell>
        </row>
        <row r="756">
          <cell r="B756" t="str">
            <v>EL CALVARIO</v>
          </cell>
          <cell r="C756" t="str">
            <v>50245</v>
          </cell>
        </row>
        <row r="757">
          <cell r="B757" t="str">
            <v>GUAMAL</v>
          </cell>
          <cell r="C757" t="str">
            <v>50318</v>
          </cell>
        </row>
        <row r="758">
          <cell r="B758" t="str">
            <v>RESTREPO</v>
          </cell>
          <cell r="C758" t="str">
            <v>50606</v>
          </cell>
        </row>
        <row r="759">
          <cell r="B759" t="str">
            <v>SAN CARLOS GUAROA</v>
          </cell>
          <cell r="C759" t="str">
            <v>50680</v>
          </cell>
        </row>
        <row r="760">
          <cell r="B760" t="str">
            <v>SAN JUANITO</v>
          </cell>
          <cell r="C760" t="str">
            <v>50686</v>
          </cell>
        </row>
        <row r="761">
          <cell r="B761" t="str">
            <v>SAN LUIS DE CUBARRAL</v>
          </cell>
          <cell r="C761" t="str">
            <v>50223</v>
          </cell>
        </row>
        <row r="762">
          <cell r="B762" t="str">
            <v>SAN MARTÍN</v>
          </cell>
          <cell r="C762" t="str">
            <v>50689</v>
          </cell>
        </row>
        <row r="763">
          <cell r="B763" t="str">
            <v>CABUYARO</v>
          </cell>
          <cell r="C763" t="str">
            <v>50124</v>
          </cell>
        </row>
        <row r="764">
          <cell r="B764" t="str">
            <v>PUERTO GAITÁN</v>
          </cell>
          <cell r="C764" t="str">
            <v>50568</v>
          </cell>
        </row>
        <row r="765">
          <cell r="B765" t="str">
            <v>PUERTO LoPEZ</v>
          </cell>
          <cell r="C765" t="str">
            <v>50573</v>
          </cell>
        </row>
        <row r="766">
          <cell r="B766" t="str">
            <v>CHACHAGUI</v>
          </cell>
          <cell r="C766" t="str">
            <v>52240</v>
          </cell>
        </row>
        <row r="767">
          <cell r="B767" t="str">
            <v>CONSACA</v>
          </cell>
          <cell r="C767" t="str">
            <v>52207</v>
          </cell>
        </row>
        <row r="768">
          <cell r="B768" t="str">
            <v>EL PEÑOL</v>
          </cell>
          <cell r="C768" t="str">
            <v>52254</v>
          </cell>
        </row>
        <row r="769">
          <cell r="B769" t="str">
            <v>EL TAMBO</v>
          </cell>
          <cell r="C769" t="str">
            <v>52260</v>
          </cell>
        </row>
        <row r="770">
          <cell r="B770" t="str">
            <v>LA FLORIDA</v>
          </cell>
          <cell r="C770" t="str">
            <v>52381</v>
          </cell>
        </row>
        <row r="771">
          <cell r="B771" t="str">
            <v>NARIÑO</v>
          </cell>
          <cell r="C771" t="str">
            <v>52480</v>
          </cell>
        </row>
        <row r="772">
          <cell r="B772" t="str">
            <v>PASTO</v>
          </cell>
          <cell r="C772" t="str">
            <v>52001</v>
          </cell>
        </row>
        <row r="773">
          <cell r="B773" t="str">
            <v>SANDONÁ</v>
          </cell>
          <cell r="C773" t="str">
            <v>52683</v>
          </cell>
        </row>
        <row r="774">
          <cell r="B774" t="str">
            <v>TANGUA</v>
          </cell>
          <cell r="C774" t="str">
            <v>52788</v>
          </cell>
        </row>
        <row r="775">
          <cell r="B775" t="str">
            <v>YACUANQUER</v>
          </cell>
          <cell r="C775" t="str">
            <v>52885</v>
          </cell>
        </row>
        <row r="776">
          <cell r="B776" t="str">
            <v>ANCUYA</v>
          </cell>
          <cell r="C776" t="str">
            <v>52036</v>
          </cell>
        </row>
        <row r="777">
          <cell r="B777" t="str">
            <v>GUAITARILLA</v>
          </cell>
          <cell r="C777" t="str">
            <v>52320</v>
          </cell>
        </row>
        <row r="778">
          <cell r="B778" t="str">
            <v>LA LLANADA</v>
          </cell>
          <cell r="C778" t="str">
            <v>52385</v>
          </cell>
        </row>
        <row r="779">
          <cell r="B779" t="str">
            <v>LINARES</v>
          </cell>
          <cell r="C779" t="str">
            <v>52411</v>
          </cell>
        </row>
        <row r="780">
          <cell r="B780" t="str">
            <v>LOS ANDES</v>
          </cell>
          <cell r="C780" t="str">
            <v>52418</v>
          </cell>
        </row>
        <row r="781">
          <cell r="B781" t="str">
            <v>MALLAMA</v>
          </cell>
          <cell r="C781" t="str">
            <v>52435</v>
          </cell>
        </row>
        <row r="782">
          <cell r="B782" t="str">
            <v>OSPINA</v>
          </cell>
          <cell r="C782" t="str">
            <v>52506</v>
          </cell>
        </row>
        <row r="783">
          <cell r="B783" t="str">
            <v>PROVIDENCIA</v>
          </cell>
          <cell r="C783" t="str">
            <v>52565</v>
          </cell>
        </row>
        <row r="784">
          <cell r="B784" t="str">
            <v>RICAURTE</v>
          </cell>
          <cell r="C784" t="str">
            <v>52612</v>
          </cell>
        </row>
        <row r="785">
          <cell r="B785" t="str">
            <v>SAMANIEGO</v>
          </cell>
          <cell r="C785" t="str">
            <v>52678</v>
          </cell>
        </row>
        <row r="786">
          <cell r="B786" t="str">
            <v>SANTA CRUZ</v>
          </cell>
          <cell r="C786" t="str">
            <v>52699</v>
          </cell>
        </row>
        <row r="787">
          <cell r="B787" t="str">
            <v>SAPUYES</v>
          </cell>
          <cell r="C787" t="str">
            <v>52720</v>
          </cell>
        </row>
        <row r="788">
          <cell r="B788" t="str">
            <v>TUQUERRES</v>
          </cell>
          <cell r="C788" t="str">
            <v>52838</v>
          </cell>
        </row>
        <row r="789">
          <cell r="B789" t="str">
            <v>BARBACOAS</v>
          </cell>
          <cell r="C789" t="str">
            <v>52079</v>
          </cell>
        </row>
        <row r="790">
          <cell r="B790" t="str">
            <v>EL CHARCO</v>
          </cell>
          <cell r="C790" t="str">
            <v>52250</v>
          </cell>
        </row>
        <row r="791">
          <cell r="B791" t="str">
            <v>FRANCISCO PIZARRO</v>
          </cell>
          <cell r="C791" t="str">
            <v>52520</v>
          </cell>
        </row>
        <row r="792">
          <cell r="B792" t="str">
            <v>LA TOLA</v>
          </cell>
          <cell r="C792" t="str">
            <v>52390</v>
          </cell>
        </row>
        <row r="793">
          <cell r="B793" t="str">
            <v>Magui</v>
          </cell>
          <cell r="C793" t="str">
            <v>52427</v>
          </cell>
        </row>
        <row r="794">
          <cell r="B794" t="str">
            <v>MOSQUERA</v>
          </cell>
          <cell r="C794" t="str">
            <v>52473</v>
          </cell>
        </row>
        <row r="795">
          <cell r="B795" t="str">
            <v>OLAYA HERRERA</v>
          </cell>
          <cell r="C795" t="str">
            <v>52490</v>
          </cell>
        </row>
        <row r="796">
          <cell r="B796" t="str">
            <v>ROBERTO PAYAN</v>
          </cell>
          <cell r="C796" t="str">
            <v>52621</v>
          </cell>
        </row>
        <row r="797">
          <cell r="B797" t="str">
            <v>SANTA BaRBARA</v>
          </cell>
          <cell r="C797" t="str">
            <v>52696</v>
          </cell>
        </row>
        <row r="798">
          <cell r="B798" t="str">
            <v>TUMACO</v>
          </cell>
          <cell r="C798" t="str">
            <v>52835</v>
          </cell>
        </row>
        <row r="799">
          <cell r="B799" t="str">
            <v>ALBAN</v>
          </cell>
          <cell r="C799" t="str">
            <v>52019</v>
          </cell>
        </row>
        <row r="800">
          <cell r="B800" t="str">
            <v>ARBOLEDA</v>
          </cell>
          <cell r="C800" t="str">
            <v>52051</v>
          </cell>
        </row>
        <row r="801">
          <cell r="B801" t="str">
            <v>BELEN</v>
          </cell>
          <cell r="C801" t="str">
            <v>52083</v>
          </cell>
        </row>
        <row r="802">
          <cell r="B802" t="str">
            <v>BUESACO</v>
          </cell>
          <cell r="C802" t="str">
            <v>52110</v>
          </cell>
        </row>
        <row r="803">
          <cell r="B803" t="str">
            <v>COLON</v>
          </cell>
          <cell r="C803" t="str">
            <v>52203</v>
          </cell>
        </row>
        <row r="804">
          <cell r="B804" t="str">
            <v>CUMBITARA</v>
          </cell>
          <cell r="C804" t="str">
            <v>52233</v>
          </cell>
        </row>
        <row r="805">
          <cell r="B805" t="str">
            <v>EL ROSARIO</v>
          </cell>
          <cell r="C805" t="str">
            <v>52256</v>
          </cell>
        </row>
        <row r="806">
          <cell r="B806" t="str">
            <v>El Tablon de Gomez</v>
          </cell>
          <cell r="C806" t="str">
            <v>52258</v>
          </cell>
        </row>
        <row r="807">
          <cell r="B807" t="str">
            <v>LA CRUZ</v>
          </cell>
          <cell r="C807" t="str">
            <v>52378</v>
          </cell>
        </row>
        <row r="808">
          <cell r="B808" t="str">
            <v>LA UNION</v>
          </cell>
          <cell r="C808" t="str">
            <v>52399</v>
          </cell>
        </row>
        <row r="809">
          <cell r="B809" t="str">
            <v>LEIVA</v>
          </cell>
          <cell r="C809" t="str">
            <v>52405</v>
          </cell>
        </row>
        <row r="810">
          <cell r="B810" t="str">
            <v>POLICARPA</v>
          </cell>
          <cell r="C810" t="str">
            <v>52540</v>
          </cell>
        </row>
        <row r="811">
          <cell r="B811" t="str">
            <v>SAN BERNARDO</v>
          </cell>
          <cell r="C811" t="str">
            <v>52685</v>
          </cell>
        </row>
        <row r="812">
          <cell r="B812" t="str">
            <v>SAN LORENZO</v>
          </cell>
          <cell r="C812" t="str">
            <v>52687</v>
          </cell>
        </row>
        <row r="813">
          <cell r="B813" t="str">
            <v>SAN PABLO</v>
          </cell>
          <cell r="C813" t="str">
            <v>52693</v>
          </cell>
        </row>
        <row r="814">
          <cell r="B814" t="str">
            <v>SAN PEDRO DE CARTAGO</v>
          </cell>
          <cell r="C814" t="str">
            <v>52694</v>
          </cell>
        </row>
        <row r="815">
          <cell r="B815" t="str">
            <v>TAMINANGO</v>
          </cell>
          <cell r="C815" t="str">
            <v>52786</v>
          </cell>
        </row>
        <row r="816">
          <cell r="B816" t="str">
            <v>ALDANA</v>
          </cell>
          <cell r="C816" t="str">
            <v>52022</v>
          </cell>
        </row>
        <row r="817">
          <cell r="B817" t="str">
            <v>CONTADERO</v>
          </cell>
          <cell r="C817" t="str">
            <v>52210</v>
          </cell>
        </row>
        <row r="818">
          <cell r="B818" t="str">
            <v>CÓRDOBA</v>
          </cell>
          <cell r="C818" t="str">
            <v>52215</v>
          </cell>
        </row>
        <row r="819">
          <cell r="B819" t="str">
            <v>CUASPUD</v>
          </cell>
          <cell r="C819" t="str">
            <v>52224</v>
          </cell>
        </row>
        <row r="820">
          <cell r="B820" t="str">
            <v>CUMBAL</v>
          </cell>
          <cell r="C820" t="str">
            <v>52227</v>
          </cell>
        </row>
        <row r="821">
          <cell r="B821" t="str">
            <v>FUNES</v>
          </cell>
          <cell r="C821" t="str">
            <v>52287</v>
          </cell>
        </row>
        <row r="822">
          <cell r="B822" t="str">
            <v>GUACHUCAL</v>
          </cell>
          <cell r="C822" t="str">
            <v>52317</v>
          </cell>
        </row>
        <row r="823">
          <cell r="B823" t="str">
            <v>GUALMATAN</v>
          </cell>
          <cell r="C823" t="str">
            <v>52323</v>
          </cell>
        </row>
        <row r="824">
          <cell r="B824" t="str">
            <v>ILES</v>
          </cell>
          <cell r="C824" t="str">
            <v>52352</v>
          </cell>
        </row>
        <row r="825">
          <cell r="B825" t="str">
            <v>IMUES</v>
          </cell>
          <cell r="C825" t="str">
            <v>52354</v>
          </cell>
        </row>
        <row r="826">
          <cell r="B826" t="str">
            <v>IPIALES</v>
          </cell>
          <cell r="C826" t="str">
            <v>52356</v>
          </cell>
        </row>
        <row r="827">
          <cell r="B827" t="str">
            <v>POTOSÍ</v>
          </cell>
          <cell r="C827" t="str">
            <v>52560</v>
          </cell>
        </row>
        <row r="828">
          <cell r="B828" t="str">
            <v>PUERRES</v>
          </cell>
          <cell r="C828" t="str">
            <v>52573</v>
          </cell>
        </row>
        <row r="829">
          <cell r="B829" t="str">
            <v>PUPIALES</v>
          </cell>
          <cell r="C829" t="str">
            <v>52585</v>
          </cell>
        </row>
        <row r="830">
          <cell r="B830" t="str">
            <v>ARBOLEDAS</v>
          </cell>
          <cell r="C830" t="str">
            <v>54051</v>
          </cell>
        </row>
        <row r="831">
          <cell r="B831" t="str">
            <v>CUCUTILLA</v>
          </cell>
          <cell r="C831" t="str">
            <v>54223</v>
          </cell>
        </row>
        <row r="832">
          <cell r="B832" t="str">
            <v>GRAMALOTE</v>
          </cell>
          <cell r="C832" t="str">
            <v>54313</v>
          </cell>
        </row>
        <row r="833">
          <cell r="B833" t="str">
            <v>LOURDES</v>
          </cell>
          <cell r="C833" t="str">
            <v>54418</v>
          </cell>
        </row>
        <row r="834">
          <cell r="B834" t="str">
            <v>SALAZAR</v>
          </cell>
          <cell r="C834" t="str">
            <v>54660</v>
          </cell>
        </row>
        <row r="835">
          <cell r="B835" t="str">
            <v>SANTIAGO</v>
          </cell>
          <cell r="C835" t="str">
            <v>54680</v>
          </cell>
        </row>
        <row r="836">
          <cell r="B836" t="str">
            <v>VILLA CARO</v>
          </cell>
          <cell r="C836" t="str">
            <v>54871</v>
          </cell>
        </row>
        <row r="837">
          <cell r="B837" t="str">
            <v>BUCARASICA</v>
          </cell>
          <cell r="C837" t="str">
            <v>54109</v>
          </cell>
        </row>
        <row r="838">
          <cell r="B838" t="str">
            <v>EL TARRA</v>
          </cell>
          <cell r="C838" t="str">
            <v>54250</v>
          </cell>
        </row>
        <row r="839">
          <cell r="B839" t="str">
            <v>SARDINATA</v>
          </cell>
          <cell r="C839" t="str">
            <v>54720</v>
          </cell>
        </row>
        <row r="840">
          <cell r="B840" t="str">
            <v>TIBÚ</v>
          </cell>
          <cell r="C840" t="str">
            <v>54810</v>
          </cell>
        </row>
        <row r="841">
          <cell r="B841" t="str">
            <v>ABREGO</v>
          </cell>
          <cell r="C841" t="str">
            <v>54003</v>
          </cell>
        </row>
        <row r="842">
          <cell r="B842" t="str">
            <v>CACHIRÁ</v>
          </cell>
          <cell r="C842" t="str">
            <v>54128</v>
          </cell>
        </row>
        <row r="843">
          <cell r="B843" t="str">
            <v>CONVENCIÓN</v>
          </cell>
          <cell r="C843" t="str">
            <v>54206</v>
          </cell>
        </row>
        <row r="844">
          <cell r="B844" t="str">
            <v>EL CARMEN</v>
          </cell>
          <cell r="C844" t="str">
            <v>54245</v>
          </cell>
        </row>
        <row r="845">
          <cell r="B845" t="str">
            <v>HACARÍ</v>
          </cell>
          <cell r="C845" t="str">
            <v>54344</v>
          </cell>
        </row>
        <row r="846">
          <cell r="B846" t="str">
            <v>LA ESPERANZA</v>
          </cell>
          <cell r="C846" t="str">
            <v>54385</v>
          </cell>
        </row>
        <row r="847">
          <cell r="B847" t="str">
            <v>LA PLAYA</v>
          </cell>
          <cell r="C847" t="str">
            <v>54398</v>
          </cell>
        </row>
        <row r="848">
          <cell r="B848" t="str">
            <v>OCAÑA</v>
          </cell>
          <cell r="C848" t="str">
            <v>54498</v>
          </cell>
        </row>
        <row r="849">
          <cell r="B849" t="str">
            <v>SAN CALIXTO</v>
          </cell>
          <cell r="C849" t="str">
            <v>54670</v>
          </cell>
        </row>
        <row r="850">
          <cell r="B850" t="str">
            <v>TEORAMA</v>
          </cell>
          <cell r="C850" t="str">
            <v>54800</v>
          </cell>
        </row>
        <row r="851">
          <cell r="B851" t="str">
            <v>CÚCUTA</v>
          </cell>
          <cell r="C851" t="str">
            <v>54001</v>
          </cell>
        </row>
        <row r="852">
          <cell r="B852" t="str">
            <v>EL ZULIA</v>
          </cell>
          <cell r="C852" t="str">
            <v>54261</v>
          </cell>
        </row>
        <row r="853">
          <cell r="B853" t="str">
            <v>LOS PATIOS</v>
          </cell>
          <cell r="C853" t="str">
            <v>54405</v>
          </cell>
        </row>
        <row r="854">
          <cell r="B854" t="str">
            <v>PUERTO SANTANDER</v>
          </cell>
          <cell r="C854" t="str">
            <v>54553</v>
          </cell>
        </row>
        <row r="855">
          <cell r="B855" t="str">
            <v>SAN CAYETANO</v>
          </cell>
          <cell r="C855" t="str">
            <v>54673</v>
          </cell>
        </row>
        <row r="856">
          <cell r="B856" t="str">
            <v>VILLA DEL ROSARIO</v>
          </cell>
          <cell r="C856" t="str">
            <v>54874</v>
          </cell>
        </row>
        <row r="857">
          <cell r="B857" t="str">
            <v>CÁCOTA</v>
          </cell>
          <cell r="C857" t="str">
            <v>54125</v>
          </cell>
        </row>
        <row r="858">
          <cell r="B858" t="str">
            <v>CHITAGÁ</v>
          </cell>
          <cell r="C858" t="str">
            <v>54174</v>
          </cell>
        </row>
        <row r="859">
          <cell r="B859" t="str">
            <v>MUTISCUA</v>
          </cell>
          <cell r="C859" t="str">
            <v>54480</v>
          </cell>
        </row>
        <row r="860">
          <cell r="B860" t="str">
            <v>PAMPLONA</v>
          </cell>
          <cell r="C860" t="str">
            <v>54518</v>
          </cell>
        </row>
        <row r="861">
          <cell r="B861" t="str">
            <v>PAMPLONITA</v>
          </cell>
          <cell r="C861" t="str">
            <v>54520</v>
          </cell>
        </row>
        <row r="862">
          <cell r="B862" t="str">
            <v>SILOS</v>
          </cell>
          <cell r="C862" t="str">
            <v>54743</v>
          </cell>
        </row>
        <row r="863">
          <cell r="B863" t="str">
            <v>BOCHALEMA</v>
          </cell>
          <cell r="C863" t="str">
            <v>54099</v>
          </cell>
        </row>
        <row r="864">
          <cell r="B864" t="str">
            <v>CHINÁCOTA</v>
          </cell>
          <cell r="C864" t="str">
            <v>54172</v>
          </cell>
        </row>
        <row r="865">
          <cell r="B865" t="str">
            <v>DURANIA</v>
          </cell>
          <cell r="C865" t="str">
            <v>54239</v>
          </cell>
        </row>
        <row r="866">
          <cell r="B866" t="str">
            <v>HERRÁN</v>
          </cell>
          <cell r="C866" t="str">
            <v>54347</v>
          </cell>
        </row>
        <row r="867">
          <cell r="B867" t="str">
            <v>LABATECA</v>
          </cell>
          <cell r="C867" t="str">
            <v>54377</v>
          </cell>
        </row>
        <row r="868">
          <cell r="B868" t="str">
            <v>RAGONVALIA</v>
          </cell>
          <cell r="C868" t="str">
            <v>54599</v>
          </cell>
        </row>
        <row r="869">
          <cell r="B869" t="str">
            <v>TOLEDO</v>
          </cell>
          <cell r="C869" t="str">
            <v>54820</v>
          </cell>
        </row>
        <row r="870">
          <cell r="B870" t="str">
            <v>COLÓN</v>
          </cell>
          <cell r="C870" t="str">
            <v>86219</v>
          </cell>
        </row>
        <row r="871">
          <cell r="B871" t="str">
            <v>MOCOA</v>
          </cell>
          <cell r="C871" t="str">
            <v>86001</v>
          </cell>
        </row>
        <row r="872">
          <cell r="B872" t="str">
            <v>ORITO</v>
          </cell>
          <cell r="C872" t="str">
            <v>86320</v>
          </cell>
        </row>
        <row r="873">
          <cell r="B873" t="str">
            <v>PUERTO ASIS</v>
          </cell>
          <cell r="C873" t="str">
            <v>86568</v>
          </cell>
        </row>
        <row r="874">
          <cell r="B874" t="str">
            <v>PUERTO CAICEDO</v>
          </cell>
          <cell r="C874" t="str">
            <v>86569</v>
          </cell>
        </row>
        <row r="875">
          <cell r="B875" t="str">
            <v>PUERTO GUZMAN</v>
          </cell>
          <cell r="C875" t="str">
            <v>86571</v>
          </cell>
        </row>
        <row r="876">
          <cell r="B876" t="str">
            <v>PUERTO LEGUIZAMO</v>
          </cell>
          <cell r="C876" t="str">
            <v>86573</v>
          </cell>
        </row>
        <row r="877">
          <cell r="B877" t="str">
            <v>SAN FRANCISCO</v>
          </cell>
          <cell r="C877" t="str">
            <v>86755</v>
          </cell>
        </row>
        <row r="878">
          <cell r="B878" t="str">
            <v>SAN MIGUEL</v>
          </cell>
          <cell r="C878" t="str">
            <v>86757</v>
          </cell>
        </row>
        <row r="879">
          <cell r="B879" t="str">
            <v>SANTIAGO</v>
          </cell>
          <cell r="C879" t="str">
            <v>86760</v>
          </cell>
        </row>
        <row r="880">
          <cell r="B880" t="str">
            <v>SIBUNDOY</v>
          </cell>
          <cell r="C880" t="str">
            <v>86749</v>
          </cell>
        </row>
        <row r="881">
          <cell r="B881" t="str">
            <v>VALLE DEL GUAMUEZ</v>
          </cell>
          <cell r="C881" t="str">
            <v>86865</v>
          </cell>
        </row>
        <row r="882">
          <cell r="B882" t="str">
            <v>VILLA GARZON</v>
          </cell>
          <cell r="C882" t="str">
            <v>86885</v>
          </cell>
        </row>
        <row r="883">
          <cell r="B883" t="str">
            <v>ARMENIA</v>
          </cell>
          <cell r="C883" t="str">
            <v>63001</v>
          </cell>
        </row>
        <row r="884">
          <cell r="B884" t="str">
            <v>BUENAVISTA</v>
          </cell>
          <cell r="C884" t="str">
            <v>63111</v>
          </cell>
        </row>
        <row r="885">
          <cell r="B885" t="str">
            <v>CALARCA</v>
          </cell>
          <cell r="C885" t="str">
            <v>63130</v>
          </cell>
        </row>
        <row r="886">
          <cell r="B886" t="str">
            <v>CoRDOBA</v>
          </cell>
          <cell r="C886" t="str">
            <v>63212</v>
          </cell>
        </row>
        <row r="887">
          <cell r="B887" t="str">
            <v>GeNOVA</v>
          </cell>
          <cell r="C887" t="str">
            <v>63302</v>
          </cell>
        </row>
        <row r="888">
          <cell r="B888" t="str">
            <v>PIJAO</v>
          </cell>
          <cell r="C888" t="str">
            <v>63548</v>
          </cell>
        </row>
        <row r="889">
          <cell r="B889" t="str">
            <v>FILANDIA</v>
          </cell>
          <cell r="C889" t="str">
            <v>63272</v>
          </cell>
        </row>
        <row r="890">
          <cell r="B890" t="str">
            <v>SALENTO</v>
          </cell>
          <cell r="C890" t="str">
            <v>63690</v>
          </cell>
        </row>
        <row r="891">
          <cell r="B891" t="str">
            <v>CIRCASIA</v>
          </cell>
          <cell r="C891" t="str">
            <v>63190</v>
          </cell>
        </row>
        <row r="892">
          <cell r="B892" t="str">
            <v>LA TEBAIDA</v>
          </cell>
          <cell r="C892" t="str">
            <v>63401</v>
          </cell>
        </row>
        <row r="893">
          <cell r="B893" t="str">
            <v>Montengro</v>
          </cell>
          <cell r="C893" t="str">
            <v>63470</v>
          </cell>
        </row>
        <row r="894">
          <cell r="B894" t="str">
            <v>QUIMBAYA</v>
          </cell>
          <cell r="C894" t="str">
            <v>63594</v>
          </cell>
        </row>
        <row r="895">
          <cell r="B895" t="str">
            <v>DOSQUEBRADAS</v>
          </cell>
          <cell r="C895" t="str">
            <v>66170</v>
          </cell>
        </row>
        <row r="896">
          <cell r="B896" t="str">
            <v>LA VIRGINIA</v>
          </cell>
          <cell r="C896" t="str">
            <v>66400</v>
          </cell>
        </row>
        <row r="897">
          <cell r="B897" t="str">
            <v>MARSELLA</v>
          </cell>
          <cell r="C897" t="str">
            <v>66440</v>
          </cell>
        </row>
        <row r="898">
          <cell r="B898" t="str">
            <v>PEREIRA</v>
          </cell>
          <cell r="C898" t="str">
            <v>66001</v>
          </cell>
        </row>
        <row r="899">
          <cell r="B899" t="str">
            <v>SANTA ROSA DE CABAL</v>
          </cell>
          <cell r="C899" t="str">
            <v>66682</v>
          </cell>
        </row>
        <row r="900">
          <cell r="B900" t="str">
            <v>APÍA</v>
          </cell>
          <cell r="C900" t="str">
            <v>66045</v>
          </cell>
        </row>
        <row r="901">
          <cell r="B901" t="str">
            <v>BALBOA</v>
          </cell>
          <cell r="C901" t="str">
            <v>66075</v>
          </cell>
        </row>
        <row r="902">
          <cell r="B902" t="str">
            <v>BELÉN DE UMBRÍA</v>
          </cell>
          <cell r="C902" t="str">
            <v>66088</v>
          </cell>
        </row>
        <row r="903">
          <cell r="B903" t="str">
            <v>GUÁTICA</v>
          </cell>
          <cell r="C903" t="str">
            <v>66318</v>
          </cell>
        </row>
        <row r="904">
          <cell r="B904" t="str">
            <v>LA CELIA</v>
          </cell>
          <cell r="C904" t="str">
            <v>66383</v>
          </cell>
        </row>
        <row r="905">
          <cell r="B905" t="str">
            <v>QUINCHiA</v>
          </cell>
          <cell r="C905" t="str">
            <v>66594</v>
          </cell>
        </row>
        <row r="906">
          <cell r="B906" t="str">
            <v>SANTUARIO</v>
          </cell>
          <cell r="C906" t="str">
            <v>66687</v>
          </cell>
        </row>
        <row r="907">
          <cell r="B907" t="str">
            <v>MISTRATÓ</v>
          </cell>
          <cell r="C907" t="str">
            <v>66456</v>
          </cell>
        </row>
        <row r="908">
          <cell r="B908" t="str">
            <v>PUEBLO RICO</v>
          </cell>
          <cell r="C908" t="str">
            <v>66572</v>
          </cell>
        </row>
        <row r="909">
          <cell r="B909" t="str">
            <v>CHIMA</v>
          </cell>
          <cell r="C909" t="str">
            <v>68176</v>
          </cell>
        </row>
        <row r="910">
          <cell r="B910" t="str">
            <v>CONFINES</v>
          </cell>
          <cell r="C910" t="str">
            <v>68209</v>
          </cell>
        </row>
        <row r="911">
          <cell r="B911" t="str">
            <v>CONTRATACIÓN</v>
          </cell>
          <cell r="C911" t="str">
            <v>68211</v>
          </cell>
        </row>
        <row r="912">
          <cell r="B912" t="str">
            <v>EL GUACAMAYO</v>
          </cell>
          <cell r="C912" t="str">
            <v>68245</v>
          </cell>
        </row>
        <row r="913">
          <cell r="B913" t="str">
            <v>GALÁN</v>
          </cell>
          <cell r="C913" t="str">
            <v>68296</v>
          </cell>
        </row>
        <row r="914">
          <cell r="B914" t="str">
            <v>GAMBITA</v>
          </cell>
          <cell r="C914" t="str">
            <v>68298</v>
          </cell>
        </row>
        <row r="915">
          <cell r="B915" t="str">
            <v>GUADALUPE</v>
          </cell>
          <cell r="C915" t="str">
            <v>68320</v>
          </cell>
        </row>
        <row r="916">
          <cell r="B916" t="str">
            <v>GUAPOTÁ</v>
          </cell>
          <cell r="C916" t="str">
            <v>68322</v>
          </cell>
        </row>
        <row r="917">
          <cell r="B917" t="str">
            <v>HATO</v>
          </cell>
          <cell r="C917" t="str">
            <v>68344</v>
          </cell>
        </row>
        <row r="918">
          <cell r="B918" t="str">
            <v>OIBA</v>
          </cell>
          <cell r="C918" t="str">
            <v>68500</v>
          </cell>
        </row>
        <row r="919">
          <cell r="B919" t="str">
            <v>PALMAR</v>
          </cell>
          <cell r="C919" t="str">
            <v>68522</v>
          </cell>
        </row>
        <row r="920">
          <cell r="B920" t="str">
            <v>PALMAS DEL SOCORRO</v>
          </cell>
          <cell r="C920" t="str">
            <v>68524</v>
          </cell>
        </row>
        <row r="921">
          <cell r="B921" t="str">
            <v>SANTA HELENA DEL OPÓN</v>
          </cell>
          <cell r="C921" t="str">
            <v>68720</v>
          </cell>
        </row>
        <row r="922">
          <cell r="B922" t="str">
            <v>SIMACOTA</v>
          </cell>
          <cell r="C922" t="str">
            <v>68745</v>
          </cell>
        </row>
        <row r="923">
          <cell r="B923" t="str">
            <v>SOCORRO</v>
          </cell>
          <cell r="C923" t="str">
            <v>68755</v>
          </cell>
        </row>
        <row r="924">
          <cell r="B924" t="str">
            <v>SUAITA</v>
          </cell>
          <cell r="C924" t="str">
            <v>68770</v>
          </cell>
        </row>
        <row r="925">
          <cell r="B925" t="str">
            <v>CAPITANEJO</v>
          </cell>
          <cell r="C925" t="str">
            <v>68147</v>
          </cell>
        </row>
        <row r="926">
          <cell r="B926" t="str">
            <v>CARCASÍ</v>
          </cell>
          <cell r="C926" t="str">
            <v>68152</v>
          </cell>
        </row>
        <row r="927">
          <cell r="B927" t="str">
            <v>CEPITÁ</v>
          </cell>
          <cell r="C927" t="str">
            <v>68160</v>
          </cell>
        </row>
        <row r="928">
          <cell r="B928" t="str">
            <v>CERRITO</v>
          </cell>
          <cell r="C928" t="str">
            <v>68162</v>
          </cell>
        </row>
        <row r="929">
          <cell r="B929" t="str">
            <v>CONCEPCIÓN</v>
          </cell>
          <cell r="C929" t="str">
            <v>68207</v>
          </cell>
        </row>
        <row r="930">
          <cell r="B930" t="str">
            <v>ENCISO</v>
          </cell>
          <cell r="C930" t="str">
            <v>68266</v>
          </cell>
        </row>
        <row r="931">
          <cell r="B931" t="str">
            <v>GUACA</v>
          </cell>
          <cell r="C931" t="str">
            <v>68318</v>
          </cell>
        </row>
        <row r="932">
          <cell r="B932" t="str">
            <v>MACARAVITA</v>
          </cell>
          <cell r="C932" t="str">
            <v>68425</v>
          </cell>
        </row>
        <row r="933">
          <cell r="B933" t="str">
            <v>MÁLAGA</v>
          </cell>
          <cell r="C933" t="str">
            <v>68432</v>
          </cell>
        </row>
        <row r="934">
          <cell r="B934" t="str">
            <v>MOLAGAVITA</v>
          </cell>
          <cell r="C934" t="str">
            <v>68468</v>
          </cell>
        </row>
        <row r="935">
          <cell r="B935" t="str">
            <v>SAN ANDRÉS</v>
          </cell>
          <cell r="C935" t="str">
            <v>68669</v>
          </cell>
        </row>
        <row r="936">
          <cell r="B936" t="str">
            <v>SAN JOSÉ DE MIRANDA</v>
          </cell>
          <cell r="C936" t="str">
            <v>68684</v>
          </cell>
        </row>
        <row r="937">
          <cell r="B937" t="str">
            <v>SAN MIGUEL</v>
          </cell>
          <cell r="C937" t="str">
            <v>68686</v>
          </cell>
        </row>
        <row r="938">
          <cell r="B938" t="str">
            <v>ARATOCA</v>
          </cell>
          <cell r="C938" t="str">
            <v>68051</v>
          </cell>
        </row>
        <row r="939">
          <cell r="B939" t="str">
            <v>BARICHARA</v>
          </cell>
          <cell r="C939" t="str">
            <v>68079</v>
          </cell>
        </row>
        <row r="940">
          <cell r="B940" t="str">
            <v>CABRERA</v>
          </cell>
          <cell r="C940" t="str">
            <v>68121</v>
          </cell>
        </row>
        <row r="941">
          <cell r="B941" t="str">
            <v>CHARALÁ</v>
          </cell>
          <cell r="C941" t="str">
            <v>68167</v>
          </cell>
        </row>
        <row r="942">
          <cell r="B942" t="str">
            <v>COROMORO</v>
          </cell>
          <cell r="C942" t="str">
            <v>68217</v>
          </cell>
        </row>
        <row r="943">
          <cell r="B943" t="str">
            <v>CURITÍ</v>
          </cell>
          <cell r="C943" t="str">
            <v>68229</v>
          </cell>
        </row>
        <row r="944">
          <cell r="B944" t="str">
            <v>ENCINO</v>
          </cell>
          <cell r="C944" t="str">
            <v>68264</v>
          </cell>
        </row>
        <row r="945">
          <cell r="B945" t="str">
            <v>JORDÁN</v>
          </cell>
          <cell r="C945" t="str">
            <v>68370</v>
          </cell>
        </row>
        <row r="946">
          <cell r="B946" t="str">
            <v>MOGOTES</v>
          </cell>
          <cell r="C946" t="str">
            <v>68464</v>
          </cell>
        </row>
        <row r="947">
          <cell r="B947" t="str">
            <v>OCAMONTE</v>
          </cell>
          <cell r="C947" t="str">
            <v>68498</v>
          </cell>
        </row>
        <row r="948">
          <cell r="B948" t="str">
            <v>ONZAGA</v>
          </cell>
          <cell r="C948" t="str">
            <v>68502</v>
          </cell>
        </row>
        <row r="949">
          <cell r="B949" t="str">
            <v>PÁRAMO</v>
          </cell>
          <cell r="C949" t="str">
            <v>68533</v>
          </cell>
        </row>
        <row r="950">
          <cell r="B950" t="str">
            <v>PINCHOTE</v>
          </cell>
          <cell r="C950" t="str">
            <v>68549</v>
          </cell>
        </row>
        <row r="951">
          <cell r="B951" t="str">
            <v>SAN GIL</v>
          </cell>
          <cell r="C951" t="str">
            <v>68679</v>
          </cell>
        </row>
        <row r="952">
          <cell r="B952" t="str">
            <v>SAN JOAQUÍN</v>
          </cell>
          <cell r="C952" t="str">
            <v>68682</v>
          </cell>
        </row>
        <row r="953">
          <cell r="B953" t="str">
            <v>VALLE DE SAN JOSÉ</v>
          </cell>
          <cell r="C953" t="str">
            <v>68855</v>
          </cell>
        </row>
        <row r="954">
          <cell r="B954" t="str">
            <v>VILLANUEVA</v>
          </cell>
          <cell r="C954" t="str">
            <v>68872</v>
          </cell>
        </row>
        <row r="955">
          <cell r="B955" t="str">
            <v>BARRANCABERMEJA</v>
          </cell>
          <cell r="C955" t="str">
            <v>68081</v>
          </cell>
        </row>
        <row r="956">
          <cell r="B956" t="str">
            <v>BETULIA</v>
          </cell>
          <cell r="C956" t="str">
            <v>68092</v>
          </cell>
        </row>
        <row r="957">
          <cell r="B957" t="str">
            <v>EL CARMEN DE CHUCURÍ</v>
          </cell>
          <cell r="C957" t="str">
            <v>68235</v>
          </cell>
        </row>
        <row r="958">
          <cell r="B958" t="str">
            <v>PUERTO WILCHES</v>
          </cell>
          <cell r="C958" t="str">
            <v>68575</v>
          </cell>
        </row>
        <row r="959">
          <cell r="B959" t="str">
            <v>SABANA DE TORRES</v>
          </cell>
          <cell r="C959" t="str">
            <v>68655</v>
          </cell>
        </row>
        <row r="960">
          <cell r="B960" t="str">
            <v>SAN VICENTE DE CHUCURÍ</v>
          </cell>
          <cell r="C960" t="str">
            <v>68689</v>
          </cell>
        </row>
        <row r="961">
          <cell r="B961" t="str">
            <v>ZAPATOCA</v>
          </cell>
          <cell r="C961" t="str">
            <v>68895</v>
          </cell>
        </row>
        <row r="962">
          <cell r="B962" t="str">
            <v>BUCARAMANGA</v>
          </cell>
          <cell r="C962" t="str">
            <v>68001</v>
          </cell>
        </row>
        <row r="963">
          <cell r="B963" t="str">
            <v>CALIFORNIA</v>
          </cell>
          <cell r="C963" t="str">
            <v>68132</v>
          </cell>
        </row>
        <row r="964">
          <cell r="B964" t="str">
            <v>CHARTA</v>
          </cell>
          <cell r="C964" t="str">
            <v>68169</v>
          </cell>
        </row>
        <row r="965">
          <cell r="B965" t="str">
            <v>EL PLAYÓN</v>
          </cell>
          <cell r="C965" t="str">
            <v>68255</v>
          </cell>
        </row>
        <row r="966">
          <cell r="B966" t="str">
            <v>FLORIDABLANCA</v>
          </cell>
          <cell r="C966" t="str">
            <v>68276</v>
          </cell>
        </row>
        <row r="967">
          <cell r="B967" t="str">
            <v>GIRÓN</v>
          </cell>
          <cell r="C967" t="str">
            <v>68307</v>
          </cell>
        </row>
        <row r="968">
          <cell r="B968" t="str">
            <v>LEBRÍJA</v>
          </cell>
          <cell r="C968" t="str">
            <v>68406</v>
          </cell>
        </row>
        <row r="969">
          <cell r="B969" t="str">
            <v>LOS SANTOS</v>
          </cell>
          <cell r="C969" t="str">
            <v>68418</v>
          </cell>
        </row>
        <row r="970">
          <cell r="B970" t="str">
            <v>MATANZA</v>
          </cell>
          <cell r="C970" t="str">
            <v>68444</v>
          </cell>
        </row>
        <row r="971">
          <cell r="B971" t="str">
            <v>PIEDECUESTA</v>
          </cell>
          <cell r="C971" t="str">
            <v>68547</v>
          </cell>
        </row>
        <row r="972">
          <cell r="B972" t="str">
            <v>RIONEGRO</v>
          </cell>
          <cell r="C972" t="str">
            <v>68615</v>
          </cell>
        </row>
        <row r="973">
          <cell r="B973" t="str">
            <v>SANTA BÁRBARA</v>
          </cell>
          <cell r="C973" t="str">
            <v>68705</v>
          </cell>
        </row>
        <row r="974">
          <cell r="B974" t="str">
            <v>SURATA</v>
          </cell>
          <cell r="C974" t="str">
            <v>68780</v>
          </cell>
        </row>
        <row r="975">
          <cell r="B975" t="str">
            <v>TONA</v>
          </cell>
          <cell r="C975" t="str">
            <v>68820</v>
          </cell>
        </row>
        <row r="976">
          <cell r="B976" t="str">
            <v>VETAS</v>
          </cell>
          <cell r="C976" t="str">
            <v>68867</v>
          </cell>
        </row>
        <row r="977">
          <cell r="B977" t="str">
            <v>AGUADA</v>
          </cell>
          <cell r="C977" t="str">
            <v>68013</v>
          </cell>
        </row>
        <row r="978">
          <cell r="B978" t="str">
            <v>ALBANIA</v>
          </cell>
          <cell r="C978" t="str">
            <v>68020</v>
          </cell>
        </row>
        <row r="979">
          <cell r="B979" t="str">
            <v>BARBOSA</v>
          </cell>
          <cell r="C979" t="str">
            <v>68077</v>
          </cell>
        </row>
        <row r="980">
          <cell r="B980" t="str">
            <v>BOLÍVAR</v>
          </cell>
          <cell r="C980" t="str">
            <v>68101</v>
          </cell>
        </row>
        <row r="981">
          <cell r="B981" t="str">
            <v>CHIPATÁ</v>
          </cell>
          <cell r="C981" t="str">
            <v>68179</v>
          </cell>
        </row>
        <row r="982">
          <cell r="B982" t="str">
            <v>CIMITARRA</v>
          </cell>
          <cell r="C982" t="str">
            <v>68190</v>
          </cell>
        </row>
        <row r="983">
          <cell r="B983" t="str">
            <v>EL PEÑÓN</v>
          </cell>
          <cell r="C983" t="str">
            <v>68250</v>
          </cell>
        </row>
        <row r="984">
          <cell r="B984" t="str">
            <v>FLORIÁN</v>
          </cell>
          <cell r="C984" t="str">
            <v>68271</v>
          </cell>
        </row>
        <row r="985">
          <cell r="B985" t="str">
            <v>GUAVATÁ</v>
          </cell>
          <cell r="C985" t="str">
            <v>68324</v>
          </cell>
        </row>
        <row r="986">
          <cell r="B986" t="str">
            <v>GuEPSA</v>
          </cell>
          <cell r="C986" t="str">
            <v>68327</v>
          </cell>
        </row>
        <row r="987">
          <cell r="B987" t="str">
            <v>JESÚS MARÍA</v>
          </cell>
          <cell r="C987" t="str">
            <v>68368</v>
          </cell>
        </row>
        <row r="988">
          <cell r="B988" t="str">
            <v>LA BELLEZA</v>
          </cell>
          <cell r="C988" t="str">
            <v>68377</v>
          </cell>
        </row>
        <row r="989">
          <cell r="B989" t="str">
            <v>LA PAZ</v>
          </cell>
          <cell r="C989" t="str">
            <v>68397</v>
          </cell>
        </row>
        <row r="990">
          <cell r="B990" t="str">
            <v>LANDÁZURI</v>
          </cell>
          <cell r="C990" t="str">
            <v>68385</v>
          </cell>
        </row>
        <row r="991">
          <cell r="B991" t="str">
            <v>PUENTE NACIONAL</v>
          </cell>
          <cell r="C991" t="str">
            <v>68572</v>
          </cell>
        </row>
        <row r="992">
          <cell r="B992" t="str">
            <v>PUERTO PARRA</v>
          </cell>
          <cell r="C992" t="str">
            <v>68573</v>
          </cell>
        </row>
        <row r="993">
          <cell r="B993" t="str">
            <v>SAN BENITO</v>
          </cell>
          <cell r="C993" t="str">
            <v>68673</v>
          </cell>
        </row>
        <row r="994">
          <cell r="B994" t="str">
            <v>SUCRE</v>
          </cell>
          <cell r="C994" t="str">
            <v>68773</v>
          </cell>
        </row>
        <row r="995">
          <cell r="B995" t="str">
            <v>VÉLEZ</v>
          </cell>
          <cell r="C995" t="str">
            <v>68861</v>
          </cell>
        </row>
        <row r="996">
          <cell r="B996" t="str">
            <v>GUARANDA</v>
          </cell>
          <cell r="C996" t="str">
            <v>70265</v>
          </cell>
        </row>
        <row r="997">
          <cell r="B997" t="str">
            <v>MAJAGUAL</v>
          </cell>
          <cell r="C997" t="str">
            <v>70429</v>
          </cell>
        </row>
        <row r="998">
          <cell r="B998" t="str">
            <v>SUCRE</v>
          </cell>
          <cell r="C998" t="str">
            <v>70771</v>
          </cell>
        </row>
        <row r="999">
          <cell r="B999" t="str">
            <v>CHALÁN</v>
          </cell>
          <cell r="C999" t="str">
            <v>70230</v>
          </cell>
        </row>
        <row r="1000">
          <cell r="B1000" t="str">
            <v>COLOSO</v>
          </cell>
          <cell r="C1000" t="str">
            <v>70204</v>
          </cell>
        </row>
        <row r="1001">
          <cell r="B1001" t="str">
            <v>MORROA</v>
          </cell>
          <cell r="C1001" t="str">
            <v>70473</v>
          </cell>
        </row>
        <row r="1002">
          <cell r="B1002" t="str">
            <v>OVEJAS</v>
          </cell>
          <cell r="C1002" t="str">
            <v>70508</v>
          </cell>
        </row>
        <row r="1003">
          <cell r="B1003" t="str">
            <v>SINCELEJO</v>
          </cell>
          <cell r="C1003" t="str">
            <v>70001</v>
          </cell>
        </row>
        <row r="1004">
          <cell r="B1004" t="str">
            <v>COVEÑAS</v>
          </cell>
          <cell r="C1004" t="str">
            <v>70221</v>
          </cell>
        </row>
        <row r="1005">
          <cell r="B1005" t="str">
            <v>PALMITO</v>
          </cell>
          <cell r="C1005" t="str">
            <v>70523</v>
          </cell>
        </row>
        <row r="1006">
          <cell r="B1006" t="str">
            <v>SAN ONOFRE</v>
          </cell>
          <cell r="C1006" t="str">
            <v>70713</v>
          </cell>
        </row>
        <row r="1007">
          <cell r="B1007" t="str">
            <v>SANTIAGO DE TOLÚ</v>
          </cell>
          <cell r="C1007" t="str">
            <v>70820</v>
          </cell>
        </row>
        <row r="1008">
          <cell r="B1008" t="str">
            <v>TOLÚ VIEJO</v>
          </cell>
          <cell r="C1008" t="str">
            <v>70823</v>
          </cell>
        </row>
        <row r="1009">
          <cell r="B1009" t="str">
            <v>BUENAVISTA</v>
          </cell>
          <cell r="C1009" t="str">
            <v>70110</v>
          </cell>
        </row>
        <row r="1010">
          <cell r="B1010" t="str">
            <v>COROZAL</v>
          </cell>
          <cell r="C1010" t="str">
            <v>70215</v>
          </cell>
        </row>
        <row r="1011">
          <cell r="B1011" t="str">
            <v>EL ROBLE</v>
          </cell>
          <cell r="C1011" t="str">
            <v>70233</v>
          </cell>
        </row>
        <row r="1012">
          <cell r="B1012" t="str">
            <v>GALERAS</v>
          </cell>
          <cell r="C1012" t="str">
            <v>70235</v>
          </cell>
        </row>
        <row r="1013">
          <cell r="B1013" t="str">
            <v>LOS PALMITOS</v>
          </cell>
          <cell r="C1013" t="str">
            <v>70418</v>
          </cell>
        </row>
        <row r="1014">
          <cell r="B1014" t="str">
            <v>SAMPUÉS</v>
          </cell>
          <cell r="C1014" t="str">
            <v>70670</v>
          </cell>
        </row>
        <row r="1015">
          <cell r="B1015" t="str">
            <v>SAN JUAN BETULIA</v>
          </cell>
          <cell r="C1015" t="str">
            <v>70702</v>
          </cell>
        </row>
        <row r="1016">
          <cell r="B1016" t="str">
            <v>SAN PEDRO</v>
          </cell>
          <cell r="C1016" t="str">
            <v>70717</v>
          </cell>
        </row>
        <row r="1017">
          <cell r="B1017" t="str">
            <v>SINCÉ</v>
          </cell>
          <cell r="C1017" t="str">
            <v>70742</v>
          </cell>
        </row>
        <row r="1018">
          <cell r="B1018" t="str">
            <v>CAIMITO</v>
          </cell>
          <cell r="C1018" t="str">
            <v>70124</v>
          </cell>
        </row>
        <row r="1019">
          <cell r="B1019" t="str">
            <v>LA UNIÓN</v>
          </cell>
          <cell r="C1019" t="str">
            <v>70400</v>
          </cell>
        </row>
        <row r="1020">
          <cell r="B1020" t="str">
            <v>SAN BENITO ABAD</v>
          </cell>
          <cell r="C1020" t="str">
            <v>70678</v>
          </cell>
        </row>
        <row r="1021">
          <cell r="B1021" t="str">
            <v>SAN MARCOS</v>
          </cell>
          <cell r="C1021" t="str">
            <v>70708</v>
          </cell>
        </row>
        <row r="1022">
          <cell r="B1022" t="str">
            <v>AMBALEMA</v>
          </cell>
          <cell r="C1022" t="str">
            <v>73030</v>
          </cell>
        </row>
        <row r="1023">
          <cell r="B1023" t="str">
            <v>ARMERO</v>
          </cell>
          <cell r="C1023" t="str">
            <v>73055</v>
          </cell>
        </row>
        <row r="1024">
          <cell r="B1024" t="str">
            <v>FALAN</v>
          </cell>
          <cell r="C1024" t="str">
            <v>73270</v>
          </cell>
        </row>
        <row r="1025">
          <cell r="B1025" t="str">
            <v>FRESNO</v>
          </cell>
          <cell r="C1025" t="str">
            <v>73283</v>
          </cell>
        </row>
        <row r="1026">
          <cell r="B1026" t="str">
            <v>HONDA</v>
          </cell>
          <cell r="C1026" t="str">
            <v>73349</v>
          </cell>
        </row>
        <row r="1027">
          <cell r="B1027" t="str">
            <v>MARIQUITA</v>
          </cell>
          <cell r="C1027" t="str">
            <v>73443</v>
          </cell>
        </row>
        <row r="1028">
          <cell r="B1028" t="str">
            <v>PALOCABILDO</v>
          </cell>
          <cell r="C1028" t="str">
            <v>73520</v>
          </cell>
        </row>
        <row r="1029">
          <cell r="B1029" t="str">
            <v>CARMEN DE APICALÁ</v>
          </cell>
          <cell r="C1029" t="str">
            <v>73148</v>
          </cell>
        </row>
        <row r="1030">
          <cell r="B1030" t="str">
            <v>CUNDAY</v>
          </cell>
          <cell r="C1030" t="str">
            <v>73226</v>
          </cell>
        </row>
        <row r="1031">
          <cell r="B1031" t="str">
            <v>ICONONZO</v>
          </cell>
          <cell r="C1031" t="str">
            <v>73352</v>
          </cell>
        </row>
        <row r="1032">
          <cell r="B1032" t="str">
            <v>MELGAR</v>
          </cell>
          <cell r="C1032" t="str">
            <v>73449</v>
          </cell>
        </row>
        <row r="1033">
          <cell r="B1033" t="str">
            <v>VILLARRICA</v>
          </cell>
          <cell r="C1033" t="str">
            <v>73873</v>
          </cell>
        </row>
        <row r="1034">
          <cell r="B1034" t="str">
            <v>ATACO</v>
          </cell>
          <cell r="C1034" t="str">
            <v>73067</v>
          </cell>
        </row>
        <row r="1035">
          <cell r="B1035" t="str">
            <v>CHAPARRAL</v>
          </cell>
          <cell r="C1035" t="str">
            <v>73168</v>
          </cell>
        </row>
        <row r="1036">
          <cell r="B1036" t="str">
            <v>COYAIMA</v>
          </cell>
          <cell r="C1036" t="str">
            <v>73217</v>
          </cell>
        </row>
        <row r="1037">
          <cell r="B1037" t="str">
            <v>NATAGAIMA</v>
          </cell>
          <cell r="C1037" t="str">
            <v>73483</v>
          </cell>
        </row>
        <row r="1038">
          <cell r="B1038" t="str">
            <v>ORTEGA</v>
          </cell>
          <cell r="C1038" t="str">
            <v>73504</v>
          </cell>
        </row>
        <row r="1039">
          <cell r="B1039" t="str">
            <v>PLANADAS</v>
          </cell>
          <cell r="C1039" t="str">
            <v>73555</v>
          </cell>
        </row>
        <row r="1040">
          <cell r="B1040" t="str">
            <v>RIOBLANCO</v>
          </cell>
          <cell r="C1040" t="str">
            <v>73616</v>
          </cell>
        </row>
        <row r="1041">
          <cell r="B1041" t="str">
            <v>RONCESVALLES</v>
          </cell>
          <cell r="C1041" t="str">
            <v>73622</v>
          </cell>
        </row>
        <row r="1042">
          <cell r="B1042" t="str">
            <v>SAN ANTONIO</v>
          </cell>
          <cell r="C1042" t="str">
            <v>73675</v>
          </cell>
        </row>
        <row r="1043">
          <cell r="B1043" t="str">
            <v>ALVARADO</v>
          </cell>
          <cell r="C1043" t="str">
            <v>73026</v>
          </cell>
        </row>
        <row r="1044">
          <cell r="B1044" t="str">
            <v>ANZOÁTEGUI</v>
          </cell>
          <cell r="C1044" t="str">
            <v>73043</v>
          </cell>
        </row>
        <row r="1045">
          <cell r="B1045" t="str">
            <v>CAJAMARCA</v>
          </cell>
          <cell r="C1045" t="str">
            <v>73124</v>
          </cell>
        </row>
        <row r="1046">
          <cell r="B1046" t="str">
            <v>COELLO</v>
          </cell>
          <cell r="C1046" t="str">
            <v>73200</v>
          </cell>
        </row>
        <row r="1047">
          <cell r="B1047" t="str">
            <v>ESPINAL</v>
          </cell>
          <cell r="C1047" t="str">
            <v>73268</v>
          </cell>
        </row>
        <row r="1048">
          <cell r="B1048" t="str">
            <v>FLANDES</v>
          </cell>
          <cell r="C1048" t="str">
            <v>73275</v>
          </cell>
        </row>
        <row r="1049">
          <cell r="B1049" t="str">
            <v>IBAGUe</v>
          </cell>
          <cell r="C1049" t="str">
            <v>73001</v>
          </cell>
        </row>
        <row r="1050">
          <cell r="B1050" t="str">
            <v>PIEDRAS</v>
          </cell>
          <cell r="C1050" t="str">
            <v>73547</v>
          </cell>
        </row>
        <row r="1051">
          <cell r="B1051" t="str">
            <v>ROVIRA</v>
          </cell>
          <cell r="C1051" t="str">
            <v>73624</v>
          </cell>
        </row>
        <row r="1052">
          <cell r="B1052" t="str">
            <v>SAN LUIS</v>
          </cell>
          <cell r="C1052" t="str">
            <v>73678</v>
          </cell>
        </row>
        <row r="1053">
          <cell r="B1053" t="str">
            <v>VALLE DE SAN JUAN</v>
          </cell>
          <cell r="C1053" t="str">
            <v>73854</v>
          </cell>
        </row>
        <row r="1054">
          <cell r="B1054" t="str">
            <v>ALPUJARRA</v>
          </cell>
          <cell r="C1054" t="str">
            <v>73024</v>
          </cell>
        </row>
        <row r="1055">
          <cell r="B1055" t="str">
            <v>DOLORES</v>
          </cell>
          <cell r="C1055" t="str">
            <v>73236</v>
          </cell>
        </row>
        <row r="1056">
          <cell r="B1056" t="str">
            <v>GUAMO</v>
          </cell>
          <cell r="C1056" t="str">
            <v>73319</v>
          </cell>
        </row>
        <row r="1057">
          <cell r="B1057" t="str">
            <v>PRADO</v>
          </cell>
          <cell r="C1057" t="str">
            <v>73563</v>
          </cell>
        </row>
        <row r="1058">
          <cell r="B1058" t="str">
            <v>PURIFICACIÓN</v>
          </cell>
          <cell r="C1058" t="str">
            <v>73585</v>
          </cell>
        </row>
        <row r="1059">
          <cell r="B1059" t="str">
            <v>SALDAÑA</v>
          </cell>
          <cell r="C1059" t="str">
            <v>73671</v>
          </cell>
        </row>
        <row r="1060">
          <cell r="B1060" t="str">
            <v>SUÁREZ</v>
          </cell>
          <cell r="C1060" t="str">
            <v>73770</v>
          </cell>
        </row>
        <row r="1061">
          <cell r="B1061" t="str">
            <v>CASABIANCA</v>
          </cell>
          <cell r="C1061" t="str">
            <v>73152</v>
          </cell>
        </row>
        <row r="1062">
          <cell r="B1062" t="str">
            <v>HERVEO</v>
          </cell>
          <cell r="C1062" t="str">
            <v>73347</v>
          </cell>
        </row>
        <row r="1063">
          <cell r="B1063" t="str">
            <v>LeRIDA</v>
          </cell>
          <cell r="C1063" t="str">
            <v>73408</v>
          </cell>
        </row>
        <row r="1064">
          <cell r="B1064" t="str">
            <v>LiBANO</v>
          </cell>
          <cell r="C1064" t="str">
            <v>73411</v>
          </cell>
        </row>
        <row r="1065">
          <cell r="B1065" t="str">
            <v>MURILLO</v>
          </cell>
          <cell r="C1065" t="str">
            <v>73461</v>
          </cell>
        </row>
        <row r="1066">
          <cell r="B1066" t="str">
            <v>SANTA ISABEL</v>
          </cell>
          <cell r="C1066" t="str">
            <v>73686</v>
          </cell>
        </row>
        <row r="1067">
          <cell r="B1067" t="str">
            <v>VENADILLO</v>
          </cell>
          <cell r="C1067" t="str">
            <v>73861</v>
          </cell>
        </row>
        <row r="1068">
          <cell r="B1068" t="str">
            <v>VILLAHERMOSA</v>
          </cell>
          <cell r="C1068" t="str">
            <v>73870</v>
          </cell>
        </row>
        <row r="1069">
          <cell r="B1069" t="str">
            <v>ANDALUCÍA</v>
          </cell>
          <cell r="C1069" t="str">
            <v>76036</v>
          </cell>
        </row>
        <row r="1070">
          <cell r="B1070" t="str">
            <v>BUGA</v>
          </cell>
          <cell r="C1070" t="str">
            <v>76111</v>
          </cell>
        </row>
        <row r="1071">
          <cell r="B1071" t="str">
            <v>BUGALAGRANDE</v>
          </cell>
          <cell r="C1071" t="str">
            <v>76113</v>
          </cell>
        </row>
        <row r="1072">
          <cell r="B1072" t="str">
            <v>CALIMA</v>
          </cell>
          <cell r="C1072" t="str">
            <v>76126</v>
          </cell>
        </row>
        <row r="1073">
          <cell r="B1073" t="str">
            <v>EL CERRITO</v>
          </cell>
          <cell r="C1073" t="str">
            <v>76248</v>
          </cell>
        </row>
        <row r="1074">
          <cell r="B1074" t="str">
            <v>GINEBRA</v>
          </cell>
          <cell r="C1074" t="str">
            <v>76306</v>
          </cell>
        </row>
        <row r="1075">
          <cell r="B1075" t="str">
            <v>GUACARÍ</v>
          </cell>
          <cell r="C1075" t="str">
            <v>76318</v>
          </cell>
        </row>
        <row r="1076">
          <cell r="B1076" t="str">
            <v>RESTREPO</v>
          </cell>
          <cell r="C1076" t="str">
            <v>76606</v>
          </cell>
        </row>
        <row r="1077">
          <cell r="B1077" t="str">
            <v>RIOFRIO</v>
          </cell>
          <cell r="C1077" t="str">
            <v>76616</v>
          </cell>
        </row>
        <row r="1078">
          <cell r="B1078" t="str">
            <v>SAN PEDRO</v>
          </cell>
          <cell r="C1078" t="str">
            <v>76670</v>
          </cell>
        </row>
        <row r="1079">
          <cell r="B1079" t="str">
            <v>TRUJILLO</v>
          </cell>
          <cell r="C1079" t="str">
            <v>76828</v>
          </cell>
        </row>
        <row r="1080">
          <cell r="B1080" t="str">
            <v>TULUÁ</v>
          </cell>
          <cell r="C1080" t="str">
            <v>76834</v>
          </cell>
        </row>
        <row r="1081">
          <cell r="B1081" t="str">
            <v>YOTOCO</v>
          </cell>
          <cell r="C1081" t="str">
            <v>76890</v>
          </cell>
        </row>
        <row r="1082">
          <cell r="B1082" t="str">
            <v>ALCALa</v>
          </cell>
          <cell r="C1082" t="str">
            <v>76020</v>
          </cell>
        </row>
        <row r="1083">
          <cell r="B1083" t="str">
            <v>ANSERMANUEVO</v>
          </cell>
          <cell r="C1083" t="str">
            <v>76041</v>
          </cell>
        </row>
        <row r="1084">
          <cell r="B1084" t="str">
            <v>ARGELIA</v>
          </cell>
          <cell r="C1084" t="str">
            <v>76054</v>
          </cell>
        </row>
        <row r="1085">
          <cell r="B1085" t="str">
            <v>BOLÍVAR</v>
          </cell>
          <cell r="C1085" t="str">
            <v>76100</v>
          </cell>
        </row>
        <row r="1086">
          <cell r="B1086" t="str">
            <v>CARTAGO</v>
          </cell>
          <cell r="C1086" t="str">
            <v>76147</v>
          </cell>
        </row>
        <row r="1087">
          <cell r="B1087" t="str">
            <v>EL ÁGUILA</v>
          </cell>
          <cell r="C1087" t="str">
            <v>76243</v>
          </cell>
        </row>
        <row r="1088">
          <cell r="B1088" t="str">
            <v>EL CAIRO</v>
          </cell>
          <cell r="C1088" t="str">
            <v>76246</v>
          </cell>
        </row>
        <row r="1089">
          <cell r="B1089" t="str">
            <v>EL DOVIO</v>
          </cell>
          <cell r="C1089" t="str">
            <v>76250</v>
          </cell>
        </row>
        <row r="1090">
          <cell r="B1090" t="str">
            <v>LA UNIÓN</v>
          </cell>
          <cell r="C1090" t="str">
            <v>76400</v>
          </cell>
        </row>
        <row r="1091">
          <cell r="B1091" t="str">
            <v>LA VICTORIA</v>
          </cell>
          <cell r="C1091" t="str">
            <v>76403</v>
          </cell>
        </row>
        <row r="1092">
          <cell r="B1092" t="str">
            <v>OBANDO</v>
          </cell>
          <cell r="C1092" t="str">
            <v>76497</v>
          </cell>
        </row>
        <row r="1093">
          <cell r="B1093" t="str">
            <v>ROLDANILLO</v>
          </cell>
          <cell r="C1093" t="str">
            <v>76622</v>
          </cell>
        </row>
        <row r="1094">
          <cell r="B1094" t="str">
            <v>TORO</v>
          </cell>
          <cell r="C1094" t="str">
            <v>76823</v>
          </cell>
        </row>
        <row r="1095">
          <cell r="B1095" t="str">
            <v>ULLOA</v>
          </cell>
          <cell r="C1095" t="str">
            <v>76845</v>
          </cell>
        </row>
        <row r="1096">
          <cell r="B1096" t="str">
            <v>VERSALLES</v>
          </cell>
          <cell r="C1096" t="str">
            <v>76863</v>
          </cell>
        </row>
        <row r="1097">
          <cell r="B1097" t="str">
            <v>ZARZAL</v>
          </cell>
          <cell r="C1097" t="str">
            <v>76895</v>
          </cell>
        </row>
        <row r="1098">
          <cell r="B1098" t="str">
            <v>BUENAVENTURA</v>
          </cell>
          <cell r="C1098" t="str">
            <v>76109</v>
          </cell>
        </row>
        <row r="1099">
          <cell r="B1099" t="str">
            <v>CAICEDONIA</v>
          </cell>
          <cell r="C1099" t="str">
            <v>76122</v>
          </cell>
        </row>
        <row r="1100">
          <cell r="B1100" t="str">
            <v>SEVILLA</v>
          </cell>
          <cell r="C1100" t="str">
            <v>76736</v>
          </cell>
        </row>
        <row r="1101">
          <cell r="B1101" t="str">
            <v>CALI</v>
          </cell>
          <cell r="C1101" t="str">
            <v>76001</v>
          </cell>
        </row>
        <row r="1102">
          <cell r="B1102" t="str">
            <v>CANDELARIA</v>
          </cell>
          <cell r="C1102" t="str">
            <v>76130</v>
          </cell>
        </row>
        <row r="1103">
          <cell r="B1103" t="str">
            <v>DAGUA</v>
          </cell>
          <cell r="C1103" t="str">
            <v>76233</v>
          </cell>
        </row>
        <row r="1104">
          <cell r="B1104" t="str">
            <v>FLORIDA</v>
          </cell>
          <cell r="C1104" t="str">
            <v>76275</v>
          </cell>
        </row>
        <row r="1105">
          <cell r="B1105" t="str">
            <v>JAMUNDÍ</v>
          </cell>
          <cell r="C1105" t="str">
            <v>76364</v>
          </cell>
        </row>
        <row r="1106">
          <cell r="B1106" t="str">
            <v>LA CUMBRE</v>
          </cell>
          <cell r="C1106" t="str">
            <v>76377</v>
          </cell>
        </row>
        <row r="1107">
          <cell r="B1107" t="str">
            <v>PALMIRA</v>
          </cell>
          <cell r="C1107" t="str">
            <v>76520</v>
          </cell>
        </row>
        <row r="1108">
          <cell r="B1108" t="str">
            <v>PRADERA</v>
          </cell>
          <cell r="C1108" t="str">
            <v>76563</v>
          </cell>
        </row>
        <row r="1109">
          <cell r="B1109" t="str">
            <v>VIJES</v>
          </cell>
          <cell r="C1109" t="str">
            <v>76869</v>
          </cell>
        </row>
        <row r="1110">
          <cell r="B1110" t="str">
            <v>YUMBO</v>
          </cell>
          <cell r="C1110" t="str">
            <v>76892</v>
          </cell>
        </row>
        <row r="1111">
          <cell r="B1111" t="str">
            <v>CARURU</v>
          </cell>
          <cell r="C1111" t="str">
            <v>97161</v>
          </cell>
        </row>
        <row r="1112">
          <cell r="B1112" t="str">
            <v>MITÚ</v>
          </cell>
          <cell r="C1112" t="str">
            <v>97001</v>
          </cell>
        </row>
        <row r="1113">
          <cell r="B1113" t="str">
            <v>PACOA</v>
          </cell>
          <cell r="C1113" t="str">
            <v>97511</v>
          </cell>
        </row>
        <row r="1114">
          <cell r="B1114" t="str">
            <v>PAPUNAHUA</v>
          </cell>
          <cell r="C1114" t="str">
            <v>97777</v>
          </cell>
        </row>
        <row r="1115">
          <cell r="B1115" t="str">
            <v>TARAIRA</v>
          </cell>
          <cell r="C1115" t="str">
            <v>97666</v>
          </cell>
        </row>
        <row r="1116">
          <cell r="B1116" t="str">
            <v>YAVARATÉ</v>
          </cell>
          <cell r="C1116" t="str">
            <v>97889</v>
          </cell>
        </row>
        <row r="1117">
          <cell r="B1117" t="str">
            <v>CUMARIBO</v>
          </cell>
          <cell r="C1117" t="str">
            <v>99773</v>
          </cell>
        </row>
        <row r="1118">
          <cell r="B1118" t="str">
            <v>LA PRIMAVERA</v>
          </cell>
          <cell r="C1118" t="str">
            <v>99524</v>
          </cell>
        </row>
        <row r="1119">
          <cell r="B1119" t="str">
            <v>PUERTO CARREÑO</v>
          </cell>
          <cell r="C1119" t="str">
            <v>99001</v>
          </cell>
        </row>
        <row r="1120">
          <cell r="B1120" t="str">
            <v>SANTA ROSALÍA</v>
          </cell>
          <cell r="C1120" t="str">
            <v>99624</v>
          </cell>
        </row>
      </sheetData>
      <sheetData sheetId="2"/>
      <sheetData sheetId="3"/>
      <sheetData sheetId="4">
        <row r="1">
          <cell r="A1" t="str">
            <v>Columna1</v>
          </cell>
          <cell r="B1" t="str">
            <v>Columna2</v>
          </cell>
          <cell r="C1" t="str">
            <v>Columna3</v>
          </cell>
          <cell r="D1" t="str">
            <v>Columna4</v>
          </cell>
          <cell r="E1" t="str">
            <v>Columna5</v>
          </cell>
          <cell r="F1" t="str">
            <v>Columna8</v>
          </cell>
        </row>
        <row r="2">
          <cell r="A2" t="str">
            <v>Identificacion</v>
          </cell>
          <cell r="B2" t="str">
            <v>TERCERO</v>
          </cell>
          <cell r="C2" t="str">
            <v>Ciudad</v>
          </cell>
          <cell r="D2" t="str">
            <v>Dirección</v>
          </cell>
          <cell r="E2" t="str">
            <v>Teléfonos</v>
          </cell>
          <cell r="F2" t="str">
            <v>EMail</v>
          </cell>
        </row>
        <row r="3">
          <cell r="A3">
            <v>800197268</v>
          </cell>
          <cell r="B3" t="str">
            <v>DIRECCION DE IMPUESTOS Y ADUANAS NACIONALES</v>
          </cell>
          <cell r="C3" t="str">
            <v>Bogota D.C.</v>
          </cell>
          <cell r="D3" t="str">
            <v>CR 7 6C 54</v>
          </cell>
          <cell r="F3" t="str">
            <v>aura.suarez@terpel.com</v>
          </cell>
        </row>
        <row r="4">
          <cell r="A4">
            <v>830003564</v>
          </cell>
          <cell r="B4" t="str">
            <v>FAMISANAR EPS CAFAM - COLSUBSIDIO</v>
          </cell>
          <cell r="C4" t="str">
            <v>Bogota D.C.</v>
          </cell>
          <cell r="D4" t="str">
            <v>CRA 13 A 77 A 63</v>
          </cell>
        </row>
        <row r="5">
          <cell r="A5">
            <v>800251440</v>
          </cell>
          <cell r="B5" t="str">
            <v>ENTIDAD PROMOTORA DE SALUD SANITAS S A S</v>
          </cell>
          <cell r="C5" t="str">
            <v>Bogota D.C.</v>
          </cell>
          <cell r="D5" t="str">
            <v>CL 42 SUR 78k 30</v>
          </cell>
        </row>
        <row r="6">
          <cell r="A6">
            <v>800144331</v>
          </cell>
          <cell r="B6" t="str">
            <v>PORVENIR S.A. AFPC</v>
          </cell>
          <cell r="C6" t="str">
            <v>Bogota D.C.</v>
          </cell>
          <cell r="D6" t="str">
            <v>CRA 13 26 A 65</v>
          </cell>
        </row>
        <row r="7">
          <cell r="A7">
            <v>891800213</v>
          </cell>
          <cell r="B7" t="str">
            <v>CAJA DE COMPENSACION FAMILIAR DE BOYACA COMFABOY</v>
          </cell>
          <cell r="C7" t="str">
            <v>Tunja</v>
          </cell>
          <cell r="D7" t="str">
            <v>Cra. 10 #16-81,</v>
          </cell>
          <cell r="E7" t="str">
            <v>7407948</v>
          </cell>
          <cell r="F7" t="str">
            <v>recepcionfacturas@comfaboy.com.co</v>
          </cell>
        </row>
        <row r="8">
          <cell r="A8">
            <v>900156264</v>
          </cell>
          <cell r="B8" t="str">
            <v>NUEVA EMPRESA PROMOTORA DE SALUD S.A.</v>
          </cell>
          <cell r="C8" t="str">
            <v>Bogota D.C.</v>
          </cell>
          <cell r="D8" t="str">
            <v>CRA 85 K 46 A 66 P 2 Y 3</v>
          </cell>
        </row>
        <row r="9">
          <cell r="A9">
            <v>46680929</v>
          </cell>
          <cell r="B9" t="str">
            <v>TECNIEXTINTORES FIREMAN</v>
          </cell>
          <cell r="C9" t="str">
            <v>Paipa</v>
          </cell>
          <cell r="D9" t="str">
            <v>AVENIDA LIBERTADORES No 21-16</v>
          </cell>
          <cell r="E9">
            <v>3125138746</v>
          </cell>
        </row>
        <row r="10">
          <cell r="A10">
            <v>901212992</v>
          </cell>
          <cell r="B10" t="str">
            <v>IMEDOIL S.A.S</v>
          </cell>
          <cell r="C10" t="str">
            <v>Duitama</v>
          </cell>
          <cell r="D10" t="str">
            <v>CRA 39 10 32 BRR SEVILLA</v>
          </cell>
          <cell r="F10" t="str">
            <v>imedoilcomercial@gmail.com</v>
          </cell>
        </row>
        <row r="11">
          <cell r="A11">
            <v>826001605</v>
          </cell>
          <cell r="B11" t="str">
            <v>CUERPO DE BOMBEROS VOLUNTARIOS DE PAIPA DE BOMBEROS VOLUNTARIOS DE PAIPA</v>
          </cell>
          <cell r="C11" t="str">
            <v>Paipa</v>
          </cell>
          <cell r="D11" t="str">
            <v>PLAZA DE MERCADO LOCAL 2</v>
          </cell>
          <cell r="E11" t="str">
            <v>7852775</v>
          </cell>
          <cell r="F11" t="str">
            <v>paipabomberosvoluntarios@gmail.com</v>
          </cell>
        </row>
        <row r="12">
          <cell r="A12">
            <v>830131993</v>
          </cell>
          <cell r="B12" t="str">
            <v>EFECTIVO LTDA</v>
          </cell>
          <cell r="C12" t="str">
            <v>Bogota D.C.</v>
          </cell>
          <cell r="D12" t="str">
            <v>CALLE 96 No 12-55</v>
          </cell>
        </row>
        <row r="13">
          <cell r="A13">
            <v>74360892</v>
          </cell>
          <cell r="B13" t="str">
            <v>CORONADO ORLANDO</v>
          </cell>
          <cell r="C13" t="str">
            <v>Paipa</v>
          </cell>
          <cell r="D13" t="str">
            <v>VEREDA SOTAQUIRA</v>
          </cell>
          <cell r="E13" t="str">
            <v>7852014</v>
          </cell>
        </row>
        <row r="14">
          <cell r="A14">
            <v>74359629</v>
          </cell>
          <cell r="B14" t="str">
            <v>HERRERA RIVERA HELMER</v>
          </cell>
          <cell r="C14" t="str">
            <v>Paipa</v>
          </cell>
          <cell r="D14" t="str">
            <v>CENTRO</v>
          </cell>
          <cell r="E14" t="str">
            <v>7850131</v>
          </cell>
        </row>
        <row r="15">
          <cell r="A15">
            <v>891801240</v>
          </cell>
          <cell r="B15" t="str">
            <v>ALCALDIA MUNICIPAL PAIPA BOYACA</v>
          </cell>
          <cell r="C15" t="str">
            <v>Paipa</v>
          </cell>
          <cell r="D15" t="str">
            <v>CARRERA 22 No25-14</v>
          </cell>
          <cell r="E15" t="str">
            <v>7850131</v>
          </cell>
          <cell r="F15" t="str">
            <v>contabilidad@paipa-boyaca.gov.co</v>
          </cell>
        </row>
        <row r="16">
          <cell r="A16">
            <v>74859689</v>
          </cell>
          <cell r="B16" t="str">
            <v>HURTADO MARCOS ISASIAS</v>
          </cell>
          <cell r="C16" t="str">
            <v>Paipa</v>
          </cell>
          <cell r="D16" t="str">
            <v>GAITAN</v>
          </cell>
          <cell r="E16" t="str">
            <v>7850123</v>
          </cell>
        </row>
        <row r="17">
          <cell r="A17">
            <v>899999239</v>
          </cell>
          <cell r="B17" t="str">
            <v>INSTITUTO COLOMBIANO DE BIENESTAR FAMILIAR ICBF</v>
          </cell>
          <cell r="C17" t="str">
            <v>Bogota D.C.</v>
          </cell>
          <cell r="D17" t="str">
            <v>Carrera 68 # 64 C - 75</v>
          </cell>
          <cell r="E17" t="str">
            <v>4377630</v>
          </cell>
        </row>
        <row r="18">
          <cell r="A18">
            <v>899999034</v>
          </cell>
          <cell r="B18" t="str">
            <v>SERVICIO NACIONAL DE APRENDIZAJE SENA</v>
          </cell>
          <cell r="C18" t="str">
            <v>Bogota D.C.</v>
          </cell>
          <cell r="D18" t="str">
            <v>Calle 57 No. 8 - 69</v>
          </cell>
          <cell r="E18" t="str">
            <v>5461500</v>
          </cell>
        </row>
        <row r="19">
          <cell r="A19">
            <v>830055049</v>
          </cell>
          <cell r="B19" t="str">
            <v>BVQI COLOMBIA LTDA</v>
          </cell>
          <cell r="C19" t="str">
            <v>Bogota D.C.</v>
          </cell>
          <cell r="D19" t="str">
            <v>CALLE 72 No7-64 PISO 4</v>
          </cell>
          <cell r="E19" t="str">
            <v>3129191</v>
          </cell>
        </row>
        <row r="20">
          <cell r="A20">
            <v>900214321</v>
          </cell>
          <cell r="B20" t="str">
            <v>INGENIERIA DE TELECOMUNICACIONES IDT SAS</v>
          </cell>
          <cell r="C20" t="str">
            <v>Medellín</v>
          </cell>
          <cell r="D20" t="str">
            <v>MEDELLIN</v>
          </cell>
          <cell r="F20" t="str">
            <v>turistica@outlook.com</v>
          </cell>
        </row>
        <row r="21">
          <cell r="A21">
            <v>860512330</v>
          </cell>
          <cell r="B21" t="str">
            <v>SERVIENTREGA S.A.</v>
          </cell>
          <cell r="C21" t="str">
            <v>Bogota D.C.</v>
          </cell>
          <cell r="D21" t="str">
            <v>AV CALLE 6 34 A 11</v>
          </cell>
          <cell r="E21" t="str">
            <v>6045516</v>
          </cell>
          <cell r="F21" t="str">
            <v>factura.retail@servientrega.com</v>
          </cell>
        </row>
        <row r="22">
          <cell r="A22">
            <v>901344894</v>
          </cell>
          <cell r="B22" t="str">
            <v>CONSORCIO AIRPOR MG</v>
          </cell>
          <cell r="C22" t="str">
            <v>Bogota D.C.</v>
          </cell>
          <cell r="D22" t="str">
            <v>bogota</v>
          </cell>
          <cell r="E22">
            <v>3157770667</v>
          </cell>
          <cell r="F22" t="str">
            <v>consorcio@airportmgpaipa.com</v>
          </cell>
        </row>
        <row r="23">
          <cell r="A23">
            <v>901097473</v>
          </cell>
          <cell r="B23" t="str">
            <v>EPS MEDIMAS</v>
          </cell>
          <cell r="C23" t="str">
            <v>Tunja</v>
          </cell>
          <cell r="D23" t="str">
            <v>CARRERA 6 No34-36</v>
          </cell>
          <cell r="E23" t="str">
            <v>7430347</v>
          </cell>
        </row>
        <row r="24">
          <cell r="A24">
            <v>800224808</v>
          </cell>
          <cell r="B24" t="str">
            <v>FONDO DE PENSIONES OBLIGATORIAS PORVENIR MODERADO</v>
          </cell>
          <cell r="C24" t="str">
            <v>Bogota D.C.</v>
          </cell>
          <cell r="D24" t="str">
            <v>CRA 15 N 106 38</v>
          </cell>
        </row>
        <row r="25">
          <cell r="A25">
            <v>7211487</v>
          </cell>
          <cell r="B25" t="str">
            <v>OCHOA CAMARGO ARQUIMEDES</v>
          </cell>
          <cell r="C25" t="str">
            <v>Paipa</v>
          </cell>
          <cell r="D25" t="str">
            <v>CLL 25 19 03</v>
          </cell>
          <cell r="E25" t="str">
            <v>7850912</v>
          </cell>
        </row>
        <row r="26">
          <cell r="A26">
            <v>4191027</v>
          </cell>
          <cell r="B26" t="str">
            <v>BARAJAS RODRIGUEZ CARLOS JULIO</v>
          </cell>
          <cell r="C26" t="str">
            <v>Paipa</v>
          </cell>
          <cell r="D26" t="str">
            <v>LLANO GRANDE</v>
          </cell>
          <cell r="E26">
            <v>3124589748</v>
          </cell>
          <cell r="F26" t="str">
            <v>barajascarlosjulio@gmail.com</v>
          </cell>
        </row>
        <row r="27">
          <cell r="A27">
            <v>7210409</v>
          </cell>
          <cell r="B27" t="str">
            <v>VASQUEZ MARDOQUEO</v>
          </cell>
          <cell r="C27" t="str">
            <v>Paipa</v>
          </cell>
          <cell r="D27" t="str">
            <v>EL BOSQUE</v>
          </cell>
        </row>
        <row r="28">
          <cell r="A28">
            <v>900387475</v>
          </cell>
          <cell r="B28" t="str">
            <v>LUBRICANTES EL SOL SAS</v>
          </cell>
          <cell r="C28" t="str">
            <v>Duitama</v>
          </cell>
          <cell r="D28" t="str">
            <v>AVENIDA AMERICAS 27A 32</v>
          </cell>
          <cell r="E28">
            <v>3163951652</v>
          </cell>
          <cell r="F28" t="str">
            <v>servicioalcliente@lubesolsas.com</v>
          </cell>
        </row>
        <row r="29">
          <cell r="A29">
            <v>900178704</v>
          </cell>
          <cell r="B29" t="str">
            <v>TECNOLUBRICANTES BOYACA LTDA</v>
          </cell>
          <cell r="C29" t="str">
            <v>Duitama</v>
          </cell>
          <cell r="D29" t="str">
            <v>CARRERA 42 No 13-24</v>
          </cell>
          <cell r="E29" t="str">
            <v>7600940</v>
          </cell>
        </row>
        <row r="30">
          <cell r="A30">
            <v>46680612</v>
          </cell>
          <cell r="B30" t="str">
            <v>CAMARGO CUERVO EDY CRISTINA</v>
          </cell>
          <cell r="C30" t="str">
            <v>Paipa</v>
          </cell>
          <cell r="D30" t="str">
            <v>CALLE 23 NO 25-00</v>
          </cell>
          <cell r="E30" t="str">
            <v>7851113</v>
          </cell>
          <cell r="F30" t="str">
            <v>ferecca@hotmail.com</v>
          </cell>
        </row>
        <row r="31">
          <cell r="A31">
            <v>900972010</v>
          </cell>
          <cell r="B31" t="str">
            <v>FP MOTORS S.A.S.</v>
          </cell>
          <cell r="C31" t="str">
            <v>Bogota D.C.</v>
          </cell>
          <cell r="D31" t="str">
            <v>CRA  41 B No. 3A-10</v>
          </cell>
          <cell r="E31" t="str">
            <v>3502359193</v>
          </cell>
          <cell r="F31" t="str">
            <v>fpmotorsas2018@gmail.com</v>
          </cell>
        </row>
        <row r="32">
          <cell r="A32">
            <v>743594580</v>
          </cell>
          <cell r="B32" t="str">
            <v>SOLUCIONES Y SISTEMAS</v>
          </cell>
          <cell r="C32" t="str">
            <v>Paipa</v>
          </cell>
          <cell r="D32" t="str">
            <v>CRA 1047 No. 27-47</v>
          </cell>
        </row>
        <row r="33">
          <cell r="A33">
            <v>800186960</v>
          </cell>
          <cell r="B33" t="str">
            <v>ALTIPAL S.A.S</v>
          </cell>
          <cell r="C33" t="str">
            <v>Bogota D.C.</v>
          </cell>
          <cell r="D33" t="str">
            <v>CARRERA 69B No 19A-47</v>
          </cell>
          <cell r="E33" t="str">
            <v>2948383</v>
          </cell>
        </row>
        <row r="34">
          <cell r="A34">
            <v>890903024</v>
          </cell>
          <cell r="B34" t="str">
            <v>NAVITRANS</v>
          </cell>
          <cell r="C34" t="str">
            <v>Medellín</v>
          </cell>
          <cell r="D34" t="str">
            <v>CALLE 11 SUR50-50</v>
          </cell>
          <cell r="E34" t="str">
            <v>3606161</v>
          </cell>
        </row>
        <row r="35">
          <cell r="A35">
            <v>7219574</v>
          </cell>
          <cell r="B35" t="str">
            <v>LUIS JAIRO VELANDIA</v>
          </cell>
          <cell r="C35" t="str">
            <v>Duitama</v>
          </cell>
          <cell r="D35" t="str">
            <v>CALLE 4 No 3-59</v>
          </cell>
          <cell r="E35" t="str">
            <v>7600259</v>
          </cell>
          <cell r="F35" t="str">
            <v>turistica@outlook.com</v>
          </cell>
        </row>
        <row r="36">
          <cell r="A36">
            <v>74379250</v>
          </cell>
          <cell r="B36" t="str">
            <v>SILVA MONTANA ROGGER IVAN</v>
          </cell>
          <cell r="C36" t="str">
            <v>Paipa</v>
          </cell>
          <cell r="D36" t="str">
            <v>DUITAMA</v>
          </cell>
          <cell r="E36">
            <v>3112959989</v>
          </cell>
          <cell r="F36" t="str">
            <v>roggerivansilva@gmail.com</v>
          </cell>
        </row>
        <row r="37">
          <cell r="A37">
            <v>900987911</v>
          </cell>
          <cell r="B37" t="str">
            <v>SABAJON CIPRES SOCIEDAD POR ACCIONES SIMPLIFICADA</v>
          </cell>
          <cell r="C37" t="str">
            <v>Paipa</v>
          </cell>
          <cell r="D37" t="str">
            <v>CRA 19 No. 19-07</v>
          </cell>
          <cell r="E37" t="str">
            <v>7850057</v>
          </cell>
          <cell r="F37" t="str">
            <v>sabajoncipressas@gmail.com</v>
          </cell>
        </row>
        <row r="38">
          <cell r="A38">
            <v>23350702</v>
          </cell>
          <cell r="B38" t="str">
            <v>GARCIA GARCIA SONIA YANETH</v>
          </cell>
          <cell r="C38" t="str">
            <v>Paipa</v>
          </cell>
          <cell r="D38" t="str">
            <v>CALLE 18A No27-42</v>
          </cell>
          <cell r="E38" t="str">
            <v>7852655</v>
          </cell>
          <cell r="F38" t="str">
            <v>derecholopez@homail.com</v>
          </cell>
        </row>
        <row r="39">
          <cell r="A39">
            <v>900152099</v>
          </cell>
          <cell r="B39" t="str">
            <v>INVERTEK S.A</v>
          </cell>
          <cell r="C39" t="str">
            <v>Bucaramanga</v>
          </cell>
          <cell r="D39" t="str">
            <v>CARRERA 34W No71-25</v>
          </cell>
          <cell r="E39" t="str">
            <v>9822355</v>
          </cell>
        </row>
        <row r="40">
          <cell r="A40">
            <v>4190480</v>
          </cell>
          <cell r="B40" t="str">
            <v>ROCIO PACHECO</v>
          </cell>
          <cell r="C40" t="str">
            <v>Paipa</v>
          </cell>
          <cell r="D40" t="str">
            <v>BARRIO SAN MIGUEL PAIPA</v>
          </cell>
        </row>
        <row r="41">
          <cell r="A41">
            <v>74322325</v>
          </cell>
          <cell r="B41" t="str">
            <v>CORONADO ALVARADO JAVIER DE JESUS</v>
          </cell>
          <cell r="C41" t="str">
            <v>Paipa</v>
          </cell>
          <cell r="D41" t="str">
            <v>CARRERA 19 N 25-45</v>
          </cell>
          <cell r="E41">
            <v>3142529499</v>
          </cell>
          <cell r="F41" t="str">
            <v>javier.coronado1@gmail.com</v>
          </cell>
        </row>
        <row r="42">
          <cell r="A42">
            <v>1053608274</v>
          </cell>
          <cell r="B42" t="str">
            <v>IBAÑES LUIS FERNEY</v>
          </cell>
          <cell r="C42" t="str">
            <v>Paipa</v>
          </cell>
          <cell r="D42" t="str">
            <v>CALLE 26 N 17-48</v>
          </cell>
          <cell r="E42" t="str">
            <v>3125161684</v>
          </cell>
          <cell r="F42" t="str">
            <v>luis.ibanes2399@correopolicia.gov.co</v>
          </cell>
        </row>
        <row r="43">
          <cell r="A43">
            <v>900534356</v>
          </cell>
          <cell r="B43" t="str">
            <v>WORLD OFFICE COLOMBIA SAS</v>
          </cell>
          <cell r="C43" t="str">
            <v>Bogota D.C.</v>
          </cell>
          <cell r="D43" t="str">
            <v>CALLE 26 -69D-91 OFICINA 805</v>
          </cell>
          <cell r="E43" t="str">
            <v>7451010</v>
          </cell>
          <cell r="F43" t="str">
            <v>contactenos@worldoffice.com.co</v>
          </cell>
        </row>
        <row r="44">
          <cell r="A44">
            <v>900253868</v>
          </cell>
          <cell r="B44" t="str">
            <v>ECOLOGIA CON LOGISTICA &amp; COORDINACION LTDA</v>
          </cell>
          <cell r="C44" t="str">
            <v>Duitama</v>
          </cell>
          <cell r="D44" t="str">
            <v>CARRERA 4 CALLE 3 LOTE 1-14</v>
          </cell>
          <cell r="E44" t="str">
            <v>7638838</v>
          </cell>
          <cell r="F44" t="str">
            <v>ecologisticaltda@hotmail.com</v>
          </cell>
        </row>
        <row r="45">
          <cell r="A45">
            <v>95196975</v>
          </cell>
          <cell r="B45" t="str">
            <v>NOTARIA UNICA DE PAIPA</v>
          </cell>
          <cell r="C45" t="str">
            <v>Paipa</v>
          </cell>
          <cell r="D45" t="str">
            <v>CALLE 26 NO 22-25</v>
          </cell>
          <cell r="E45" t="str">
            <v>7852869</v>
          </cell>
        </row>
        <row r="46">
          <cell r="A46">
            <v>7226528</v>
          </cell>
          <cell r="B46" t="str">
            <v>NOVA HENRY</v>
          </cell>
          <cell r="C46" t="str">
            <v>Paipa</v>
          </cell>
          <cell r="D46" t="str">
            <v>E_x000D_
EL BOSQUE</v>
          </cell>
          <cell r="E46" t="str">
            <v>7852415</v>
          </cell>
          <cell r="F46" t="str">
            <v>mepsatlltda@yahoo.com</v>
          </cell>
        </row>
        <row r="47">
          <cell r="A47">
            <v>4190863</v>
          </cell>
          <cell r="B47" t="str">
            <v>CIPAGAUTA SANA ANDRES</v>
          </cell>
          <cell r="C47" t="str">
            <v>Paipa</v>
          </cell>
          <cell r="D47" t="str">
            <v>EL TEJAR</v>
          </cell>
          <cell r="E47">
            <v>3213940117</v>
          </cell>
        </row>
        <row r="48">
          <cell r="A48">
            <v>89004430</v>
          </cell>
          <cell r="B48" t="str">
            <v>LOPEZ ADOLFO</v>
          </cell>
          <cell r="C48" t="str">
            <v>Paipa</v>
          </cell>
          <cell r="D48" t="str">
            <v>CENTRO</v>
          </cell>
          <cell r="E48">
            <v>3143912642</v>
          </cell>
        </row>
        <row r="49">
          <cell r="A49">
            <v>23549039</v>
          </cell>
          <cell r="B49" t="str">
            <v>MUNDIAL DE DOTACIONES  INDUSTRIALES</v>
          </cell>
          <cell r="C49" t="str">
            <v>Duitama</v>
          </cell>
          <cell r="D49" t="str">
            <v>CALLE 11 NO 16-13</v>
          </cell>
          <cell r="E49">
            <v>3208018663</v>
          </cell>
          <cell r="F49" t="str">
            <v>dotamundial.ib@gmail.com</v>
          </cell>
        </row>
        <row r="50">
          <cell r="A50">
            <v>811028650</v>
          </cell>
          <cell r="B50" t="str">
            <v>MADECENTRO COLOMBIA SAS</v>
          </cell>
          <cell r="C50" t="str">
            <v>Duitama</v>
          </cell>
          <cell r="D50" t="str">
            <v>TRANSVERSAL 29 No 16a-100</v>
          </cell>
          <cell r="E50" t="str">
            <v>7625109</v>
          </cell>
        </row>
        <row r="51">
          <cell r="A51">
            <v>830514610</v>
          </cell>
          <cell r="B51" t="str">
            <v>AMBIENTES CERAMICOS LTDA</v>
          </cell>
          <cell r="C51" t="str">
            <v>Paipa</v>
          </cell>
          <cell r="D51" t="str">
            <v>AVENIDA LOS LIBERTADORESNo22-62</v>
          </cell>
          <cell r="E51" t="str">
            <v>7852048</v>
          </cell>
          <cell r="F51" t="str">
            <v>paipa_ambientes@hotmail.com</v>
          </cell>
        </row>
        <row r="52">
          <cell r="A52">
            <v>74359458</v>
          </cell>
          <cell r="B52" t="str">
            <v>SANDOVAL FUQUEN EDDY URBANO</v>
          </cell>
          <cell r="C52" t="str">
            <v>Paipa</v>
          </cell>
          <cell r="D52" t="str">
            <v>CARRERA 17 No 27-47</v>
          </cell>
          <cell r="E52" t="str">
            <v>7851245</v>
          </cell>
          <cell r="F52" t="str">
            <v>sys.eddy@gmail.com</v>
          </cell>
        </row>
        <row r="53">
          <cell r="A53">
            <v>890404365</v>
          </cell>
          <cell r="B53" t="str">
            <v>GEMA TOURS AGENCIA DE VIAJES Y TURISMO</v>
          </cell>
          <cell r="C53" t="str">
            <v>Bogota D.C.</v>
          </cell>
          <cell r="D53" t="str">
            <v>CALE 67 No 6-60</v>
          </cell>
          <cell r="E53" t="str">
            <v>3458054</v>
          </cell>
        </row>
        <row r="54">
          <cell r="A54">
            <v>800077198</v>
          </cell>
          <cell r="B54" t="str">
            <v>TROPIBOY</v>
          </cell>
          <cell r="C54" t="str">
            <v>Duitama</v>
          </cell>
          <cell r="D54" t="str">
            <v>CALLE 2 CARRERA 4 CIUDADELA INDUSTRIAL</v>
          </cell>
          <cell r="E54" t="str">
            <v>7638055</v>
          </cell>
        </row>
        <row r="55">
          <cell r="A55">
            <v>37943663</v>
          </cell>
          <cell r="B55" t="str">
            <v>CARVAJAL ARAQUE NOEMI</v>
          </cell>
          <cell r="C55" t="str">
            <v>Paipa</v>
          </cell>
          <cell r="D55" t="str">
            <v>CALLE 25 No 19-36</v>
          </cell>
          <cell r="E55" t="str">
            <v>78500_x000D_
16</v>
          </cell>
        </row>
        <row r="56">
          <cell r="A56">
            <v>46681167</v>
          </cell>
          <cell r="B56" t="str">
            <v>BOLIVAR CRUZ EMILCE</v>
          </cell>
          <cell r="C56" t="str">
            <v>Paipa</v>
          </cell>
          <cell r="D56" t="str">
            <v>CALLE 25 No22-49</v>
          </cell>
          <cell r="E56" t="str">
            <v>7851709</v>
          </cell>
          <cell r="F56" t="str">
            <v>servidigital07@gmail.com</v>
          </cell>
        </row>
        <row r="57">
          <cell r="A57">
            <v>860070374</v>
          </cell>
          <cell r="B57" t="str">
            <v>COMPAÑÍA ASEGURADORA DE FIANZAS SA CONFIANZA</v>
          </cell>
          <cell r="C57" t="str">
            <v>Bogota D.C.</v>
          </cell>
          <cell r="D57" t="str">
            <v>Calle 82 No. 11 - 37 Piso 7.</v>
          </cell>
          <cell r="E57" t="str">
            <v>6444690_x000D_
018000111169</v>
          </cell>
        </row>
        <row r="58">
          <cell r="A58">
            <v>23857703</v>
          </cell>
          <cell r="B58" t="str">
            <v>ROJAS BARRERA MARIA CRISTINA</v>
          </cell>
          <cell r="C58" t="str">
            <v>Paipa</v>
          </cell>
          <cell r="D58" t="str">
            <v>CARRERA 19 25 49</v>
          </cell>
          <cell r="E58" t="str">
            <v>7850380</v>
          </cell>
          <cell r="F58" t="str">
            <v>krismoda2014@gmail.com</v>
          </cell>
        </row>
        <row r="59">
          <cell r="A59">
            <v>74323295</v>
          </cell>
          <cell r="B59" t="str">
            <v>VARGAS JESUS ANTONIO</v>
          </cell>
          <cell r="C59" t="str">
            <v>Paipa</v>
          </cell>
          <cell r="D59" t="str">
            <v>CARRERA 17 No 23A-20</v>
          </cell>
          <cell r="E59">
            <v>3124489464</v>
          </cell>
          <cell r="F59" t="str">
            <v>jantoniov1129@gmail.com</v>
          </cell>
        </row>
        <row r="60">
          <cell r="A60">
            <v>11308883</v>
          </cell>
          <cell r="B60" t="str">
            <v>QUIJANO CORTES JORGE ALBERTO</v>
          </cell>
          <cell r="C60" t="str">
            <v>Paipa</v>
          </cell>
          <cell r="D60" t="str">
            <v>VEREDA EL TEJAR</v>
          </cell>
          <cell r="E60">
            <v>3223609077</v>
          </cell>
          <cell r="F60" t="str">
            <v>ivanquijano0102@gmail.com</v>
          </cell>
        </row>
        <row r="61">
          <cell r="A61">
            <v>12345698</v>
          </cell>
          <cell r="B61" t="str">
            <v>LARA IVAN</v>
          </cell>
          <cell r="C61" t="str">
            <v>Paipa</v>
          </cell>
          <cell r="D61" t="str">
            <v>BARRIO CORINTO</v>
          </cell>
        </row>
        <row r="62">
          <cell r="A62" t="str">
            <v>74323981O0P</v>
          </cell>
          <cell r="B62" t="str">
            <v>REYES RODRIGUEZ LUIS GUILLERMO</v>
          </cell>
          <cell r="C62" t="str">
            <v>Paipa</v>
          </cell>
          <cell r="D62" t="str">
            <v>BARRIO EL BOSQUE</v>
          </cell>
        </row>
        <row r="63">
          <cell r="A63">
            <v>900276962</v>
          </cell>
          <cell r="B63" t="str">
            <v>D1 S A S</v>
          </cell>
          <cell r="C63" t="str">
            <v>Paipa</v>
          </cell>
          <cell r="D63" t="str">
            <v>CR 19 23 64</v>
          </cell>
          <cell r="E63" t="str">
            <v>018000120201</v>
          </cell>
          <cell r="F63" t="str">
            <v>turistica@outlook.com</v>
          </cell>
        </row>
        <row r="64">
          <cell r="A64">
            <v>74360239</v>
          </cell>
          <cell r="B64" t="str">
            <v>RAMOS FLOR</v>
          </cell>
          <cell r="C64" t="str">
            <v>Paipa</v>
          </cell>
          <cell r="D64" t="str">
            <v>SOTAQUIRA</v>
          </cell>
          <cell r="E64">
            <v>3123603458</v>
          </cell>
        </row>
        <row r="65">
          <cell r="A65">
            <v>89180021</v>
          </cell>
          <cell r="B65" t="str">
            <v>HOTEL PANORAMA CONFABOY</v>
          </cell>
          <cell r="C65" t="str">
            <v>Paipa</v>
          </cell>
          <cell r="D65" t="str">
            <v>CARRERA 10 N 16-81</v>
          </cell>
          <cell r="E65">
            <v>3203472189</v>
          </cell>
          <cell r="F65" t="str">
            <v>recepcionfacturas@comfaboy.com.co</v>
          </cell>
        </row>
        <row r="66">
          <cell r="A66">
            <v>830005568</v>
          </cell>
          <cell r="B66" t="str">
            <v>INVERSIONES RODASEB</v>
          </cell>
          <cell r="C66" t="str">
            <v>Paipa</v>
          </cell>
          <cell r="D66" t="str">
            <v>CARRERA 17 N 26-09 PRIMERO DE MAYO</v>
          </cell>
          <cell r="E66">
            <v>3102876011</v>
          </cell>
          <cell r="F66" t="str">
            <v>rosariobenitezmateus@hotmail.com</v>
          </cell>
        </row>
        <row r="67">
          <cell r="A67">
            <v>74324208</v>
          </cell>
          <cell r="B67" t="str">
            <v>BARON RODRIGUEZ MANUEL</v>
          </cell>
          <cell r="C67" t="str">
            <v>Paipa</v>
          </cell>
          <cell r="D67" t="str">
            <v>CALLE 25 No24A-18</v>
          </cell>
          <cell r="F67" t="str">
            <v>manuelbaronr15@gmail.com</v>
          </cell>
        </row>
        <row r="68">
          <cell r="A68">
            <v>800236984</v>
          </cell>
          <cell r="B68" t="str">
            <v>INSTITUCION EDUCATIVA TECNICA AGRICOLA EDUCATIVA TECNICA AGRICOLA</v>
          </cell>
          <cell r="C68" t="str">
            <v>Paipa</v>
          </cell>
          <cell r="D68" t="str">
            <v>VEREDA EL SALITRE C_x000D_
VEREDA EL SALITRE</v>
          </cell>
          <cell r="E68">
            <v>3138311884</v>
          </cell>
          <cell r="F68" t="str">
            <v>itadepaipa@gmail.com</v>
          </cell>
        </row>
        <row r="69">
          <cell r="A69">
            <v>74370964</v>
          </cell>
          <cell r="B69" t="str">
            <v>VERDUGO VARGAS JOSE PLUTARCO</v>
          </cell>
          <cell r="C69" t="str">
            <v>Duitama</v>
          </cell>
          <cell r="D69" t="str">
            <v>CARRERA 34 No 19-122</v>
          </cell>
          <cell r="E69">
            <v>3202172290</v>
          </cell>
          <cell r="F69" t="str">
            <v>joseverdugo.ssq@gmail.com</v>
          </cell>
        </row>
        <row r="70">
          <cell r="A70">
            <v>74182725</v>
          </cell>
          <cell r="B70" t="str">
            <v>NIÑO BOTTIO GREGORIO ANDRES</v>
          </cell>
          <cell r="C70" t="str">
            <v>Paipa</v>
          </cell>
          <cell r="D70" t="str">
            <v>SOTAQUIRA HACIENDA</v>
          </cell>
          <cell r="E70">
            <v>3123782023</v>
          </cell>
        </row>
        <row r="71">
          <cell r="A71">
            <v>4191032</v>
          </cell>
          <cell r="B71" t="str">
            <v>FONSECA EFRAIN</v>
          </cell>
          <cell r="C71" t="str">
            <v>Paipa</v>
          </cell>
          <cell r="D71" t="str">
            <v>VEREDA EL SALITRE</v>
          </cell>
          <cell r="E71">
            <v>3174194538</v>
          </cell>
          <cell r="F71" t="str">
            <v>wilsonfg05@gmail.com</v>
          </cell>
        </row>
        <row r="72">
          <cell r="A72">
            <v>800186228</v>
          </cell>
          <cell r="B72" t="str">
            <v>INGENIERIA DE VIAS SAS</v>
          </cell>
          <cell r="C72" t="str">
            <v>Bogota D.C.</v>
          </cell>
          <cell r="D72" t="str">
            <v>CALLE 36 No 18-23</v>
          </cell>
          <cell r="E72">
            <v>32049820</v>
          </cell>
          <cell r="F72" t="str">
            <v>gerencia@ingenieriadevias.com.co</v>
          </cell>
        </row>
        <row r="73">
          <cell r="A73">
            <v>900013821</v>
          </cell>
          <cell r="B73" t="str">
            <v>DIAZ Y DIAZ INGENIEROS LTDA</v>
          </cell>
          <cell r="C73" t="str">
            <v>Bogota D.C.</v>
          </cell>
          <cell r="D73" t="str">
            <v>CALLE 51 No64b-57</v>
          </cell>
          <cell r="E73">
            <v>3214509792</v>
          </cell>
          <cell r="F73" t="str">
            <v>diazydiaz@gmail.com</v>
          </cell>
        </row>
        <row r="74">
          <cell r="A74">
            <v>1049618765</v>
          </cell>
          <cell r="B74" t="str">
            <v>ALEMAN CRISTIAN</v>
          </cell>
          <cell r="C74" t="str">
            <v>Paipa</v>
          </cell>
          <cell r="D74" t="str">
            <v>BARRIOPRIMERO DE MAYO</v>
          </cell>
        </row>
        <row r="75">
          <cell r="A75">
            <v>1053604638</v>
          </cell>
          <cell r="B75" t="str">
            <v>PUERTO SANCHEZ AIDA KATHERIN KATHERIN</v>
          </cell>
          <cell r="C75" t="str">
            <v>Paipa</v>
          </cell>
          <cell r="D75" t="str">
            <v>BARRIO VILLA VIANNEY</v>
          </cell>
          <cell r="E75">
            <v>3132133356</v>
          </cell>
          <cell r="F75" t="str">
            <v>turistica@outlook.com</v>
          </cell>
        </row>
        <row r="76">
          <cell r="A76">
            <v>1053617005</v>
          </cell>
          <cell r="B76" t="str">
            <v>MARTINEZ PIÑEROS LINDA KATHERINE</v>
          </cell>
          <cell r="C76" t="str">
            <v>Paipa</v>
          </cell>
          <cell r="D76" t="str">
            <v>VDA EL ROSAL</v>
          </cell>
          <cell r="F76" t="str">
            <v>kathe.contable2022@gmail.com</v>
          </cell>
        </row>
        <row r="77">
          <cell r="A77">
            <v>1053617005</v>
          </cell>
          <cell r="B77" t="str">
            <v>MARTINEZ PIÑEROS LINDA KATHERINE</v>
          </cell>
          <cell r="C77" t="str">
            <v>Paipa</v>
          </cell>
          <cell r="D77" t="str">
            <v>VEREDA CHARITE</v>
          </cell>
          <cell r="E77">
            <v>3124989156</v>
          </cell>
          <cell r="F77" t="str">
            <v>kathe.contable2022@gmail.com</v>
          </cell>
        </row>
        <row r="78">
          <cell r="A78">
            <v>52799730</v>
          </cell>
          <cell r="B78" t="str">
            <v>PULGARIN PEREZ JESSICA ELIZABETH</v>
          </cell>
          <cell r="C78" t="str">
            <v>Paipa</v>
          </cell>
          <cell r="D78" t="str">
            <v>CARRERA 19 No26-45</v>
          </cell>
          <cell r="F78" t="str">
            <v>turistica@outook.com</v>
          </cell>
        </row>
        <row r="79">
          <cell r="A79">
            <v>860016951</v>
          </cell>
          <cell r="B79" t="str">
            <v>CLUB MIITAR</v>
          </cell>
          <cell r="C79" t="str">
            <v>Paipa</v>
          </cell>
          <cell r="D79" t="str">
            <v>VEREDA CANOCAS</v>
          </cell>
          <cell r="E79">
            <v>3223761657</v>
          </cell>
          <cell r="F79" t="str">
            <v>ldrosas@clubmilitar.gov.co</v>
          </cell>
        </row>
        <row r="80">
          <cell r="A80">
            <v>1052392551</v>
          </cell>
          <cell r="B80" t="str">
            <v>CELY CAMILO</v>
          </cell>
          <cell r="C80" t="str">
            <v>Paipa</v>
          </cell>
          <cell r="D80" t="str">
            <v>carrera 34b n 1a 10 oeste</v>
          </cell>
          <cell r="E80">
            <v>3108167741</v>
          </cell>
          <cell r="F80" t="str">
            <v>cacv479@hotmail.com</v>
          </cell>
        </row>
        <row r="81">
          <cell r="A81">
            <v>79804968</v>
          </cell>
          <cell r="B81" t="str">
            <v>SALAMANCA VELANDIA ALVARO</v>
          </cell>
          <cell r="C81" t="str">
            <v>Paipa</v>
          </cell>
          <cell r="D81" t="str">
            <v>CL 29 12B 21</v>
          </cell>
          <cell r="F81" t="str">
            <v>ALVARITOS1976@GMAIL.COM</v>
          </cell>
        </row>
        <row r="82">
          <cell r="A82">
            <v>79804968</v>
          </cell>
          <cell r="B82" t="str">
            <v>SALAMANCA VELANDIA ALVARO</v>
          </cell>
          <cell r="C82" t="str">
            <v>Paipa</v>
          </cell>
          <cell r="D82" t="str">
            <v>BARRIO EL BOSQUE</v>
          </cell>
          <cell r="E82">
            <v>3173199691</v>
          </cell>
          <cell r="F82" t="str">
            <v>ALVARITOS1976@GMAIL.COM</v>
          </cell>
        </row>
        <row r="83">
          <cell r="A83">
            <v>6748667</v>
          </cell>
          <cell r="B83" t="str">
            <v>PINEDA AGUIRRE MANUEL ERNESTO</v>
          </cell>
          <cell r="C83" t="str">
            <v>Duitama</v>
          </cell>
          <cell r="D83" t="str">
            <v>calle 10 n 38-35</v>
          </cell>
          <cell r="E83">
            <v>3212079186</v>
          </cell>
          <cell r="F83" t="str">
            <v>manuelepineda@gmail.com</v>
          </cell>
        </row>
        <row r="84">
          <cell r="A84">
            <v>74130341</v>
          </cell>
          <cell r="B84" t="str">
            <v>AVELLA JIMENEZ JORGE IVAN</v>
          </cell>
          <cell r="C84" t="str">
            <v>Paipa</v>
          </cell>
          <cell r="D84" t="str">
            <v>carrera 24a 12-36</v>
          </cell>
          <cell r="E84">
            <v>3124489374</v>
          </cell>
          <cell r="F84" t="str">
            <v>javellajimenez13@yahoo.es</v>
          </cell>
        </row>
        <row r="85">
          <cell r="A85">
            <v>74324341</v>
          </cell>
          <cell r="B85" t="str">
            <v>ALVARADO BRIJALDO MARIO ALEJANDRO</v>
          </cell>
          <cell r="C85" t="str">
            <v>Paipa</v>
          </cell>
          <cell r="D85" t="str">
            <v>carrera 15 n 25-49</v>
          </cell>
          <cell r="E85">
            <v>3132524264</v>
          </cell>
          <cell r="F85" t="str">
            <v>maalalbr@yahoo.com</v>
          </cell>
        </row>
        <row r="86">
          <cell r="A86">
            <v>900801209</v>
          </cell>
          <cell r="B86" t="str">
            <v>POLICIA METROPOLITANA DE TUNJA</v>
          </cell>
          <cell r="C86" t="str">
            <v>Paipa</v>
          </cell>
          <cell r="D86" t="str">
            <v>KM 5 VIA VEREDA SALITRE</v>
          </cell>
          <cell r="E86">
            <v>3208597708</v>
          </cell>
          <cell r="F86" t="str">
            <v>turistica@outlook.com</v>
          </cell>
        </row>
        <row r="87">
          <cell r="A87">
            <v>1056572171</v>
          </cell>
          <cell r="B87" t="str">
            <v>CANO PULIDO ANDRES OSWALDO</v>
          </cell>
          <cell r="C87" t="str">
            <v>Paipa</v>
          </cell>
          <cell r="D87" t="str">
            <v>BOSIGAS NORTE SOTAQUIRA</v>
          </cell>
          <cell r="E87">
            <v>3115349350</v>
          </cell>
          <cell r="F87" t="str">
            <v>joli911027@hotmail.com</v>
          </cell>
        </row>
        <row r="88">
          <cell r="A88">
            <v>74147879</v>
          </cell>
          <cell r="B88" t="str">
            <v>CORDON OSMAN ADRIAN</v>
          </cell>
          <cell r="C88" t="str">
            <v>Paipa</v>
          </cell>
          <cell r="D88" t="str">
            <v>CENTRO</v>
          </cell>
        </row>
        <row r="89">
          <cell r="A89">
            <v>800185215</v>
          </cell>
          <cell r="B89" t="str">
            <v>SEGURIDAD TREBOL LTDA</v>
          </cell>
          <cell r="C89" t="str">
            <v>Duitama</v>
          </cell>
          <cell r="D89" t="str">
            <v>CARRERA 7 N 21-85</v>
          </cell>
          <cell r="E89">
            <v>3176982584</v>
          </cell>
          <cell r="F89" t="str">
            <v>seguridadtrebol@yahoo.es</v>
          </cell>
        </row>
        <row r="90">
          <cell r="A90">
            <v>811009788</v>
          </cell>
          <cell r="B90" t="str">
            <v>DISTRACOM S.A</v>
          </cell>
          <cell r="C90" t="str">
            <v>Paipa</v>
          </cell>
          <cell r="D90" t="str">
            <v>CALLE 51 No64b-57</v>
          </cell>
          <cell r="E90">
            <v>3114393042</v>
          </cell>
          <cell r="F90" t="str">
            <v>impuestos@distracom.com.co</v>
          </cell>
        </row>
        <row r="91">
          <cell r="A91">
            <v>19226541</v>
          </cell>
          <cell r="B91" t="str">
            <v>ELSA RODRIGUEZ</v>
          </cell>
          <cell r="C91" t="str">
            <v>Paipa</v>
          </cell>
          <cell r="D91" t="str">
            <v>BARRIO CENTRO</v>
          </cell>
          <cell r="E91">
            <v>3013716492</v>
          </cell>
        </row>
        <row r="92">
          <cell r="A92">
            <v>900259348</v>
          </cell>
          <cell r="B92" t="str">
            <v>RED VITAL PAIPA S.A. ESP</v>
          </cell>
          <cell r="C92" t="str">
            <v>Paipa</v>
          </cell>
          <cell r="D92" t="str">
            <v>KM 1 VIA FRANCISCO MONTAÑA</v>
          </cell>
          <cell r="E92">
            <v>3208587785</v>
          </cell>
          <cell r="F92" t="str">
            <v>redvitalpaipa@gmail.com</v>
          </cell>
        </row>
        <row r="93">
          <cell r="A93">
            <v>7777777</v>
          </cell>
          <cell r="B93" t="str">
            <v>ALVARADO MIGUEL</v>
          </cell>
          <cell r="C93" t="str">
            <v>Paipa</v>
          </cell>
          <cell r="D93" t="str">
            <v>CENTRO</v>
          </cell>
          <cell r="E93">
            <v>7850145</v>
          </cell>
        </row>
        <row r="94">
          <cell r="A94">
            <v>830122566</v>
          </cell>
          <cell r="B94" t="str">
            <v>COLOMBIA TELECOMUNICACIONES  S.A ESP</v>
          </cell>
          <cell r="C94" t="str">
            <v>Bogota D.C.</v>
          </cell>
          <cell r="D94" t="str">
            <v>CALLE 72 No 12-77</v>
          </cell>
        </row>
        <row r="95">
          <cell r="A95" t="str">
            <v xml:space="preserve">	8918002191</v>
          </cell>
          <cell r="B95" t="e">
            <v>#N/A</v>
          </cell>
          <cell r="C95" t="str">
            <v>Tunja</v>
          </cell>
          <cell r="D95" t="str">
            <v>CARRERA 10 No15-87</v>
          </cell>
          <cell r="F95" t="str">
            <v>contratacion@hospitalpaipa.gov.co</v>
          </cell>
        </row>
        <row r="96">
          <cell r="A96">
            <v>890930534</v>
          </cell>
          <cell r="B96" t="str">
            <v>GAS NATURAL FENOSO</v>
          </cell>
          <cell r="C96" t="str">
            <v>Duitama</v>
          </cell>
          <cell r="D96" t="str">
            <v>DUITAMA PARQUE DEL CARMEN</v>
          </cell>
        </row>
        <row r="97">
          <cell r="A97">
            <v>900955903</v>
          </cell>
          <cell r="B97" t="str">
            <v>ASOCIACION DE ESTACIONES DE SERVICIO DEL ORIENTE COLOMBIANO</v>
          </cell>
          <cell r="C97" t="str">
            <v>Tunja</v>
          </cell>
          <cell r="D97" t="str">
            <v>CARRERA 1F No</v>
          </cell>
          <cell r="F97" t="str">
            <v>esocolseccionalcasanare@gmail.com</v>
          </cell>
        </row>
        <row r="98">
          <cell r="A98">
            <v>23855363</v>
          </cell>
          <cell r="B98" t="str">
            <v>MARTINEZ NIÑO MIRYAM STELLA</v>
          </cell>
          <cell r="C98" t="str">
            <v>Paipa</v>
          </cell>
          <cell r="D98" t="str">
            <v>AVENIDA LIBERTADORES No 22-21</v>
          </cell>
          <cell r="E98">
            <v>3158031907</v>
          </cell>
          <cell r="F98" t="str">
            <v>marfle07@hotmail.com</v>
          </cell>
        </row>
        <row r="99">
          <cell r="A99">
            <v>23350824</v>
          </cell>
          <cell r="B99" t="str">
            <v>CORREA SANDRA PATRICIA</v>
          </cell>
          <cell r="C99" t="str">
            <v>Duitama</v>
          </cell>
          <cell r="D99" t="str">
            <v>CARRERA 7 No 13-29</v>
          </cell>
          <cell r="E99">
            <v>3112514364</v>
          </cell>
          <cell r="F99" t="str">
            <v>sandina27@hotmail.com</v>
          </cell>
        </row>
        <row r="100">
          <cell r="A100">
            <v>1077869168</v>
          </cell>
          <cell r="B100" t="str">
            <v>gomez david</v>
          </cell>
          <cell r="C100" t="str">
            <v>Paipa</v>
          </cell>
          <cell r="D100" t="str">
            <v>calle 25 No13 -02</v>
          </cell>
          <cell r="E100">
            <v>3187950886</v>
          </cell>
        </row>
        <row r="101">
          <cell r="A101">
            <v>1053612054</v>
          </cell>
          <cell r="B101" t="str">
            <v>AVENDAÑO SALCEDO JOHAN NICOLAS</v>
          </cell>
          <cell r="C101" t="str">
            <v>Paipa</v>
          </cell>
          <cell r="D101" t="str">
            <v>CALLE 30 No 15A-20</v>
          </cell>
          <cell r="E101">
            <v>31434311058</v>
          </cell>
          <cell r="F101" t="str">
            <v>nico.av26@hotmail.com</v>
          </cell>
        </row>
        <row r="102">
          <cell r="A102">
            <v>74130887</v>
          </cell>
          <cell r="B102" t="str">
            <v>SALCEDO CANTOR FABIAN CAMILO</v>
          </cell>
          <cell r="C102" t="str">
            <v>Paipa</v>
          </cell>
          <cell r="D102" t="str">
            <v>CRA 24 N 14 120</v>
          </cell>
          <cell r="F102" t="str">
            <v>FABISNAC76@YAHOO.ES</v>
          </cell>
        </row>
        <row r="103">
          <cell r="A103">
            <v>74130887</v>
          </cell>
          <cell r="B103" t="str">
            <v>SALCEDO CANTOR FABIAN CAMILO</v>
          </cell>
          <cell r="C103" t="str">
            <v>Paipa</v>
          </cell>
          <cell r="D103" t="str">
            <v>CARRERA 24 No 14-20</v>
          </cell>
          <cell r="E103">
            <v>3114981631</v>
          </cell>
          <cell r="F103" t="str">
            <v>fabisnac76@yahoo.es</v>
          </cell>
        </row>
        <row r="104">
          <cell r="A104">
            <v>1053604581</v>
          </cell>
          <cell r="B104" t="str">
            <v>FONSECA DIANA CAROLINA</v>
          </cell>
          <cell r="C104" t="str">
            <v>Paipa</v>
          </cell>
          <cell r="D104" t="str">
            <v>CALLE 27 N 17-21</v>
          </cell>
          <cell r="E104">
            <v>3213271240</v>
          </cell>
          <cell r="F104" t="str">
            <v>ferropaipala27@hotmail.com</v>
          </cell>
        </row>
        <row r="105">
          <cell r="A105">
            <v>891855209</v>
          </cell>
          <cell r="B105" t="str">
            <v>EMPRESA SOCIAL DEL ESTADO HOSPITAL SAN VICENTE DE PAUL DE PAIPA</v>
          </cell>
          <cell r="C105" t="str">
            <v>Paipa</v>
          </cell>
          <cell r="D105" t="str">
            <v>carrera 20  21 37</v>
          </cell>
          <cell r="F105" t="str">
            <v>tesoreria@hospitalpaipa.gov.co</v>
          </cell>
        </row>
        <row r="106">
          <cell r="A106">
            <v>72324985</v>
          </cell>
          <cell r="B106" t="str">
            <v>ARIAS VARGAS HUGO HERNAN</v>
          </cell>
          <cell r="C106" t="str">
            <v>Paipa</v>
          </cell>
          <cell r="D106" t="str">
            <v>CALLE 24 No 9BIS-34</v>
          </cell>
          <cell r="E106">
            <v>7716632</v>
          </cell>
          <cell r="F106" t="str">
            <v>turistica@outlook.com</v>
          </cell>
        </row>
        <row r="107">
          <cell r="A107">
            <v>7215270</v>
          </cell>
          <cell r="B107" t="str">
            <v>GARCIA CASTRO LUIS HERNANDO</v>
          </cell>
          <cell r="C107" t="str">
            <v>Duitama</v>
          </cell>
          <cell r="D107" t="str">
            <v>CALLE 19 No19-73</v>
          </cell>
          <cell r="E107">
            <v>3133898507</v>
          </cell>
          <cell r="F107" t="str">
            <v>impresosluvigraf@hotmail.com</v>
          </cell>
        </row>
        <row r="108">
          <cell r="A108">
            <v>40027163</v>
          </cell>
          <cell r="B108" t="str">
            <v>DOTACIONES TUNDAMA</v>
          </cell>
          <cell r="C108" t="str">
            <v>Duitama</v>
          </cell>
          <cell r="D108" t="str">
            <v>CARRERA 18 No 18-41</v>
          </cell>
        </row>
        <row r="109">
          <cell r="A109">
            <v>860351576</v>
          </cell>
          <cell r="B109" t="str">
            <v>CONFECCIONES TALLER 84 LTDA</v>
          </cell>
          <cell r="C109" t="str">
            <v>Bogota D.C.</v>
          </cell>
          <cell r="D109" t="str">
            <v>CARRERA 73A No70-42</v>
          </cell>
          <cell r="F109" t="str">
            <v>oficina@taller84.com</v>
          </cell>
        </row>
        <row r="110">
          <cell r="A110">
            <v>4190944</v>
          </cell>
          <cell r="B110" t="str">
            <v>RODRIGUEZ ACOSTA CUPERTINO</v>
          </cell>
          <cell r="C110" t="str">
            <v>Paipa</v>
          </cell>
          <cell r="D110" t="str">
            <v>CALLE 27 No21-51</v>
          </cell>
          <cell r="E110">
            <v>3115345676</v>
          </cell>
          <cell r="F110" t="str">
            <v>vivi.marcela0@gmail.com</v>
          </cell>
        </row>
        <row r="111">
          <cell r="A111">
            <v>23854232</v>
          </cell>
          <cell r="B111" t="str">
            <v>ORTIZ DE FARFAN ANA OTILIA</v>
          </cell>
          <cell r="C111" t="str">
            <v>Paipa</v>
          </cell>
          <cell r="D111" t="str">
            <v>CARRERA 22 No22-79</v>
          </cell>
          <cell r="E111">
            <v>3132656003</v>
          </cell>
          <cell r="F111" t="str">
            <v>alejandropaipa@hotmail.com</v>
          </cell>
        </row>
        <row r="112">
          <cell r="A112">
            <v>891855025</v>
          </cell>
          <cell r="B112" t="str">
            <v>CAMARA DE COMERCIO DE DUITAMA</v>
          </cell>
          <cell r="C112" t="str">
            <v>Duitama</v>
          </cell>
          <cell r="D112" t="str">
            <v>TV 1923 141</v>
          </cell>
          <cell r="F112" t="str">
            <v>ccdjuridica@gmail.org.co</v>
          </cell>
        </row>
        <row r="113">
          <cell r="A113">
            <v>900031780</v>
          </cell>
          <cell r="B113" t="str">
            <v>S.M ASOCIADOS S.A</v>
          </cell>
          <cell r="C113" t="str">
            <v>Paipa</v>
          </cell>
          <cell r="D113" t="str">
            <v>AV LIBERTADORES No 22-71</v>
          </cell>
          <cell r="E113">
            <v>3115994943</v>
          </cell>
        </row>
        <row r="114">
          <cell r="A114">
            <v>19148888</v>
          </cell>
          <cell r="B114" t="str">
            <v>GONZALEZ VARGAS JOSE ROBERTO</v>
          </cell>
          <cell r="C114" t="str">
            <v>Bogota D.C.</v>
          </cell>
          <cell r="D114" t="str">
            <v>CL 15 28 59</v>
          </cell>
          <cell r="F114" t="str">
            <v>gasolinerasymontallantas@gmail.com</v>
          </cell>
        </row>
        <row r="115">
          <cell r="A115">
            <v>80160535</v>
          </cell>
          <cell r="B115" t="str">
            <v>MARKA REGISTRADA  IMPRESORES</v>
          </cell>
          <cell r="C115" t="str">
            <v>Duitama</v>
          </cell>
          <cell r="D115" t="str">
            <v>CARRERA 17 No 10-90</v>
          </cell>
          <cell r="E115">
            <v>3114703512</v>
          </cell>
        </row>
        <row r="116">
          <cell r="A116">
            <v>23857672</v>
          </cell>
          <cell r="B116" t="str">
            <v>CAMACHO BAUTISTA JULIA INES</v>
          </cell>
          <cell r="C116" t="str">
            <v>Paipa</v>
          </cell>
          <cell r="D116" t="str">
            <v>CARRERA 19 25 58</v>
          </cell>
          <cell r="E116">
            <v>3114751175</v>
          </cell>
          <cell r="F116" t="str">
            <v>papelerialukis@gmail.com</v>
          </cell>
        </row>
        <row r="117">
          <cell r="A117">
            <v>74359528</v>
          </cell>
          <cell r="B117" t="str">
            <v>ORNAMENTACION JUACO</v>
          </cell>
          <cell r="C117" t="str">
            <v>Paipa</v>
          </cell>
          <cell r="D117" t="str">
            <v>CALLE 23 No 11-51</v>
          </cell>
          <cell r="E117">
            <v>3102369499</v>
          </cell>
        </row>
        <row r="118">
          <cell r="A118">
            <v>79132118</v>
          </cell>
          <cell r="B118" t="str">
            <v>HENRY ALFONSO GARCIA LA UNION DEL SUR</v>
          </cell>
          <cell r="C118" t="str">
            <v>Duitama</v>
          </cell>
          <cell r="D118" t="str">
            <v>AVENIDA LIBERTADORES 22 No 23-</v>
          </cell>
          <cell r="F118" t="str">
            <v>launiondelsur@gmail.com</v>
          </cell>
        </row>
        <row r="119">
          <cell r="A119">
            <v>900084311</v>
          </cell>
          <cell r="B119" t="str">
            <v>INSUGEC S.A.S</v>
          </cell>
          <cell r="C119" t="str">
            <v>Medellín</v>
          </cell>
          <cell r="D119" t="str">
            <v>CARRERA 52 No 10-85</v>
          </cell>
        </row>
        <row r="120">
          <cell r="A120">
            <v>900343288</v>
          </cell>
          <cell r="B120" t="str">
            <v>INGENIERIA APROPIADA S.A.S</v>
          </cell>
          <cell r="C120" t="str">
            <v>Medellín</v>
          </cell>
          <cell r="D120" t="str">
            <v>CL 27 79 174</v>
          </cell>
          <cell r="F120" t="str">
            <v>turistica@outlook.com</v>
          </cell>
        </row>
        <row r="121">
          <cell r="A121">
            <v>1053607261</v>
          </cell>
          <cell r="B121" t="str">
            <v>COMERCIALIZADORA S Y S</v>
          </cell>
          <cell r="C121" t="str">
            <v>Paipa</v>
          </cell>
          <cell r="D121" t="str">
            <v>CALLE 26 No 19A-33</v>
          </cell>
          <cell r="E121">
            <v>3017868840</v>
          </cell>
        </row>
        <row r="122">
          <cell r="A122">
            <v>830037946</v>
          </cell>
          <cell r="B122" t="str">
            <v>PANAMERICANA LIBRERÍA Y PÁPELERIA  S.A</v>
          </cell>
          <cell r="C122" t="str">
            <v>Paipa</v>
          </cell>
          <cell r="D122" t="str">
            <v>AVENIDA LAS AMERICAS</v>
          </cell>
        </row>
        <row r="123">
          <cell r="A123">
            <v>9005152331</v>
          </cell>
          <cell r="B123" t="str">
            <v>HIDROLAB</v>
          </cell>
          <cell r="C123" t="str">
            <v>Duitama</v>
          </cell>
          <cell r="D123" t="str">
            <v>CALLER 1CW -34C-160</v>
          </cell>
        </row>
        <row r="124">
          <cell r="A124">
            <v>74359600</v>
          </cell>
          <cell r="B124" t="str">
            <v>CIPAGAUTA RODRIGUEZ PEDRO NEL</v>
          </cell>
          <cell r="C124" t="str">
            <v>Paipa</v>
          </cell>
          <cell r="D124" t="str">
            <v>AVENIDA LIBERTADORES 20A 38</v>
          </cell>
          <cell r="E124">
            <v>3134967903</v>
          </cell>
          <cell r="F124" t="str">
            <v>pitte2033@hotmail.com</v>
          </cell>
        </row>
        <row r="125">
          <cell r="A125">
            <v>800091418</v>
          </cell>
          <cell r="B125" t="str">
            <v>AGRO FILTER LTDA</v>
          </cell>
          <cell r="C125" t="str">
            <v>Duitama</v>
          </cell>
          <cell r="D125" t="str">
            <v>CARRERA 18 No 11-24</v>
          </cell>
          <cell r="F125" t="str">
            <v>agrofilter10@hotmail.com</v>
          </cell>
        </row>
        <row r="126">
          <cell r="A126">
            <v>900581542</v>
          </cell>
          <cell r="B126" t="str">
            <v>EL FARO ELECTRICO SAS</v>
          </cell>
          <cell r="C126" t="str">
            <v>Duitama</v>
          </cell>
          <cell r="D126" t="str">
            <v>CARRERA 16 N 11-77</v>
          </cell>
          <cell r="E126">
            <v>3107955879</v>
          </cell>
          <cell r="F126" t="str">
            <v>ventasduitama@elfaroelectrico.com</v>
          </cell>
        </row>
        <row r="127">
          <cell r="A127">
            <v>111111</v>
          </cell>
          <cell r="B127" t="str">
            <v>RIVERA ALEJANDRA</v>
          </cell>
          <cell r="C127" t="str">
            <v>Paipa</v>
          </cell>
          <cell r="D127" t="str">
            <v>AVENIDA LIBERTADIRES</v>
          </cell>
        </row>
        <row r="128">
          <cell r="A128">
            <v>23554360</v>
          </cell>
          <cell r="B128" t="str">
            <v>NIÑO CORREA AURA LUCIA</v>
          </cell>
          <cell r="C128" t="str">
            <v>Duitama</v>
          </cell>
          <cell r="D128" t="str">
            <v>CALLE 13 No 15-45_x000D_
_x000D_
_x000D_
_x000D_
_x000D_
_x000D_
CALLE 13 No 15-45</v>
          </cell>
          <cell r="F128" t="str">
            <v>auralu798@hotmail.com</v>
          </cell>
        </row>
        <row r="129">
          <cell r="A129">
            <v>900987141</v>
          </cell>
          <cell r="B129" t="str">
            <v>CONSORCIO DE VERIFICACION METROLOGICA SGS-CLM</v>
          </cell>
          <cell r="C129" t="str">
            <v>Bogota D.C.</v>
          </cell>
          <cell r="D129" t="str">
            <v>CARRERA 100 No 25C-11</v>
          </cell>
          <cell r="F129" t="str">
            <v>maria.fonseca@sgs.com</v>
          </cell>
        </row>
        <row r="130">
          <cell r="A130">
            <v>80853193</v>
          </cell>
          <cell r="B130" t="str">
            <v>ALBARRACIN ALVAREZ HUMBERTO</v>
          </cell>
          <cell r="C130" t="str">
            <v>Paipa</v>
          </cell>
          <cell r="D130" t="str">
            <v>CALLE 27 No20-18</v>
          </cell>
          <cell r="E130">
            <v>3135179304</v>
          </cell>
        </row>
        <row r="131">
          <cell r="A131">
            <v>1254687</v>
          </cell>
          <cell r="B131" t="str">
            <v>FLOREZ DANIEL</v>
          </cell>
          <cell r="C131" t="str">
            <v>Paipa</v>
          </cell>
          <cell r="D131" t="str">
            <v>LA ESTACION</v>
          </cell>
          <cell r="F131" t="str">
            <v>danielflorez01@gmail.com</v>
          </cell>
        </row>
        <row r="132">
          <cell r="A132">
            <v>800251569</v>
          </cell>
          <cell r="B132" t="str">
            <v>INTERRAPIDISIMO SA</v>
          </cell>
          <cell r="C132" t="str">
            <v>Bogota D.C.</v>
          </cell>
          <cell r="D132" t="str">
            <v>CLL 18 -65A-03</v>
          </cell>
          <cell r="F132" t="str">
            <v>facturacionelectronica@interrapidisimo.com</v>
          </cell>
        </row>
        <row r="133">
          <cell r="A133">
            <v>4265385</v>
          </cell>
          <cell r="B133" t="str">
            <v>DIVANTOQUE JOSE</v>
          </cell>
          <cell r="C133" t="str">
            <v>Paipa</v>
          </cell>
          <cell r="D133" t="str">
            <v>CALLE 18 No 21-66</v>
          </cell>
          <cell r="E133">
            <v>3102370885</v>
          </cell>
        </row>
        <row r="134">
          <cell r="A134">
            <v>900887888</v>
          </cell>
          <cell r="B134" t="str">
            <v>COMERCIALIZADORA GONZALEZ G SAS</v>
          </cell>
          <cell r="C134" t="str">
            <v>Paipa</v>
          </cell>
          <cell r="D134" t="str">
            <v>CARRERA 18 No 12-60</v>
          </cell>
        </row>
        <row r="135">
          <cell r="A135">
            <v>46369567</v>
          </cell>
          <cell r="B135" t="str">
            <v>MERCHAN MERCHAN SARA EDITH</v>
          </cell>
          <cell r="C135" t="str">
            <v>Paipa</v>
          </cell>
          <cell r="D135" t="str">
            <v>CALLE 27 No 21-51</v>
          </cell>
          <cell r="E135">
            <v>3103398694</v>
          </cell>
          <cell r="F135" t="str">
            <v>sara_merchan@hotmail.com</v>
          </cell>
        </row>
        <row r="136">
          <cell r="A136">
            <v>800006073</v>
          </cell>
          <cell r="B136" t="str">
            <v>HOTEL EL LAGO LTDA</v>
          </cell>
          <cell r="C136" t="str">
            <v>Paipa</v>
          </cell>
          <cell r="D136" t="str">
            <v>KM 1 VIA PISCINAS TERMALES</v>
          </cell>
          <cell r="E136">
            <v>3134231295</v>
          </cell>
          <cell r="F136" t="str">
            <v>hotelellago@hotmail.es</v>
          </cell>
        </row>
        <row r="137">
          <cell r="A137">
            <v>74512569</v>
          </cell>
          <cell r="B137" t="str">
            <v>ERNESTO COY</v>
          </cell>
          <cell r="C137" t="str">
            <v>Paipa</v>
          </cell>
          <cell r="D137" t="str">
            <v>CENTRO</v>
          </cell>
          <cell r="F137" t="str">
            <v>ernestocoy@hotmail.com</v>
          </cell>
        </row>
        <row r="138">
          <cell r="A138">
            <v>7164420</v>
          </cell>
          <cell r="B138" t="str">
            <v>BARRERA GAMA ROKNBEY GIOVANNI</v>
          </cell>
          <cell r="C138" t="str">
            <v>Paipa</v>
          </cell>
          <cell r="D138" t="str">
            <v>CALLE 3No5A-14</v>
          </cell>
          <cell r="E138">
            <v>3106897016</v>
          </cell>
          <cell r="F138" t="str">
            <v>barreragama5@yahoo.es</v>
          </cell>
        </row>
        <row r="139">
          <cell r="A139">
            <v>79663239</v>
          </cell>
          <cell r="B139" t="str">
            <v>SERVIALAR</v>
          </cell>
          <cell r="C139" t="str">
            <v>Duitama</v>
          </cell>
          <cell r="D139" t="str">
            <v>CALLE 18 No 19-95</v>
          </cell>
        </row>
        <row r="140">
          <cell r="A140">
            <v>1057590867</v>
          </cell>
          <cell r="B140" t="str">
            <v>PEDRAZA ACEVEDO FELIPE ANDRES</v>
          </cell>
          <cell r="C140" t="str">
            <v>Sogamoso</v>
          </cell>
          <cell r="D140" t="str">
            <v>VEREDA PRIMERA CHORRERA</v>
          </cell>
          <cell r="E140">
            <v>3124296761</v>
          </cell>
          <cell r="F140" t="str">
            <v>felipea-pedraza@hotmail.com</v>
          </cell>
        </row>
        <row r="141">
          <cell r="A141">
            <v>40035450</v>
          </cell>
          <cell r="B141" t="str">
            <v>FLORES SEMILLAS DE FE</v>
          </cell>
          <cell r="C141" t="str">
            <v>Paipa</v>
          </cell>
          <cell r="D141" t="str">
            <v>CARRERA 22 No 25-63</v>
          </cell>
          <cell r="E141">
            <v>3204913099</v>
          </cell>
        </row>
        <row r="142">
          <cell r="A142">
            <v>4191956</v>
          </cell>
          <cell r="B142" t="str">
            <v>MARTINEZ AVELLANEDA HECTOR HENRY</v>
          </cell>
          <cell r="C142" t="str">
            <v>Paipa</v>
          </cell>
          <cell r="D142" t="str">
            <v>EL CHARITE</v>
          </cell>
          <cell r="F142" t="str">
            <v>hhmartineza@gmail.com</v>
          </cell>
        </row>
        <row r="143">
          <cell r="A143" t="str">
            <v>800.197.268.</v>
          </cell>
          <cell r="B143" t="str">
            <v>DIRECCION DE IMPUESTOS Y ADUANAS  NACIONALES DE COLOMBIA</v>
          </cell>
          <cell r="C143" t="str">
            <v>Sogamoso</v>
          </cell>
          <cell r="D143" t="str">
            <v>SOGAMOSO</v>
          </cell>
        </row>
        <row r="144">
          <cell r="A144">
            <v>900341969</v>
          </cell>
          <cell r="B144" t="str">
            <v>AG DISTRIBUCIONES SAS</v>
          </cell>
          <cell r="C144" t="str">
            <v>Bogota D.C.</v>
          </cell>
          <cell r="E144">
            <v>3114957745</v>
          </cell>
        </row>
        <row r="145">
          <cell r="A145">
            <v>74130977</v>
          </cell>
          <cell r="B145" t="str">
            <v>FONSECA VASQUEZ ERNESTO</v>
          </cell>
          <cell r="C145" t="str">
            <v>Paipa</v>
          </cell>
          <cell r="D145" t="str">
            <v>AV LIBERTADORES N 35-99</v>
          </cell>
          <cell r="E145">
            <v>3144130667</v>
          </cell>
          <cell r="F145" t="str">
            <v>lubriservicios.we@gmail.com</v>
          </cell>
        </row>
        <row r="146">
          <cell r="A146">
            <v>901347984</v>
          </cell>
          <cell r="B146" t="str">
            <v>CONSORCIO ASFACOL</v>
          </cell>
          <cell r="C146" t="str">
            <v>Duitama</v>
          </cell>
          <cell r="D146" t="str">
            <v>CALLE  15 No13-56</v>
          </cell>
          <cell r="E146">
            <v>3108023979</v>
          </cell>
          <cell r="F146" t="str">
            <v>artepcosas@gmail.com</v>
          </cell>
        </row>
        <row r="147">
          <cell r="A147">
            <v>901308093</v>
          </cell>
          <cell r="B147" t="str">
            <v>CONCRETE LOGISTIC sas</v>
          </cell>
          <cell r="C147" t="str">
            <v>Bogota D.C.</v>
          </cell>
          <cell r="D147" t="str">
            <v>CARRERA 1 N 11-130 OFICINA 508 TOR 1</v>
          </cell>
          <cell r="E147">
            <v>3214001532</v>
          </cell>
          <cell r="F147" t="str">
            <v>operaciones@concretehouse.com.co</v>
          </cell>
        </row>
        <row r="148">
          <cell r="A148">
            <v>860004875</v>
          </cell>
          <cell r="B148" t="str">
            <v>HDI SEGUROS</v>
          </cell>
          <cell r="C148" t="str">
            <v>Bogota D.C.</v>
          </cell>
          <cell r="D148" t="str">
            <v>CR 7 72 13 P 8</v>
          </cell>
        </row>
        <row r="149">
          <cell r="A149">
            <v>900366520</v>
          </cell>
          <cell r="B149" t="str">
            <v>DUCTOS de COLOMBIA</v>
          </cell>
          <cell r="C149" t="str">
            <v>Sogamoso</v>
          </cell>
          <cell r="D149" t="str">
            <v>CL 2 A 8 29</v>
          </cell>
          <cell r="F149" t="str">
            <v>jorge.bs23@hotmail.com</v>
          </cell>
        </row>
        <row r="150">
          <cell r="A150">
            <v>5765376</v>
          </cell>
          <cell r="B150" t="str">
            <v>TORRES BARAJAS MARCOS AUGUSTO</v>
          </cell>
          <cell r="C150" t="str">
            <v>Paipa</v>
          </cell>
          <cell r="D150" t="str">
            <v>SAN DANIEL</v>
          </cell>
          <cell r="E150">
            <v>3114812420</v>
          </cell>
          <cell r="F150" t="str">
            <v>marcosagustorres1970@hotmail.com</v>
          </cell>
        </row>
        <row r="151">
          <cell r="A151">
            <v>46681682</v>
          </cell>
          <cell r="B151" t="str">
            <v>HERNANDEZ MATEUS YEYMY</v>
          </cell>
          <cell r="C151" t="str">
            <v>Paipa</v>
          </cell>
          <cell r="D151" t="str">
            <v>PAIPA CENTRO</v>
          </cell>
        </row>
        <row r="152">
          <cell r="A152">
            <v>74323098</v>
          </cell>
          <cell r="B152" t="str">
            <v>CELUMANIA</v>
          </cell>
          <cell r="C152" t="str">
            <v>Paipa</v>
          </cell>
          <cell r="D152" t="str">
            <v>CALLE 25 19-127</v>
          </cell>
        </row>
        <row r="153">
          <cell r="A153">
            <v>7222356</v>
          </cell>
          <cell r="B153" t="str">
            <v>PERICO FONSECA PEDRO JULIO</v>
          </cell>
          <cell r="C153" t="str">
            <v>Duitama</v>
          </cell>
          <cell r="D153" t="str">
            <v>CALLE 13 N 14-61</v>
          </cell>
          <cell r="E153">
            <v>3202534505</v>
          </cell>
        </row>
        <row r="154">
          <cell r="A154">
            <v>900236200</v>
          </cell>
          <cell r="B154" t="str">
            <v>ABSOLUTE ENGINEERING COLOMBIA LTDA</v>
          </cell>
          <cell r="C154" t="str">
            <v>Paipa</v>
          </cell>
          <cell r="D154" t="str">
            <v>CLLE 26 N 19-21</v>
          </cell>
          <cell r="E154">
            <v>3166206107</v>
          </cell>
          <cell r="F154" t="str">
            <v>contacto@absencol.com</v>
          </cell>
        </row>
        <row r="155">
          <cell r="A155">
            <v>800208659</v>
          </cell>
          <cell r="B155" t="str">
            <v>L.T GEOPERFORACIONES Y MINERIAS SAS</v>
          </cell>
          <cell r="C155" t="str">
            <v>Bogota D.C.</v>
          </cell>
          <cell r="D155" t="str">
            <v>CL 119 N 15A 64</v>
          </cell>
          <cell r="E155">
            <v>3188566895</v>
          </cell>
          <cell r="F155" t="str">
            <v>contabilidad@ltgeoperforaciones.com.co</v>
          </cell>
        </row>
        <row r="156">
          <cell r="A156">
            <v>74323081</v>
          </cell>
          <cell r="B156" t="str">
            <v>JORGE ALBERTO TOVA</v>
          </cell>
          <cell r="C156" t="str">
            <v>Paipa</v>
          </cell>
          <cell r="D156" t="str">
            <v>CARRERA 19 N 24-02</v>
          </cell>
          <cell r="E156">
            <v>3132188750</v>
          </cell>
        </row>
        <row r="157">
          <cell r="A157">
            <v>901376901</v>
          </cell>
          <cell r="B157" t="str">
            <v>DFA INGENIERIAS</v>
          </cell>
          <cell r="C157" t="str">
            <v>Bogota D.C.</v>
          </cell>
          <cell r="D157" t="str">
            <v>CALLE 20A #18-25</v>
          </cell>
          <cell r="F157" t="str">
            <v>ghecontabilidad@hotmail.com</v>
          </cell>
        </row>
        <row r="158">
          <cell r="A158">
            <v>900624919</v>
          </cell>
          <cell r="B158" t="str">
            <v>INVERSIONES PALUAN SAS</v>
          </cell>
          <cell r="C158" t="str">
            <v>Paipa</v>
          </cell>
          <cell r="D158" t="str">
            <v>CARRERA 22 N 25-05</v>
          </cell>
          <cell r="E158">
            <v>3137169135</v>
          </cell>
          <cell r="F158" t="str">
            <v>masdescuentosdrogueria@hotmail.com</v>
          </cell>
        </row>
        <row r="159">
          <cell r="A159">
            <v>860029087</v>
          </cell>
          <cell r="B159" t="str">
            <v>APC INDUSTRIES SAS</v>
          </cell>
          <cell r="C159" t="str">
            <v>Bogota D.C.</v>
          </cell>
          <cell r="D159" t="str">
            <v>CARRERA 75 N 68B-43</v>
          </cell>
          <cell r="F159" t="str">
            <v>info@apc-industrias.com</v>
          </cell>
        </row>
        <row r="160">
          <cell r="A160">
            <v>7213708</v>
          </cell>
          <cell r="B160" t="str">
            <v>ESPEJO CAMARGO JOSE MARIO</v>
          </cell>
          <cell r="C160" t="str">
            <v>Paipa</v>
          </cell>
          <cell r="D160" t="str">
            <v>BARRIO GAITAN</v>
          </cell>
        </row>
        <row r="161">
          <cell r="A161">
            <v>7213708</v>
          </cell>
          <cell r="B161" t="str">
            <v>ESPEJO CAMARGO JOSE MARIO</v>
          </cell>
          <cell r="C161" t="str">
            <v>Duitama</v>
          </cell>
          <cell r="D161" t="str">
            <v>AV CAMILO TORRES CL 20 25 41</v>
          </cell>
          <cell r="E161">
            <v>3102157733</v>
          </cell>
          <cell r="F161" t="str">
            <v>josemarioesca@hotmail.com</v>
          </cell>
        </row>
        <row r="162">
          <cell r="A162">
            <v>1053323217</v>
          </cell>
          <cell r="B162" t="str">
            <v>DIAZ BELEÑO CARLOS RICARDO</v>
          </cell>
          <cell r="C162" t="str">
            <v>Duitama</v>
          </cell>
          <cell r="D162" t="str">
            <v>CALLE 12 N 35-33</v>
          </cell>
          <cell r="E162">
            <v>3014314768</v>
          </cell>
          <cell r="F162" t="str">
            <v>facturapaipa@gmail.com</v>
          </cell>
        </row>
        <row r="163">
          <cell r="A163">
            <v>800221789</v>
          </cell>
          <cell r="B163" t="str">
            <v>BRINSA SA</v>
          </cell>
          <cell r="C163" t="str">
            <v>Medellín</v>
          </cell>
          <cell r="D163" t="str">
            <v>CARRERA 33 N 7-41 P2</v>
          </cell>
          <cell r="E163">
            <v>3208656583</v>
          </cell>
          <cell r="F163" t="str">
            <v>facturacionelectronica@brinsa.com.co</v>
          </cell>
        </row>
        <row r="164">
          <cell r="A164">
            <v>900432902</v>
          </cell>
          <cell r="B164" t="str">
            <v>INGENIERIA INTEGRAL JL SA</v>
          </cell>
          <cell r="C164" t="str">
            <v>Sogamoso</v>
          </cell>
          <cell r="D164" t="str">
            <v>CARRERA 9 N31-A-31</v>
          </cell>
          <cell r="E164">
            <v>3104811758</v>
          </cell>
          <cell r="F164" t="str">
            <v>ingenieriaintegraljl@gmail.com</v>
          </cell>
        </row>
        <row r="165">
          <cell r="A165">
            <v>46682735</v>
          </cell>
          <cell r="B165" t="str">
            <v>RODRIGUEZ PUERTO DIANA CAROLINA</v>
          </cell>
          <cell r="C165" t="str">
            <v>Paipa</v>
          </cell>
          <cell r="D165" t="str">
            <v>CALLE 29 12 B 26</v>
          </cell>
          <cell r="F165" t="str">
            <v>karito281919@hotmail.com</v>
          </cell>
        </row>
        <row r="166">
          <cell r="A166">
            <v>46682735</v>
          </cell>
          <cell r="B166" t="str">
            <v>RODRIGUEZ PUERTO DIANA CAROLINA</v>
          </cell>
          <cell r="C166" t="str">
            <v>Paipa</v>
          </cell>
          <cell r="D166" t="str">
            <v>CL 29 12B 26</v>
          </cell>
          <cell r="F166" t="str">
            <v>KARITO281919@HOTMAIL.COM</v>
          </cell>
        </row>
        <row r="167">
          <cell r="A167">
            <v>901190402</v>
          </cell>
          <cell r="B167" t="str">
            <v>UNIVERSAL DE TORNILLOSY FERRETERIA SAS</v>
          </cell>
          <cell r="C167" t="str">
            <v>Duitama</v>
          </cell>
          <cell r="D167" t="str">
            <v>CR 19 14 35</v>
          </cell>
          <cell r="F167" t="str">
            <v>unitornillosyferreteriasas@outlook.com</v>
          </cell>
        </row>
        <row r="168">
          <cell r="A168">
            <v>1049651065</v>
          </cell>
          <cell r="B168" t="str">
            <v>ALMACEN Y FERRETERIA COLOMBIA</v>
          </cell>
          <cell r="C168" t="str">
            <v>Tunja</v>
          </cell>
          <cell r="D168" t="str">
            <v>CARRERA 11 N 10-34</v>
          </cell>
          <cell r="E168">
            <v>3143560525</v>
          </cell>
        </row>
        <row r="169">
          <cell r="A169">
            <v>901000330</v>
          </cell>
          <cell r="B169" t="str">
            <v>Kushki Colombia S.a.s</v>
          </cell>
          <cell r="C169" t="str">
            <v>Bogota D.C.</v>
          </cell>
          <cell r="D169" t="str">
            <v>CL 80 11 42 OFI 502</v>
          </cell>
        </row>
        <row r="170">
          <cell r="A170">
            <v>4191854</v>
          </cell>
          <cell r="B170" t="str">
            <v>CAMARGO CAMARGO VICTOR MANUEL</v>
          </cell>
          <cell r="C170" t="str">
            <v>Paipa</v>
          </cell>
          <cell r="D170" t="str">
            <v>CARRERA 13 N 24B-50</v>
          </cell>
          <cell r="E170">
            <v>3118751312</v>
          </cell>
          <cell r="F170" t="str">
            <v>victorcamargo565@gmail.com</v>
          </cell>
        </row>
        <row r="171">
          <cell r="A171">
            <v>35515181</v>
          </cell>
          <cell r="B171" t="str">
            <v>EL DESVARE DEL TRANSPORTADOR</v>
          </cell>
          <cell r="C171" t="str">
            <v>Bogota D.C.</v>
          </cell>
          <cell r="D171" t="str">
            <v>CARRRERA 1 N 11-12</v>
          </cell>
          <cell r="F171" t="str">
            <v>eldesvaredeltransportador@gmail.com</v>
          </cell>
        </row>
        <row r="172">
          <cell r="A172">
            <v>1053609984</v>
          </cell>
          <cell r="B172" t="str">
            <v>MARTINEZ GUEVARA LINA ALEJANDRA</v>
          </cell>
          <cell r="C172" t="str">
            <v>Paipa</v>
          </cell>
          <cell r="D172" t="str">
            <v>CALLE 25 N 15-116</v>
          </cell>
          <cell r="F172" t="str">
            <v>linamar_4@hotmail.com</v>
          </cell>
        </row>
        <row r="173">
          <cell r="A173">
            <v>80816914</v>
          </cell>
          <cell r="B173" t="str">
            <v>OSCAR OSMA</v>
          </cell>
          <cell r="C173" t="str">
            <v>Paipa</v>
          </cell>
          <cell r="D173" t="str">
            <v>CARRERA 24 N 20A 41</v>
          </cell>
          <cell r="E173">
            <v>3142376399</v>
          </cell>
        </row>
        <row r="174">
          <cell r="A174">
            <v>800214589</v>
          </cell>
          <cell r="B174" t="str">
            <v>AGROINDUSTRIALES CANAVERALEJO SAS</v>
          </cell>
          <cell r="C174" t="str">
            <v>Cali</v>
          </cell>
          <cell r="D174" t="str">
            <v>CL 13A 100 35 OF  209</v>
          </cell>
          <cell r="F174" t="str">
            <v>mercadeo@hotmail.com.co</v>
          </cell>
        </row>
        <row r="175">
          <cell r="A175">
            <v>900329399</v>
          </cell>
          <cell r="B175" t="str">
            <v>ALEMAUTOS S.A</v>
          </cell>
          <cell r="C175" t="str">
            <v>Medellín</v>
          </cell>
          <cell r="D175" t="str">
            <v>CALLE 10 N 50-243</v>
          </cell>
          <cell r="F175" t="str">
            <v>larcos@hotmail.com.co</v>
          </cell>
        </row>
        <row r="176">
          <cell r="A176">
            <v>74360231</v>
          </cell>
          <cell r="B176" t="str">
            <v>SANCHEZ SANCHEZ NELSON</v>
          </cell>
          <cell r="C176" t="str">
            <v>Paipa</v>
          </cell>
          <cell r="D176" t="str">
            <v>AVDA LIBERTADORES</v>
          </cell>
          <cell r="E176">
            <v>3114528262</v>
          </cell>
          <cell r="F176" t="str">
            <v>sancheznls1980@gmail.com</v>
          </cell>
        </row>
        <row r="177">
          <cell r="A177">
            <v>1127337261</v>
          </cell>
          <cell r="B177" t="str">
            <v>JAIMES PALACIOS EMILY JOHANNA</v>
          </cell>
          <cell r="C177" t="str">
            <v>Duitama</v>
          </cell>
          <cell r="D177" t="str">
            <v>CARRERA 34 No 19-122</v>
          </cell>
          <cell r="E177">
            <v>3133640159</v>
          </cell>
          <cell r="F177" t="str">
            <v>emyjai_24@hotmail.com</v>
          </cell>
        </row>
        <row r="178">
          <cell r="A178">
            <v>900667590</v>
          </cell>
          <cell r="B178" t="str">
            <v>ISA INTERCOLOMBIA SA</v>
          </cell>
          <cell r="C178" t="str">
            <v>Bogota D.C.</v>
          </cell>
          <cell r="D178" t="str">
            <v>CALLE 200 CARRERA 8</v>
          </cell>
          <cell r="F178" t="str">
            <v>helmerleon33@gmail.com</v>
          </cell>
        </row>
        <row r="179">
          <cell r="A179">
            <v>901443117</v>
          </cell>
          <cell r="B179" t="str">
            <v>ALTA CONSTRUCTORES SAS</v>
          </cell>
          <cell r="C179" t="str">
            <v>Paipa</v>
          </cell>
          <cell r="D179" t="str">
            <v>CARRERA 24 N 10-462</v>
          </cell>
          <cell r="E179">
            <v>3124489374</v>
          </cell>
          <cell r="F179" t="str">
            <v>altaconstructoressas@gmail.com</v>
          </cell>
        </row>
        <row r="180">
          <cell r="A180">
            <v>822007117</v>
          </cell>
          <cell r="B180" t="str">
            <v>DISTRIBUCIONES LA NIEVE LTDA</v>
          </cell>
          <cell r="C180" t="str">
            <v>Villavicencio</v>
          </cell>
          <cell r="D180" t="str">
            <v>CARRERA 22 N 5B 114</v>
          </cell>
          <cell r="E180">
            <v>3102315242</v>
          </cell>
          <cell r="F180" t="str">
            <v>jaime_pico@hotmail.com</v>
          </cell>
        </row>
        <row r="181">
          <cell r="A181">
            <v>19191094</v>
          </cell>
          <cell r="B181" t="str">
            <v>PULGARIN GUZMAN MISAEL</v>
          </cell>
          <cell r="C181" t="str">
            <v>Paipa</v>
          </cell>
          <cell r="D181" t="str">
            <v>CARRERA 19 No. 26 - 45</v>
          </cell>
          <cell r="E181">
            <v>3108678088</v>
          </cell>
          <cell r="F181" t="str">
            <v>turistica@outlook.com</v>
          </cell>
        </row>
        <row r="182">
          <cell r="A182">
            <v>1053607272</v>
          </cell>
          <cell r="B182" t="str">
            <v>RODRIGUEZ JIMENEZ VIVIANA MARCELA</v>
          </cell>
          <cell r="C182" t="str">
            <v>Paipa</v>
          </cell>
          <cell r="D182" t="str">
            <v>CL 27 21 51</v>
          </cell>
          <cell r="F182" t="str">
            <v>VIVI.MARCELA.468@HOTMAIL.COM</v>
          </cell>
        </row>
        <row r="183">
          <cell r="A183">
            <v>1053607272</v>
          </cell>
          <cell r="B183" t="str">
            <v>RODRIGUEZ JIMENEZ VIVIANA MARCELA</v>
          </cell>
          <cell r="C183" t="str">
            <v>Paipa</v>
          </cell>
          <cell r="D183" t="str">
            <v>CALLE 27 No. 21 - 51</v>
          </cell>
          <cell r="E183">
            <v>3124683415</v>
          </cell>
          <cell r="F183" t="str">
            <v>VIVI.MARCELA.468@HOTMAIL.COM</v>
          </cell>
        </row>
        <row r="184">
          <cell r="A184">
            <v>79651146</v>
          </cell>
          <cell r="B184" t="str">
            <v>GOMEZ SANCHEZ NORBERTO</v>
          </cell>
          <cell r="C184" t="str">
            <v>Duitama</v>
          </cell>
          <cell r="D184" t="str">
            <v>KM 5 VIA PAIPA DUITAMA VEREDA SAN LORENZO DE ABAJO</v>
          </cell>
          <cell r="E184">
            <v>3213436939</v>
          </cell>
          <cell r="F184" t="str">
            <v>norbertogomez880@hotmail.com</v>
          </cell>
        </row>
        <row r="185">
          <cell r="A185">
            <v>900491537</v>
          </cell>
          <cell r="B185" t="str">
            <v>ARQUITECTURA LOTUS SAS</v>
          </cell>
          <cell r="C185" t="str">
            <v>Paipa</v>
          </cell>
          <cell r="D185" t="str">
            <v>CALLE 25 A 18 CA 2</v>
          </cell>
          <cell r="E185">
            <v>3203446759</v>
          </cell>
          <cell r="F185" t="str">
            <v>arquitecturalotus@gmail.com</v>
          </cell>
        </row>
        <row r="186">
          <cell r="A186">
            <v>1053606004</v>
          </cell>
          <cell r="B186" t="str">
            <v>PINTO VARGAS ANGELA MARIA</v>
          </cell>
          <cell r="C186" t="str">
            <v>Paipa</v>
          </cell>
          <cell r="D186" t="str">
            <v>CARRERA 19 No 26-70</v>
          </cell>
          <cell r="E186">
            <v>3132000490</v>
          </cell>
          <cell r="F186" t="str">
            <v>anguie1507@hotmail.com</v>
          </cell>
        </row>
        <row r="187">
          <cell r="A187">
            <v>860009174</v>
          </cell>
          <cell r="B187" t="str">
            <v>SEGUROS DE VIDA DEL ESTADO S.A.</v>
          </cell>
          <cell r="C187" t="str">
            <v>Bogota D.C.</v>
          </cell>
          <cell r="D187" t="str">
            <v>CRA 11 90 20</v>
          </cell>
        </row>
        <row r="188">
          <cell r="A188">
            <v>901138291</v>
          </cell>
          <cell r="B188" t="str">
            <v>EDS ESTACION LA TURISTICA DE PAIPA SAS</v>
          </cell>
          <cell r="C188" t="str">
            <v>Paipa</v>
          </cell>
          <cell r="D188" t="str">
            <v>Carrera 19 No-26-45</v>
          </cell>
          <cell r="E188">
            <v>3108678088</v>
          </cell>
          <cell r="F188" t="str">
            <v>turistica@outlook.com</v>
          </cell>
        </row>
        <row r="189">
          <cell r="A189">
            <v>830095213</v>
          </cell>
          <cell r="B189" t="str">
            <v>ORGANIZACIÓN TERPEL S.A.</v>
          </cell>
          <cell r="C189" t="str">
            <v>Bogota D.C.</v>
          </cell>
          <cell r="D189" t="str">
            <v>CARRERA 7 75 26</v>
          </cell>
          <cell r="F189" t="str">
            <v>felectronicarsab@terpel.com</v>
          </cell>
        </row>
        <row r="190">
          <cell r="A190">
            <v>222222222222</v>
          </cell>
          <cell r="B190" t="str">
            <v>CLIENTES MENORES</v>
          </cell>
          <cell r="C190" t="str">
            <v>Paipa</v>
          </cell>
          <cell r="D190" t="str">
            <v>PAIPA</v>
          </cell>
          <cell r="F190" t="str">
            <v>turistica@outlook.com</v>
          </cell>
        </row>
        <row r="191">
          <cell r="A191">
            <v>74358712</v>
          </cell>
          <cell r="B191" t="str">
            <v>miguel hurtado</v>
          </cell>
          <cell r="C191" t="str">
            <v>Paipa</v>
          </cell>
          <cell r="D191" t="str">
            <v>barrio la estacion casa 4 manzana p</v>
          </cell>
          <cell r="E191">
            <v>3125955309</v>
          </cell>
        </row>
        <row r="192">
          <cell r="A192">
            <v>7173897</v>
          </cell>
          <cell r="B192" t="str">
            <v>GARAVITO CORONADO ROYMAN ANDRE</v>
          </cell>
          <cell r="C192" t="str">
            <v>Paipa</v>
          </cell>
          <cell r="D192" t="str">
            <v>KM 27 VIA TUNJA - PAIPA</v>
          </cell>
          <cell r="E192">
            <v>3208529250</v>
          </cell>
          <cell r="F192" t="str">
            <v>garavitoroyman@yahoo.es</v>
          </cell>
        </row>
        <row r="193">
          <cell r="A193">
            <v>19498321</v>
          </cell>
          <cell r="B193" t="str">
            <v>DIAZ LUIS FERNANDO</v>
          </cell>
          <cell r="C193" t="str">
            <v>Paipa</v>
          </cell>
          <cell r="D193" t="str">
            <v>TEJAR</v>
          </cell>
          <cell r="E193">
            <v>3114704194</v>
          </cell>
        </row>
        <row r="194">
          <cell r="A194">
            <v>19318882</v>
          </cell>
          <cell r="B194" t="str">
            <v>MARTINEZ CAMARGO JORGE ELIECER</v>
          </cell>
          <cell r="C194" t="str">
            <v>Paipa</v>
          </cell>
          <cell r="D194" t="str">
            <v>CALLE 20 25-31</v>
          </cell>
          <cell r="E194">
            <v>7850137</v>
          </cell>
          <cell r="F194" t="str">
            <v>jorgemartinez@hotmail.com</v>
          </cell>
        </row>
        <row r="195">
          <cell r="A195">
            <v>891801101</v>
          </cell>
          <cell r="B195" t="str">
            <v>UNIVERSIDAD DE BOYACA</v>
          </cell>
          <cell r="C195" t="str">
            <v>Tunja</v>
          </cell>
          <cell r="D195" t="str">
            <v>CARRERA 2 ESTE 64-169</v>
          </cell>
          <cell r="E195">
            <v>3204258352</v>
          </cell>
          <cell r="F195" t="str">
            <v>anncamargo@uniboyaca.edu.co</v>
          </cell>
        </row>
        <row r="196">
          <cell r="A196">
            <v>80165784</v>
          </cell>
          <cell r="B196" t="str">
            <v>EDGAR GALVIS HERNANDEZ</v>
          </cell>
          <cell r="C196" t="str">
            <v>Duitama</v>
          </cell>
          <cell r="D196" t="str">
            <v>CARRERA 327A 14-37</v>
          </cell>
        </row>
        <row r="197">
          <cell r="A197">
            <v>1057596075</v>
          </cell>
          <cell r="B197" t="str">
            <v>DANIEL RICARDO GUTIERREZ TEJEDOR</v>
          </cell>
          <cell r="C197" t="str">
            <v>Duitama</v>
          </cell>
          <cell r="D197" t="str">
            <v>CARRERA 25-45-96</v>
          </cell>
        </row>
        <row r="198">
          <cell r="A198">
            <v>900450225</v>
          </cell>
          <cell r="B198" t="str">
            <v>MINERCONDOR SAS</v>
          </cell>
          <cell r="C198" t="str">
            <v>Sogamoso</v>
          </cell>
          <cell r="D198" t="str">
            <v>TV 27 30 50</v>
          </cell>
          <cell r="F198" t="str">
            <v>minercondorsas@yahoo.es</v>
          </cell>
        </row>
        <row r="199">
          <cell r="A199">
            <v>860001778</v>
          </cell>
          <cell r="B199" t="str">
            <v>INDUSTRIAS IVOR SA CASA INGLESA</v>
          </cell>
          <cell r="C199" t="str">
            <v>Bogota D.C.</v>
          </cell>
          <cell r="D199" t="str">
            <v>CARRERA 126 N 17-50</v>
          </cell>
          <cell r="E199">
            <v>3102217021</v>
          </cell>
          <cell r="F199" t="str">
            <v>plantas3@casainglesa.co</v>
          </cell>
        </row>
        <row r="200">
          <cell r="A200">
            <v>811009579</v>
          </cell>
          <cell r="B200" t="str">
            <v>CONVIAS SAS</v>
          </cell>
          <cell r="C200" t="str">
            <v>Envigado</v>
          </cell>
          <cell r="D200" t="str">
            <v>TV 31 SUR32B-20</v>
          </cell>
          <cell r="F200" t="str">
            <v>convias.saspaipa@gmail.com</v>
          </cell>
        </row>
        <row r="201">
          <cell r="A201">
            <v>46683312</v>
          </cell>
          <cell r="B201" t="str">
            <v>CAROLINA GARZON</v>
          </cell>
          <cell r="C201" t="str">
            <v>Paipa</v>
          </cell>
          <cell r="D201" t="str">
            <v>CALLE 25 N 19-86</v>
          </cell>
        </row>
        <row r="202">
          <cell r="A202">
            <v>46450687</v>
          </cell>
          <cell r="B202" t="str">
            <v>EDNA MARGARITA CEPEDA RINCON</v>
          </cell>
          <cell r="C202" t="str">
            <v>Paipa</v>
          </cell>
          <cell r="D202" t="str">
            <v>CARRERA 19 27-33</v>
          </cell>
          <cell r="E202">
            <v>3138549153</v>
          </cell>
          <cell r="F202" t="str">
            <v>facturastarcolors@gmail.com</v>
          </cell>
        </row>
        <row r="203">
          <cell r="A203">
            <v>900831284</v>
          </cell>
          <cell r="B203" t="str">
            <v>CONSTRUCCIONES Y REDES ELECTRICAS LG SAS</v>
          </cell>
          <cell r="C203" t="str">
            <v>Paipa</v>
          </cell>
          <cell r="D203" t="str">
            <v>CARRERA 22 N 25-61 OFI 205</v>
          </cell>
          <cell r="F203" t="str">
            <v>construccionesyredeslg@gmail.com</v>
          </cell>
        </row>
        <row r="204">
          <cell r="A204">
            <v>820000045</v>
          </cell>
          <cell r="B204" t="str">
            <v>SERVIAGRO FINCA SAS</v>
          </cell>
          <cell r="C204" t="str">
            <v>Chiquinquirá</v>
          </cell>
          <cell r="D204" t="str">
            <v>CALLE 23 N 9-16</v>
          </cell>
          <cell r="F204" t="str">
            <v>contabilidad@serviagrofinca.com</v>
          </cell>
        </row>
        <row r="205">
          <cell r="A205">
            <v>51577739</v>
          </cell>
          <cell r="B205" t="str">
            <v>AMAYA AMAYA BLANCA LEONOR</v>
          </cell>
          <cell r="C205" t="str">
            <v>Duitama</v>
          </cell>
          <cell r="D205" t="str">
            <v>CARRERA 16 No 9-22</v>
          </cell>
          <cell r="F205" t="str">
            <v>nomencla51@gmail.com</v>
          </cell>
        </row>
        <row r="206">
          <cell r="A206">
            <v>79862380</v>
          </cell>
          <cell r="B206" t="str">
            <v>ACOSTA SANTANA FREDY ALEXANDER</v>
          </cell>
          <cell r="C206" t="str">
            <v>Bogota D.C.</v>
          </cell>
          <cell r="D206" t="str">
            <v>CALLE 65 44 APT 408</v>
          </cell>
          <cell r="F206" t="str">
            <v>faasantana@hotmail.com</v>
          </cell>
        </row>
        <row r="207">
          <cell r="A207">
            <v>900515759</v>
          </cell>
          <cell r="B207" t="str">
            <v>CREZCAMOS COMPAÑÍA DE FINACIAMIENTO</v>
          </cell>
          <cell r="C207" t="str">
            <v>Bucaramanga</v>
          </cell>
          <cell r="D207" t="str">
            <v>CARRERA 23 N 28-27</v>
          </cell>
          <cell r="F207" t="str">
            <v>felipe.mejia@crezcamos.com</v>
          </cell>
        </row>
        <row r="208">
          <cell r="A208">
            <v>890900943</v>
          </cell>
          <cell r="B208" t="str">
            <v>COLOMBIANA DE COMERCIO SA  ALKOSTO EDEN</v>
          </cell>
          <cell r="C208" t="str">
            <v>Bogota D.C.</v>
          </cell>
          <cell r="D208" t="str">
            <v>AV BOYACA 15-98 LOC 116</v>
          </cell>
          <cell r="F208" t="str">
            <v>gomez@alkosto.com.co</v>
          </cell>
        </row>
        <row r="209">
          <cell r="A209">
            <v>900620696</v>
          </cell>
          <cell r="B209" t="str">
            <v>INSTITUTO COLOMBIANO DE CERTIFICACION SAS</v>
          </cell>
          <cell r="C209" t="str">
            <v>Bogota D.C.</v>
          </cell>
          <cell r="D209" t="str">
            <v>AVENIDA DE LAS AMERICAS 28-90</v>
          </cell>
          <cell r="E209">
            <v>3225260666</v>
          </cell>
          <cell r="F209" t="str">
            <v>instcolombianodecertificacion@gmail.com</v>
          </cell>
        </row>
        <row r="210">
          <cell r="A210">
            <v>91103459</v>
          </cell>
          <cell r="B210" t="str">
            <v>CALA MORENO JOSE AGUSTIN</v>
          </cell>
          <cell r="C210" t="str">
            <v>Duitama</v>
          </cell>
          <cell r="D210" t="str">
            <v>CALLE 12 N 15-67</v>
          </cell>
          <cell r="E210">
            <v>3174012390</v>
          </cell>
          <cell r="F210" t="str">
            <v>poelec1567@hotmail.com</v>
          </cell>
        </row>
        <row r="211">
          <cell r="A211">
            <v>900655088</v>
          </cell>
          <cell r="B211" t="str">
            <v>COEMAGRO SOCIEDAD POR ACCIONES SIMPLIFICADA</v>
          </cell>
          <cell r="C211" t="str">
            <v>Paipa</v>
          </cell>
          <cell r="D211" t="str">
            <v>AVENIDA LIBERTADORES 31-50</v>
          </cell>
          <cell r="E211">
            <v>3133746400</v>
          </cell>
          <cell r="F211" t="str">
            <v>coemagrosas@gmail.com</v>
          </cell>
        </row>
        <row r="212">
          <cell r="A212">
            <v>74373316</v>
          </cell>
          <cell r="B212" t="str">
            <v>MEDINA JUAN M MANUEL</v>
          </cell>
          <cell r="C212" t="str">
            <v>Duitama</v>
          </cell>
          <cell r="D212" t="str">
            <v>CARRERA 17 N 10-123</v>
          </cell>
          <cell r="E212">
            <v>3112789647</v>
          </cell>
          <cell r="F212" t="str">
            <v>artedigital.publi@hotmail.com</v>
          </cell>
        </row>
        <row r="213">
          <cell r="A213">
            <v>1053609594</v>
          </cell>
          <cell r="B213" t="str">
            <v>SANCHEZ MOLANO YESSICA ALEJANDRA</v>
          </cell>
          <cell r="C213" t="str">
            <v>Paipa</v>
          </cell>
          <cell r="D213" t="str">
            <v>CALLE 25 NO 20-77</v>
          </cell>
          <cell r="E213">
            <v>3208217966</v>
          </cell>
          <cell r="F213" t="str">
            <v>ya.sm92@hotmail.com</v>
          </cell>
        </row>
        <row r="214">
          <cell r="A214">
            <v>891800045</v>
          </cell>
          <cell r="B214" t="str">
            <v>COOPERATIVA DE TRANSPORTE FLOTA NORTE  LTDA</v>
          </cell>
          <cell r="C214" t="str">
            <v>Sogamoso</v>
          </cell>
          <cell r="D214" t="str">
            <v>CALLE 9 NO 20-8</v>
          </cell>
          <cell r="E214">
            <v>3102983812</v>
          </cell>
          <cell r="F214" t="str">
            <v>viajero@coflonorte.com</v>
          </cell>
        </row>
        <row r="215">
          <cell r="A215">
            <v>74372512</v>
          </cell>
          <cell r="B215" t="str">
            <v>CHAPARRO CAMARGO JOSE MARTIN</v>
          </cell>
          <cell r="C215" t="str">
            <v>Paipa</v>
          </cell>
          <cell r="D215" t="str">
            <v>CALLE 30 N 18-10</v>
          </cell>
          <cell r="F215" t="str">
            <v>josemar907@hotmail.com</v>
          </cell>
        </row>
        <row r="216">
          <cell r="A216">
            <v>1053611561</v>
          </cell>
          <cell r="B216" t="str">
            <v>GUEVARA DIANA FERNANDA MARTINEZ</v>
          </cell>
          <cell r="C216" t="str">
            <v>Paipa</v>
          </cell>
          <cell r="D216" t="str">
            <v>CALLE 33N 14-75</v>
          </cell>
          <cell r="F216" t="str">
            <v>turistica@outlook.com</v>
          </cell>
        </row>
        <row r="217">
          <cell r="A217">
            <v>800185306</v>
          </cell>
          <cell r="B217" t="str">
            <v>COLVANDES SAS</v>
          </cell>
          <cell r="C217" t="str">
            <v>Bogota D.C.</v>
          </cell>
          <cell r="D217" t="str">
            <v>CARRERA 88 N 17B 10</v>
          </cell>
        </row>
        <row r="218">
          <cell r="A218">
            <v>860004922</v>
          </cell>
          <cell r="B218" t="str">
            <v>PRODUCTOS NATURALES DE LA SABANA SAS</v>
          </cell>
          <cell r="C218" t="str">
            <v>Cajicá</v>
          </cell>
          <cell r="D218" t="str">
            <v>KILOMETRO 5 VIA CAJICA TABIO</v>
          </cell>
          <cell r="F218" t="str">
            <v>hmduartec@gmail.com.co</v>
          </cell>
        </row>
        <row r="219">
          <cell r="A219">
            <v>74372236</v>
          </cell>
          <cell r="B219" t="str">
            <v>AGRICOLA PUNTA LARGA</v>
          </cell>
          <cell r="C219" t="str">
            <v>Nobsa</v>
          </cell>
          <cell r="D219" t="str">
            <v>KM 6 VIA DUITAMA</v>
          </cell>
          <cell r="F219" t="str">
            <v>agricolapuntalarga@yahoo.es</v>
          </cell>
        </row>
        <row r="220">
          <cell r="A220">
            <v>900656622</v>
          </cell>
          <cell r="B220" t="str">
            <v>ISA S.A.S INGENIERIA Y SERVICIO DE AUTOMATIZACION ELECTRICA S.A.S</v>
          </cell>
          <cell r="C220" t="str">
            <v>Bucaramanga</v>
          </cell>
          <cell r="D220" t="str">
            <v>L 34 36 44 BRR MEJORAS PUBLICAS</v>
          </cell>
          <cell r="F220" t="str">
            <v>isa.sas@outlook.com</v>
          </cell>
        </row>
        <row r="221">
          <cell r="A221">
            <v>900233857</v>
          </cell>
          <cell r="B221" t="str">
            <v>VISION EXTERNA PROFESIONAL CONSULTRES LTDA</v>
          </cell>
          <cell r="C221" t="str">
            <v>Bogota D.C.</v>
          </cell>
          <cell r="D221" t="str">
            <v>CARRERA 67 42-61</v>
          </cell>
          <cell r="F221" t="str">
            <v>gerencia@vexproconsultores.com</v>
          </cell>
        </row>
        <row r="222">
          <cell r="A222">
            <v>74323710</v>
          </cell>
          <cell r="B222" t="str">
            <v>PULIDO RAMIREZ JOSE RICARDO</v>
          </cell>
          <cell r="C222" t="str">
            <v>Tunja</v>
          </cell>
          <cell r="D222" t="str">
            <v>CALLE 4A N 03-57</v>
          </cell>
          <cell r="F222" t="str">
            <v>josericardopulido@hotmail.com</v>
          </cell>
        </row>
        <row r="223">
          <cell r="A223">
            <v>74323945</v>
          </cell>
          <cell r="B223" t="str">
            <v>GIL VARGAS JAIME ENRIQUE</v>
          </cell>
          <cell r="C223" t="str">
            <v>Paipa</v>
          </cell>
          <cell r="D223" t="str">
            <v>VENTA DE LLANO</v>
          </cell>
          <cell r="F223" t="str">
            <v>jaimegil@hotmail.com</v>
          </cell>
        </row>
        <row r="224">
          <cell r="A224">
            <v>901300211</v>
          </cell>
          <cell r="B224" t="str">
            <v>INP INGENIEROS SAS</v>
          </cell>
          <cell r="C224" t="str">
            <v>Duitama</v>
          </cell>
          <cell r="D224" t="str">
            <v>AVENDA LAS AMERICAS 45-20</v>
          </cell>
          <cell r="F224" t="str">
            <v>antoliano.lopez@inproyectos.com</v>
          </cell>
        </row>
        <row r="225">
          <cell r="A225">
            <v>900279759</v>
          </cell>
          <cell r="B225" t="str">
            <v>B&amp;A SAS</v>
          </cell>
          <cell r="C225" t="str">
            <v>Bogota D.C.</v>
          </cell>
          <cell r="D225" t="str">
            <v>CARRERA 50 N 100-62</v>
          </cell>
          <cell r="F225" t="str">
            <v>accouting@constructora.com</v>
          </cell>
        </row>
        <row r="226">
          <cell r="A226">
            <v>52115476</v>
          </cell>
          <cell r="B226" t="str">
            <v>GALINDO SAAVEDRA MARIA HERLY</v>
          </cell>
          <cell r="C226" t="str">
            <v>Acacías</v>
          </cell>
          <cell r="D226" t="str">
            <v>VEREDA LA UNION</v>
          </cell>
          <cell r="F226" t="str">
            <v>galindosaavedra.maria@gmail.com</v>
          </cell>
        </row>
        <row r="227">
          <cell r="A227">
            <v>74130334</v>
          </cell>
          <cell r="B227" t="str">
            <v>CIFUENTES JUAN MIGUEL</v>
          </cell>
          <cell r="C227" t="str">
            <v>Paipa</v>
          </cell>
          <cell r="D227" t="str">
            <v>CL 26 19A 95</v>
          </cell>
          <cell r="F227" t="str">
            <v>djjuancho88@gmail.com</v>
          </cell>
        </row>
        <row r="228">
          <cell r="A228">
            <v>900505216</v>
          </cell>
          <cell r="B228" t="str">
            <v>ALCA INGENIERIA Y DESARROLLO SAS</v>
          </cell>
          <cell r="C228" t="str">
            <v>Tunja</v>
          </cell>
          <cell r="D228" t="str">
            <v>CL 48 A 3 64 BRR LAS QUINTAS</v>
          </cell>
          <cell r="E228">
            <v>3133146502</v>
          </cell>
          <cell r="F228" t="str">
            <v>alcaingesas@gmail.com</v>
          </cell>
        </row>
        <row r="229">
          <cell r="A229">
            <v>800120466</v>
          </cell>
          <cell r="B229" t="str">
            <v>SURESCO LIMITADA</v>
          </cell>
          <cell r="C229" t="str">
            <v>Funza</v>
          </cell>
          <cell r="D229" t="str">
            <v>VIA SIBERIA - FUNZA 1 KM VIA LA ARGENTINA COM INDUSTRIAL EL DORADO BG 76</v>
          </cell>
          <cell r="F229" t="str">
            <v>surescoltda@hotmail.com</v>
          </cell>
        </row>
        <row r="230">
          <cell r="A230">
            <v>901194845</v>
          </cell>
          <cell r="B230" t="str">
            <v>ALCHEMY VENTURES AND DEVELOPMENTS SAS</v>
          </cell>
          <cell r="C230" t="str">
            <v>Bogota D.C.</v>
          </cell>
          <cell r="D230" t="str">
            <v>CALLE 14C 123-42</v>
          </cell>
          <cell r="F230" t="str">
            <v>facturacion@alchemyventures.co</v>
          </cell>
        </row>
        <row r="231">
          <cell r="A231">
            <v>9513337</v>
          </cell>
          <cell r="B231" t="str">
            <v>HOTEL CASA BLANCA</v>
          </cell>
          <cell r="C231" t="str">
            <v>Bogota D.C.</v>
          </cell>
          <cell r="D231" t="str">
            <v>CALLE 25-10-54</v>
          </cell>
          <cell r="E231">
            <v>7850215</v>
          </cell>
          <cell r="F231" t="str">
            <v>hotelcasablanca1987@gmail.com</v>
          </cell>
        </row>
        <row r="232">
          <cell r="A232">
            <v>830095379</v>
          </cell>
          <cell r="B232" t="str">
            <v>TRANSPORTES LA CANDELARIA S.A.S</v>
          </cell>
          <cell r="C232" t="str">
            <v>Bogota D.C.</v>
          </cell>
          <cell r="D232" t="str">
            <v>CARRERA 102C 139,13</v>
          </cell>
          <cell r="F232" t="str">
            <v>alirodcas@hotmail.com</v>
          </cell>
        </row>
        <row r="233">
          <cell r="A233">
            <v>900625583</v>
          </cell>
          <cell r="B233" t="str">
            <v>BOULEVARD OFFICE S A S</v>
          </cell>
          <cell r="C233" t="str">
            <v>Bogota D.C.</v>
          </cell>
          <cell r="D233" t="str">
            <v>CL 127 D 58 40 301</v>
          </cell>
          <cell r="F233" t="str">
            <v>gerencia.boulevardoffice@gmail.com</v>
          </cell>
        </row>
        <row r="234">
          <cell r="A234">
            <v>800201166</v>
          </cell>
          <cell r="B234" t="str">
            <v>VIAJES NACIONALES DE TURISMO SAS</v>
          </cell>
          <cell r="C234" t="str">
            <v>Bogota D.C.</v>
          </cell>
          <cell r="D234" t="str">
            <v>CARRERA 68 43-67</v>
          </cell>
          <cell r="F234" t="str">
            <v>facturaelectronica@vinaltur.com</v>
          </cell>
        </row>
        <row r="235">
          <cell r="A235">
            <v>7221554</v>
          </cell>
          <cell r="B235" t="str">
            <v>COLMENARES GUTIERREZ LUIS HERNAN</v>
          </cell>
          <cell r="C235" t="str">
            <v>Paipa</v>
          </cell>
          <cell r="D235" t="str">
            <v>CALLE 29A 14-49</v>
          </cell>
          <cell r="E235">
            <v>3132709094</v>
          </cell>
          <cell r="F235" t="str">
            <v>menarillos1@gmail.com</v>
          </cell>
        </row>
        <row r="236">
          <cell r="A236">
            <v>1052413460</v>
          </cell>
          <cell r="B236" t="str">
            <v>VALERO MARTINEZ JUAN DIEGO</v>
          </cell>
          <cell r="C236" t="str">
            <v>Duitama</v>
          </cell>
          <cell r="D236" t="str">
            <v>Calle 8 23 65</v>
          </cell>
          <cell r="F236" t="str">
            <v>teamassasinrock@gmail.com</v>
          </cell>
        </row>
        <row r="237">
          <cell r="A237">
            <v>900319372</v>
          </cell>
          <cell r="B237" t="str">
            <v>RED CARNICA SAS</v>
          </cell>
          <cell r="C237" t="str">
            <v>Córdoba</v>
          </cell>
          <cell r="D237" t="str">
            <v>KM 1 VDA EL PALMITO</v>
          </cell>
          <cell r="F237" t="str">
            <v>duartejuan789@gmail.com</v>
          </cell>
        </row>
        <row r="238">
          <cell r="A238">
            <v>830026741</v>
          </cell>
          <cell r="B238" t="str">
            <v>CONSORCIO DEVISAB</v>
          </cell>
          <cell r="C238" t="str">
            <v>San Gil</v>
          </cell>
          <cell r="D238" t="str">
            <v>VIA DE LA SABANA</v>
          </cell>
          <cell r="F238" t="str">
            <v>consorciodevisab@gmail.com</v>
          </cell>
        </row>
        <row r="239">
          <cell r="A239">
            <v>23854962</v>
          </cell>
          <cell r="B239" t="str">
            <v>ROSAS RODRIGUEZ LIGIA</v>
          </cell>
          <cell r="C239" t="str">
            <v>Duitama</v>
          </cell>
          <cell r="D239" t="str">
            <v>CARRERA 18 N 15-63</v>
          </cell>
          <cell r="F239" t="str">
            <v>ligiaro05@gmail.com</v>
          </cell>
        </row>
        <row r="240">
          <cell r="A240">
            <v>46452625</v>
          </cell>
          <cell r="B240" t="str">
            <v>REAL GOMEZ ANGELA CONSTANZA</v>
          </cell>
          <cell r="C240" t="str">
            <v>Paipa</v>
          </cell>
          <cell r="D240" t="str">
            <v>CARRERA 19 N23-33</v>
          </cell>
          <cell r="F240" t="str">
            <v>gelareal@hotmail.com</v>
          </cell>
        </row>
        <row r="241">
          <cell r="A241">
            <v>1007305615</v>
          </cell>
          <cell r="B241" t="str">
            <v>CANTOR LEON LAURA MARIANA</v>
          </cell>
          <cell r="C241" t="str">
            <v>Paipa</v>
          </cell>
          <cell r="D241" t="str">
            <v>CALLE 27 N 19-24</v>
          </cell>
          <cell r="E241">
            <v>3106416995</v>
          </cell>
          <cell r="F241" t="str">
            <v>marianaleonn00@gmail.com</v>
          </cell>
        </row>
        <row r="242">
          <cell r="A242">
            <v>1053605503</v>
          </cell>
          <cell r="B242" t="str">
            <v>FERREELECTRICOS J M</v>
          </cell>
          <cell r="C242" t="str">
            <v>Paipa</v>
          </cell>
          <cell r="D242" t="str">
            <v>CALLE 22 N 24-33</v>
          </cell>
          <cell r="F242" t="str">
            <v>ferreelectricosjmpaipa@gmail.com</v>
          </cell>
        </row>
        <row r="243">
          <cell r="A243">
            <v>900990334</v>
          </cell>
          <cell r="B243" t="str">
            <v>JAMES TOURS K</v>
          </cell>
          <cell r="C243" t="str">
            <v>Pereira</v>
          </cell>
          <cell r="D243" t="str">
            <v>MZ 15 CA 42</v>
          </cell>
          <cell r="F243" t="str">
            <v>csami_1037@hotmail.com</v>
          </cell>
        </row>
        <row r="244">
          <cell r="A244">
            <v>1192770009</v>
          </cell>
          <cell r="B244" t="str">
            <v>MUÑOS RIOS MARIA KAMILA</v>
          </cell>
          <cell r="C244" t="str">
            <v>Pereira</v>
          </cell>
          <cell r="D244" t="str">
            <v>BL 1 CA 15 CONJ LA ITALIA MERCASA</v>
          </cell>
          <cell r="F244" t="str">
            <v>cami_1037@hotmail.com</v>
          </cell>
        </row>
        <row r="245">
          <cell r="A245">
            <v>7227497</v>
          </cell>
          <cell r="B245" t="str">
            <v>ARAQUE DIAZ NELSON ERNESTO</v>
          </cell>
          <cell r="C245" t="str">
            <v>Duitama</v>
          </cell>
          <cell r="D245" t="str">
            <v>CARRERA 42 10 05</v>
          </cell>
          <cell r="F245" t="str">
            <v>percheron1971@hotmail.com</v>
          </cell>
        </row>
        <row r="246">
          <cell r="A246">
            <v>901297980</v>
          </cell>
          <cell r="B246" t="str">
            <v>IMPO FUERTS SAS</v>
          </cell>
          <cell r="C246" t="str">
            <v>Bogota D.C.</v>
          </cell>
          <cell r="D246" t="str">
            <v>CALLE 187 20 85</v>
          </cell>
          <cell r="F246" t="str">
            <v>contacto@impofuertes.com</v>
          </cell>
        </row>
        <row r="247">
          <cell r="A247">
            <v>900549951</v>
          </cell>
          <cell r="B247" t="str">
            <v>COMERCIALIZADORA HORTIPAIPA SAS</v>
          </cell>
          <cell r="C247" t="str">
            <v>Paipa</v>
          </cell>
          <cell r="D247" t="str">
            <v>CARRERA 24A N 30-06</v>
          </cell>
          <cell r="F247" t="str">
            <v>hortipaipa@hotmail.com</v>
          </cell>
        </row>
        <row r="248">
          <cell r="A248">
            <v>800153993</v>
          </cell>
          <cell r="B248" t="str">
            <v>COMCEL SA</v>
          </cell>
          <cell r="C248" t="str">
            <v>Bogota D.C.</v>
          </cell>
          <cell r="D248" t="str">
            <v>CARRERA 25 N 12-65</v>
          </cell>
          <cell r="F248" t="str">
            <v>afacturasclarocol@claro.com.co</v>
          </cell>
        </row>
        <row r="249">
          <cell r="A249">
            <v>46379925</v>
          </cell>
          <cell r="B249" t="str">
            <v>MONROY DIAZ DIANA CAROLINA</v>
          </cell>
          <cell r="C249" t="str">
            <v>Duitama</v>
          </cell>
          <cell r="D249" t="str">
            <v>CALLE 15 N 16 -24</v>
          </cell>
          <cell r="F249" t="str">
            <v>cealaperla@gmail.com</v>
          </cell>
        </row>
        <row r="250">
          <cell r="A250">
            <v>900291230</v>
          </cell>
          <cell r="B250" t="str">
            <v>CENTRO DE ATENCION REINA MARIA LTDA</v>
          </cell>
          <cell r="C250" t="str">
            <v>Duitama</v>
          </cell>
          <cell r="D250" t="str">
            <v>CALLE 16 N 18-44</v>
          </cell>
          <cell r="F250" t="str">
            <v>centrodeatencionreinamaria@gmail.com</v>
          </cell>
        </row>
        <row r="251">
          <cell r="A251">
            <v>901374673</v>
          </cell>
          <cell r="B251" t="str">
            <v>COMPAÑÍA INDUSTRIAL ANDINA</v>
          </cell>
          <cell r="C251" t="str">
            <v>Bogota D.C.</v>
          </cell>
          <cell r="D251" t="str">
            <v>CALLE 150A 95-30</v>
          </cell>
          <cell r="F251" t="str">
            <v>segio.pedraza@industrialandina.com</v>
          </cell>
        </row>
        <row r="252">
          <cell r="A252">
            <v>900756269</v>
          </cell>
          <cell r="B252" t="str">
            <v>SOLDATECH SAS</v>
          </cell>
          <cell r="C252" t="str">
            <v>Bogota D.C.</v>
          </cell>
          <cell r="D252" t="str">
            <v>CARRERA 53 14-59</v>
          </cell>
          <cell r="E252">
            <v>3212171772</v>
          </cell>
          <cell r="F252" t="str">
            <v>coordinador@grupotech.co</v>
          </cell>
        </row>
        <row r="253">
          <cell r="A253">
            <v>900826698</v>
          </cell>
          <cell r="B253" t="str">
            <v>SAN JOSE FLOWERS SAS</v>
          </cell>
          <cell r="C253" t="str">
            <v>Guasca</v>
          </cell>
          <cell r="D253" t="str">
            <v>VEREDA SAN JOSE FCA CASA QUEMADA</v>
          </cell>
          <cell r="F253" t="str">
            <v>sanjose201502@gmail.com</v>
          </cell>
        </row>
        <row r="254">
          <cell r="A254">
            <v>800164590</v>
          </cell>
          <cell r="B254" t="str">
            <v>CELTA SAS</v>
          </cell>
          <cell r="C254" t="str">
            <v>Barranquilla</v>
          </cell>
          <cell r="D254" t="str">
            <v>CARRERA 24 500</v>
          </cell>
          <cell r="E254">
            <v>3123320176</v>
          </cell>
          <cell r="F254" t="str">
            <v>luis.cortes@celta.com.co</v>
          </cell>
        </row>
        <row r="255">
          <cell r="A255">
            <v>1052020622</v>
          </cell>
          <cell r="B255" t="str">
            <v>VARGAS MANOSALVA MAYE LILIANA</v>
          </cell>
          <cell r="C255" t="str">
            <v>Sogamoso</v>
          </cell>
          <cell r="D255" t="str">
            <v>CLL 18 A 11 A 70</v>
          </cell>
          <cell r="E255">
            <v>3144438079</v>
          </cell>
          <cell r="F255" t="str">
            <v>contadormayevargas@gmail.com</v>
          </cell>
        </row>
        <row r="256">
          <cell r="A256">
            <v>900163094</v>
          </cell>
          <cell r="B256" t="str">
            <v>TECNOLOGIAS APLICADAS APLI-K E.U</v>
          </cell>
          <cell r="C256" t="str">
            <v>Cota</v>
          </cell>
          <cell r="D256" t="str">
            <v>VIS COTA CHIA KM 2</v>
          </cell>
          <cell r="F256" t="str">
            <v>info@apli-k.com</v>
          </cell>
        </row>
        <row r="257">
          <cell r="A257">
            <v>811031456</v>
          </cell>
          <cell r="B257" t="str">
            <v>SAFER AGROBIOLOGICOS S A S</v>
          </cell>
          <cell r="C257" t="str">
            <v>Medellín</v>
          </cell>
          <cell r="D257" t="str">
            <v>CARRERA 50C 10 199</v>
          </cell>
          <cell r="F257" t="str">
            <v>contabilida@safer.com.co</v>
          </cell>
        </row>
        <row r="258">
          <cell r="A258">
            <v>900490962</v>
          </cell>
          <cell r="B258" t="str">
            <v>COMPAÑÍA INTERNACIONAL DE AUTOPARTES SAS</v>
          </cell>
          <cell r="C258" t="str">
            <v>Bogota D.C.</v>
          </cell>
          <cell r="D258" t="str">
            <v>CALLE 65 2 5 33</v>
          </cell>
          <cell r="F258" t="str">
            <v>cia_autopartes@hotmail.com</v>
          </cell>
        </row>
        <row r="259">
          <cell r="A259">
            <v>46364188</v>
          </cell>
          <cell r="B259" t="str">
            <v>GUTIERREZ PATIÑO YANITH</v>
          </cell>
          <cell r="C259" t="str">
            <v>Paipa</v>
          </cell>
          <cell r="D259" t="str">
            <v>BARRIO EL BOSQUE</v>
          </cell>
          <cell r="F259" t="str">
            <v>yanithguit256@hotmail.com</v>
          </cell>
        </row>
        <row r="260">
          <cell r="A260">
            <v>23913485</v>
          </cell>
          <cell r="B260" t="str">
            <v>GALLO PEREZ MERLEI</v>
          </cell>
          <cell r="C260" t="str">
            <v>Paipa</v>
          </cell>
          <cell r="D260" t="str">
            <v>CARRERA 19 25-55</v>
          </cell>
          <cell r="F260" t="str">
            <v>house@hotmail.com</v>
          </cell>
        </row>
        <row r="261">
          <cell r="A261">
            <v>900375325</v>
          </cell>
          <cell r="B261" t="str">
            <v>TABASCO OC LLC SUUSAL DE COLOMBIA</v>
          </cell>
          <cell r="C261" t="str">
            <v>Bogota D.C.</v>
          </cell>
          <cell r="D261" t="str">
            <v>CALLE4 19 69F 45</v>
          </cell>
          <cell r="E261">
            <v>3204782855</v>
          </cell>
          <cell r="F261" t="str">
            <v>j.roaparra@tabascooc.com</v>
          </cell>
        </row>
        <row r="262">
          <cell r="A262">
            <v>43086396</v>
          </cell>
          <cell r="B262" t="str">
            <v>LILIANA MARIA GALLO BUILES</v>
          </cell>
          <cell r="C262" t="str">
            <v>Sabaneta</v>
          </cell>
          <cell r="D262" t="str">
            <v>CARRERA 46B 73 24</v>
          </cell>
          <cell r="F262" t="str">
            <v>limagabu@gmail.com</v>
          </cell>
        </row>
        <row r="263">
          <cell r="A263">
            <v>901527108</v>
          </cell>
          <cell r="B263" t="str">
            <v>G&amp;G MOTOS SAS</v>
          </cell>
          <cell r="C263" t="str">
            <v>Toca</v>
          </cell>
          <cell r="D263" t="str">
            <v>CALLE 6 9 46</v>
          </cell>
          <cell r="F263" t="str">
            <v>gilfonse24@gmail.com</v>
          </cell>
        </row>
        <row r="264">
          <cell r="A264">
            <v>901023297</v>
          </cell>
          <cell r="B264" t="str">
            <v>PRAC OBRAS DE INGENIERIA S.A.S</v>
          </cell>
          <cell r="C264" t="str">
            <v>Tunja</v>
          </cell>
          <cell r="D264" t="str">
            <v>CR 11 17 23</v>
          </cell>
          <cell r="F264" t="str">
            <v>contabilidad@ingenieriaprac.com.co</v>
          </cell>
        </row>
        <row r="265">
          <cell r="A265">
            <v>4190656</v>
          </cell>
          <cell r="B265" t="str">
            <v>RAMIREZ ESPITIA JOSE ANGEL</v>
          </cell>
          <cell r="C265" t="str">
            <v>Paipa</v>
          </cell>
          <cell r="D265" t="str">
            <v>VEREDA BOSIGAS</v>
          </cell>
          <cell r="F265" t="str">
            <v>comercial@aguanissi.com</v>
          </cell>
        </row>
        <row r="266">
          <cell r="A266">
            <v>1115911963</v>
          </cell>
          <cell r="B266" t="str">
            <v>PIRACON CELY EDWIN ALEXANDER</v>
          </cell>
          <cell r="C266" t="str">
            <v>Tauramena</v>
          </cell>
          <cell r="D266" t="str">
            <v>CALLE 20 15 34</v>
          </cell>
          <cell r="F266" t="str">
            <v>edwinpiracon17@hotmail.com</v>
          </cell>
        </row>
        <row r="267">
          <cell r="A267">
            <v>80470658</v>
          </cell>
          <cell r="B267" t="str">
            <v>CAMACHO BARRERA GERMAN RICARDO</v>
          </cell>
          <cell r="C267" t="str">
            <v>Paipa</v>
          </cell>
          <cell r="D267" t="str">
            <v>CALLE 26 18-07</v>
          </cell>
          <cell r="E267">
            <v>3138722011</v>
          </cell>
          <cell r="F267" t="str">
            <v>camacho.arquitectura@gmail.com</v>
          </cell>
        </row>
        <row r="268">
          <cell r="A268">
            <v>74324320</v>
          </cell>
          <cell r="B268" t="str">
            <v>VASQUEZ JOSE ANATOLIO</v>
          </cell>
          <cell r="C268" t="str">
            <v>Paipa</v>
          </cell>
          <cell r="D268" t="str">
            <v>KM 1/2 VIA TUNJA SATIVA</v>
          </cell>
          <cell r="F268" t="str">
            <v>jonatolio.vasquez@gmail.com</v>
          </cell>
        </row>
        <row r="269">
          <cell r="A269">
            <v>7213266</v>
          </cell>
          <cell r="B269" t="str">
            <v>SANDOVAL B LUIS JAIME</v>
          </cell>
          <cell r="C269" t="str">
            <v>Duitama</v>
          </cell>
          <cell r="D269" t="str">
            <v>CARRERA 19 N 13-51</v>
          </cell>
          <cell r="F269" t="str">
            <v>luissandoval25@hotmail.com</v>
          </cell>
        </row>
        <row r="270">
          <cell r="A270">
            <v>901189656</v>
          </cell>
          <cell r="B270" t="str">
            <v>NIS-NEGOCIOS INVERSIONES Y SERVICIOS SAS</v>
          </cell>
          <cell r="C270" t="str">
            <v>Paipa</v>
          </cell>
          <cell r="D270" t="str">
            <v>CRA 19 34A  73</v>
          </cell>
          <cell r="F270" t="str">
            <v>gerencia.nis@gmail.com</v>
          </cell>
        </row>
        <row r="271">
          <cell r="A271">
            <v>1053609886</v>
          </cell>
          <cell r="B271" t="str">
            <v>BONILLA HURTADO WILMER FABIAN</v>
          </cell>
          <cell r="C271" t="str">
            <v>Paipa</v>
          </cell>
          <cell r="D271" t="str">
            <v>CAÑÑE 23 17A 06</v>
          </cell>
          <cell r="F271" t="str">
            <v>w.fabianb31@gmail.com</v>
          </cell>
        </row>
        <row r="272">
          <cell r="A272">
            <v>800013834</v>
          </cell>
          <cell r="B272" t="str">
            <v>LABORATORIOS LA SANTE S.A</v>
          </cell>
          <cell r="C272" t="str">
            <v>Bogota D.C.</v>
          </cell>
          <cell r="D272" t="str">
            <v>CALLE 17 A 32 34</v>
          </cell>
          <cell r="F272" t="str">
            <v>impuestos@pharmetiquelabs.com</v>
          </cell>
        </row>
        <row r="273">
          <cell r="A273">
            <v>46683525</v>
          </cell>
          <cell r="B273" t="str">
            <v>GALAN DIAZ INGRIT MARGARITA</v>
          </cell>
          <cell r="C273" t="str">
            <v>Paipa</v>
          </cell>
          <cell r="D273" t="str">
            <v>BARRIO SAN MIGUEL</v>
          </cell>
          <cell r="F273" t="str">
            <v>galadel.85@gmail.com</v>
          </cell>
        </row>
        <row r="274">
          <cell r="A274">
            <v>7211545</v>
          </cell>
          <cell r="B274" t="str">
            <v>ANGARITA JOSE</v>
          </cell>
          <cell r="C274" t="str">
            <v>Duitama</v>
          </cell>
          <cell r="D274" t="str">
            <v>CARRERA 16 NB11 68</v>
          </cell>
          <cell r="F274" t="str">
            <v>josej25@gmail.cvom</v>
          </cell>
        </row>
        <row r="275">
          <cell r="A275">
            <v>74360360</v>
          </cell>
          <cell r="B275" t="str">
            <v>PATIÑO PACHECO HELVIS GABRIEL</v>
          </cell>
          <cell r="C275" t="str">
            <v>Paipa</v>
          </cell>
          <cell r="D275" t="str">
            <v>CARRERA 19 27-35</v>
          </cell>
          <cell r="F275" t="str">
            <v>helvis@hotmail.com</v>
          </cell>
        </row>
        <row r="276">
          <cell r="A276">
            <v>900935505</v>
          </cell>
          <cell r="B276" t="str">
            <v>ORGANIZACION JUAN PABLO S.A.S.</v>
          </cell>
          <cell r="C276" t="str">
            <v>Paipa</v>
          </cell>
          <cell r="D276" t="str">
            <v>CR 22 25 17</v>
          </cell>
          <cell r="F276" t="str">
            <v>fjuanpablo.remanso@gmail.com</v>
          </cell>
        </row>
        <row r="277">
          <cell r="A277">
            <v>900547364</v>
          </cell>
          <cell r="B277" t="str">
            <v>CALOXVET COLOMBIA S.A.S.</v>
          </cell>
          <cell r="C277" t="str">
            <v>Bogota D.C.</v>
          </cell>
          <cell r="D277" t="str">
            <v>CR 67 100 20 OF 403</v>
          </cell>
          <cell r="F277" t="str">
            <v>auxiliarcontable@calox.com</v>
          </cell>
        </row>
        <row r="278">
          <cell r="A278">
            <v>1053609703</v>
          </cell>
          <cell r="B278" t="str">
            <v>SALCEDO MESA HECTOR LEONARDO</v>
          </cell>
          <cell r="C278" t="str">
            <v>Paipa</v>
          </cell>
          <cell r="D278" t="str">
            <v>VDA LA ESPERANZA</v>
          </cell>
          <cell r="F278" t="str">
            <v>lmesa92@outlook.com</v>
          </cell>
        </row>
        <row r="279">
          <cell r="A279">
            <v>46680968</v>
          </cell>
          <cell r="B279" t="str">
            <v>GARZON CAMARGO CLAUDIA YANETH</v>
          </cell>
          <cell r="C279" t="str">
            <v>Paipa</v>
          </cell>
          <cell r="D279" t="str">
            <v>CL 26 21 39</v>
          </cell>
          <cell r="F279" t="str">
            <v>claudiagarzon25@hotmail.com</v>
          </cell>
        </row>
        <row r="280">
          <cell r="A280">
            <v>826000261</v>
          </cell>
          <cell r="B280" t="str">
            <v>SERVICIOS INTEGRALES DE REHABILITACION EN BOYACA LIMITADA SIREB LTDA</v>
          </cell>
          <cell r="C280" t="str">
            <v>Sogamoso</v>
          </cell>
          <cell r="D280" t="str">
            <v>CL 9 A 13 39</v>
          </cell>
          <cell r="F280" t="str">
            <v>facturacion@sirebltda.com.co</v>
          </cell>
        </row>
        <row r="281">
          <cell r="A281">
            <v>830053700</v>
          </cell>
          <cell r="B281" t="str">
            <v>PATRIMONIOS AUTONOMOS ADMINISTRADOS POR LA SOC FIDUCIARIA DAVIVIENDA</v>
          </cell>
          <cell r="C281" t="str">
            <v>Bogota D.C.</v>
          </cell>
          <cell r="D281" t="str">
            <v>AVENIDA EL DORADO 68 B 85 P 2</v>
          </cell>
          <cell r="F281" t="str">
            <v>turisica@outlook.com</v>
          </cell>
        </row>
        <row r="282">
          <cell r="A282">
            <v>830054539</v>
          </cell>
          <cell r="B282" t="str">
            <v>PATRIMONIOS AUTONOMOS FIDUCIARIA BANCOLOMBIA S A SOCIEDAD FIDUCIARIA</v>
          </cell>
          <cell r="C282" t="str">
            <v>Medellín</v>
          </cell>
          <cell r="D282" t="str">
            <v>CARRERA 48 26 85 TORRE NORTE PISO 1</v>
          </cell>
          <cell r="F282" t="str">
            <v>uniandes@bancolombia.com.co</v>
          </cell>
        </row>
        <row r="283">
          <cell r="A283">
            <v>901209021</v>
          </cell>
          <cell r="B283" t="e">
            <v>#N/A</v>
          </cell>
          <cell r="C283" t="str">
            <v>Bogota D.C.</v>
          </cell>
          <cell r="D283" t="str">
            <v>CALLE 100 8A 49 Torre B OF 919</v>
          </cell>
          <cell r="F283" t="str">
            <v>lfreyes@devisab.com</v>
          </cell>
        </row>
        <row r="284">
          <cell r="A284">
            <v>901561781</v>
          </cell>
          <cell r="B284" t="str">
            <v>VIVAS&amp;ALVAREZ ABOGADOS S.A.S</v>
          </cell>
          <cell r="C284" t="str">
            <v>Paipa</v>
          </cell>
          <cell r="D284" t="str">
            <v>paipa</v>
          </cell>
          <cell r="F284" t="str">
            <v>javieralvarezwabogado@gmail.com</v>
          </cell>
        </row>
        <row r="285">
          <cell r="A285">
            <v>7223405</v>
          </cell>
          <cell r="B285" t="str">
            <v>PARRA EDILSON GONZALES</v>
          </cell>
          <cell r="C285" t="str">
            <v>Duitama</v>
          </cell>
          <cell r="D285" t="str">
            <v>CR4 16 21 28</v>
          </cell>
          <cell r="F285" t="str">
            <v>gonzalesedilson8@gmail.com</v>
          </cell>
        </row>
        <row r="286">
          <cell r="A286">
            <v>74375740</v>
          </cell>
          <cell r="B286" t="str">
            <v>PITA MACHUCA GUILLERMO ANTONIO</v>
          </cell>
          <cell r="C286" t="str">
            <v>Duitama</v>
          </cell>
          <cell r="D286" t="str">
            <v>CLL 18 A 26 44</v>
          </cell>
          <cell r="F286" t="str">
            <v>guillo.555@hotmail.com</v>
          </cell>
        </row>
        <row r="287">
          <cell r="A287">
            <v>890907163</v>
          </cell>
          <cell r="B287" t="str">
            <v>COMPAÑIA INDUSTRIAL DE PRODUCTOS AGROPECUARIOS S.A</v>
          </cell>
          <cell r="C287" t="str">
            <v>Bello</v>
          </cell>
          <cell r="D287" t="str">
            <v>CR 49A 23 45</v>
          </cell>
          <cell r="F287" t="str">
            <v>juan.salamanca@cipa.com.co</v>
          </cell>
        </row>
        <row r="288">
          <cell r="A288">
            <v>1053606869</v>
          </cell>
          <cell r="B288" t="str">
            <v>BAUTISTA RAMIREZ EBER AGUSTIN</v>
          </cell>
          <cell r="C288" t="str">
            <v>Paipa</v>
          </cell>
          <cell r="D288" t="str">
            <v>CLL 26 21 54</v>
          </cell>
          <cell r="F288" t="str">
            <v>eberbautista@gmail.com</v>
          </cell>
        </row>
        <row r="289">
          <cell r="A289">
            <v>40037128</v>
          </cell>
          <cell r="B289" t="str">
            <v>DIAZ TOCARRUNCHO CLAUDIA MERCEDES</v>
          </cell>
          <cell r="C289" t="str">
            <v>Paipa</v>
          </cell>
          <cell r="D289" t="str">
            <v>CL 25 15 139  BRR LAS QUINTAS</v>
          </cell>
          <cell r="F289" t="str">
            <v>clamedito@yahoo.com</v>
          </cell>
        </row>
        <row r="290">
          <cell r="A290">
            <v>46681339</v>
          </cell>
          <cell r="B290" t="str">
            <v>OCHOA OCHOA IBETH EMILSE</v>
          </cell>
          <cell r="C290" t="str">
            <v>Paipa</v>
          </cell>
          <cell r="D290" t="str">
            <v>CLL 22 23 15</v>
          </cell>
          <cell r="F290" t="str">
            <v>turistica@outlook.com</v>
          </cell>
        </row>
        <row r="291">
          <cell r="A291">
            <v>74372463</v>
          </cell>
          <cell r="B291" t="str">
            <v>GRANADOS CORREDOR LUIS FERNANDO</v>
          </cell>
          <cell r="C291" t="str">
            <v>Paipa</v>
          </cell>
          <cell r="D291" t="str">
            <v>CL 25 19 133</v>
          </cell>
          <cell r="F291" t="str">
            <v>fernandogc@hotmail.es</v>
          </cell>
        </row>
        <row r="292">
          <cell r="A292">
            <v>74359628</v>
          </cell>
          <cell r="B292" t="str">
            <v>LOZANO RAMIREZ OSCAR RAIMUNDO</v>
          </cell>
          <cell r="C292" t="str">
            <v>Paipa</v>
          </cell>
          <cell r="D292" t="str">
            <v>VDA ESPERANZA VIA CAÑOS PISCINAS</v>
          </cell>
          <cell r="F292" t="str">
            <v>lozanoconta@hotmail.com</v>
          </cell>
        </row>
        <row r="293">
          <cell r="A293">
            <v>4191368</v>
          </cell>
          <cell r="B293" t="str">
            <v>CASTRO SUAREZ EDGAR AUGUSTO</v>
          </cell>
          <cell r="C293" t="str">
            <v>Paipa</v>
          </cell>
          <cell r="D293" t="str">
            <v>CL 25 21 18 OF 501</v>
          </cell>
          <cell r="F293" t="str">
            <v>gerencia@inmobiliariaedgarcastro.com</v>
          </cell>
        </row>
        <row r="294">
          <cell r="A294">
            <v>830045472</v>
          </cell>
          <cell r="B294" t="str">
            <v>GAS NATURAL CUNDIBOYASENSE SA ESP</v>
          </cell>
          <cell r="C294" t="str">
            <v>Bogota D.C.</v>
          </cell>
          <cell r="D294" t="str">
            <v>BOGOTA</v>
          </cell>
          <cell r="F294" t="str">
            <v>servicioalcliente@grupovanti.com</v>
          </cell>
        </row>
        <row r="295">
          <cell r="A295">
            <v>901032442</v>
          </cell>
          <cell r="B295" t="str">
            <v>LUCTRA S.A.S.</v>
          </cell>
          <cell r="C295" t="str">
            <v>Paipa</v>
          </cell>
          <cell r="D295" t="str">
            <v>AV LIBERTADORES 21 58 PAIPA</v>
          </cell>
          <cell r="F295" t="str">
            <v>turistica@outlook.com</v>
          </cell>
        </row>
        <row r="296">
          <cell r="A296">
            <v>900139103</v>
          </cell>
          <cell r="B296" t="str">
            <v>ASEO EXPRESS EL DIAMANTE SAS</v>
          </cell>
          <cell r="C296" t="str">
            <v>Duitama</v>
          </cell>
          <cell r="D296" t="str">
            <v>CRA 1 8 14 24 DUITAMA</v>
          </cell>
          <cell r="F296" t="str">
            <v>aseoexpressduitama@gmail.com</v>
          </cell>
        </row>
        <row r="297">
          <cell r="A297">
            <v>900803088</v>
          </cell>
          <cell r="B297" t="str">
            <v>GOMEZ VELASQUEZ S.A.S</v>
          </cell>
          <cell r="C297" t="str">
            <v>Cartago</v>
          </cell>
          <cell r="D297" t="str">
            <v>CR 9 9 17</v>
          </cell>
          <cell r="F297" t="str">
            <v>facturacion@gomezvelasquez.com</v>
          </cell>
        </row>
        <row r="298">
          <cell r="A298">
            <v>90001275</v>
          </cell>
          <cell r="B298" t="str">
            <v>RT S.A.S</v>
          </cell>
          <cell r="C298" t="str">
            <v>Bogota D.C.</v>
          </cell>
          <cell r="D298" t="str">
            <v>CL 19 5 30 OF 2201 ED BD BACATA</v>
          </cell>
          <cell r="F298" t="str">
            <v>rosencol@rosentantau.com</v>
          </cell>
        </row>
        <row r="299">
          <cell r="A299">
            <v>1052382753</v>
          </cell>
          <cell r="B299" t="str">
            <v>SIMIJACA VALDERRAMA GUSTAVO ADOLFO</v>
          </cell>
          <cell r="C299" t="str">
            <v>Paipa</v>
          </cell>
          <cell r="D299" t="str">
            <v>CLL 24 17 A 33</v>
          </cell>
          <cell r="F299" t="str">
            <v>turistica@otlook.com</v>
          </cell>
        </row>
        <row r="300">
          <cell r="A300">
            <v>901482897</v>
          </cell>
          <cell r="B300" t="str">
            <v>GOMEZ ORTIZ ARQUITECTOS SAS</v>
          </cell>
          <cell r="C300" t="str">
            <v>Paipa</v>
          </cell>
          <cell r="D300" t="str">
            <v>CL 25 22 40 OF 203 ED MARIA MERCCEDES</v>
          </cell>
          <cell r="F300" t="str">
            <v>gomezortizarq@gmail.com</v>
          </cell>
        </row>
        <row r="301">
          <cell r="A301">
            <v>900199968</v>
          </cell>
          <cell r="B301" t="str">
            <v>GARES Y CIA LTDA</v>
          </cell>
          <cell r="C301" t="str">
            <v>Tunja</v>
          </cell>
          <cell r="D301" t="str">
            <v>CR 5 37 12</v>
          </cell>
          <cell r="F301" t="str">
            <v>garescialtda@yahoo.com</v>
          </cell>
        </row>
        <row r="302">
          <cell r="A302">
            <v>1027150420</v>
          </cell>
          <cell r="B302" t="str">
            <v>ORDUÑA PATARROYO JUAN SEBASTIAN</v>
          </cell>
          <cell r="C302" t="str">
            <v>Paipa</v>
          </cell>
          <cell r="D302" t="str">
            <v>CR 25 47 25</v>
          </cell>
          <cell r="F302" t="str">
            <v>juansebasorduna2004@gmail.com</v>
          </cell>
        </row>
        <row r="303">
          <cell r="A303">
            <v>900031275</v>
          </cell>
          <cell r="B303" t="str">
            <v>RT S.A.S</v>
          </cell>
          <cell r="C303" t="str">
            <v>Bogota D.C.</v>
          </cell>
          <cell r="D303" t="str">
            <v>CL 16 5 30 OF 2201 ED BD BACATA</v>
          </cell>
          <cell r="F303" t="str">
            <v>recepcionfacturasrtsas@rosentantau.com</v>
          </cell>
        </row>
        <row r="304">
          <cell r="A304">
            <v>901401586</v>
          </cell>
          <cell r="B304" t="str">
            <v>INNOVARK INVERSIONES S.A.S</v>
          </cell>
          <cell r="C304" t="str">
            <v>Sogamoso</v>
          </cell>
          <cell r="D304" t="str">
            <v>CR 11 13 82 OF 405 ED NORATO</v>
          </cell>
          <cell r="F304" t="str">
            <v>innovarkinversionessas@gmail.com</v>
          </cell>
        </row>
        <row r="305">
          <cell r="A305">
            <v>901043903</v>
          </cell>
          <cell r="B305" t="str">
            <v>GOWAN COLOMBIA S.A.S</v>
          </cell>
          <cell r="C305" t="str">
            <v>Envigado</v>
          </cell>
          <cell r="D305" t="str">
            <v>KM 17 VIA LAS PALMAS OF 281</v>
          </cell>
          <cell r="F305" t="str">
            <v>colombiaapinvoices@gowanco.com</v>
          </cell>
        </row>
        <row r="306">
          <cell r="A306">
            <v>860040094</v>
          </cell>
          <cell r="B306" t="str">
            <v>OXIGENOS DE COLOMBIA LTDA</v>
          </cell>
          <cell r="C306" t="str">
            <v>Bogota D.C.</v>
          </cell>
          <cell r="D306" t="str">
            <v>AV CR 50 5 C 29</v>
          </cell>
          <cell r="F306" t="str">
            <v>oscar.fonseca@linde.com</v>
          </cell>
        </row>
        <row r="307">
          <cell r="A307">
            <v>4192271</v>
          </cell>
          <cell r="B307" t="str">
            <v>SANDOVAL OMAR MARTINEZ</v>
          </cell>
          <cell r="C307" t="str">
            <v>Paipa</v>
          </cell>
          <cell r="D307" t="str">
            <v>PAIPA</v>
          </cell>
          <cell r="F307" t="str">
            <v>hortipaipa@hotmail.com</v>
          </cell>
        </row>
        <row r="308">
          <cell r="A308">
            <v>1053605243</v>
          </cell>
          <cell r="B308" t="str">
            <v>FONSECA CEPEDA TATIANA ANDREA</v>
          </cell>
          <cell r="C308" t="str">
            <v>Paipa</v>
          </cell>
          <cell r="D308" t="str">
            <v>Cr 25 27 87</v>
          </cell>
          <cell r="F308" t="str">
            <v>tafoseca23124@gmail.com</v>
          </cell>
        </row>
        <row r="309">
          <cell r="A309">
            <v>4285648</v>
          </cell>
          <cell r="B309" t="str">
            <v>FONSECA CHAVARRO CARLOS MARIO</v>
          </cell>
          <cell r="C309" t="str">
            <v>Paipa</v>
          </cell>
          <cell r="D309" t="str">
            <v>CALLE 25 # 13-34</v>
          </cell>
          <cell r="F309" t="str">
            <v>carlosmario.f@hotmail.com</v>
          </cell>
        </row>
        <row r="310">
          <cell r="A310">
            <v>900679826</v>
          </cell>
          <cell r="B310" t="str">
            <v>LOGISTICA Y TRANSPORTE XC S.A.S.</v>
          </cell>
          <cell r="C310" t="str">
            <v>Bogota D.C.</v>
          </cell>
          <cell r="D310" t="str">
            <v>CRA 50C #10 SUR-120, interior 116</v>
          </cell>
          <cell r="F310" t="str">
            <v>dromero@igga.com.co</v>
          </cell>
        </row>
        <row r="311">
          <cell r="A311">
            <v>901582510</v>
          </cell>
          <cell r="B311" t="str">
            <v>CONSORCIO SACUDETE BARBOSA</v>
          </cell>
          <cell r="C311" t="str">
            <v>Paipa</v>
          </cell>
          <cell r="D311" t="str">
            <v xml:space="preserve"> Carrera 16 17 21</v>
          </cell>
          <cell r="F311" t="str">
            <v>geovannycaceres1@gmail.com</v>
          </cell>
        </row>
        <row r="312">
          <cell r="A312">
            <v>1053604679</v>
          </cell>
          <cell r="B312" t="str">
            <v>RIVERA CORREDOR RUTHMINY</v>
          </cell>
          <cell r="C312" t="str">
            <v>Paipa</v>
          </cell>
          <cell r="D312" t="str">
            <v>VDA RIO ARRIBA</v>
          </cell>
          <cell r="F312" t="str">
            <v>riveraruthminy@gmail.com</v>
          </cell>
        </row>
        <row r="313">
          <cell r="A313">
            <v>1053615910</v>
          </cell>
          <cell r="B313" t="str">
            <v>LA ROTTA ZETINA MARIANA</v>
          </cell>
          <cell r="C313" t="str">
            <v>Pachavita</v>
          </cell>
          <cell r="D313" t="str">
            <v>VDA LA PLAYA</v>
          </cell>
          <cell r="F313" t="str">
            <v>marianacetina2013@gmail.com</v>
          </cell>
        </row>
        <row r="314">
          <cell r="A314">
            <v>900378088</v>
          </cell>
          <cell r="B314" t="str">
            <v>LA NACIONAL DE LICORES</v>
          </cell>
          <cell r="C314" t="str">
            <v>Bogota D.C.</v>
          </cell>
          <cell r="D314" t="str">
            <v>CARRERA 18 N 12-36</v>
          </cell>
          <cell r="F314" t="str">
            <v>contabilidad@lanacionaldelicores.com</v>
          </cell>
        </row>
        <row r="315">
          <cell r="A315">
            <v>900972985</v>
          </cell>
          <cell r="B315" t="str">
            <v>DOTACIONES BOYACA SEGURIDAD INDUSTRIAL SAS</v>
          </cell>
          <cell r="C315" t="str">
            <v>Duitama</v>
          </cell>
          <cell r="D315" t="str">
            <v>CARRERA 11 N 11-25</v>
          </cell>
          <cell r="F315" t="str">
            <v>seinfo@hotmail.co</v>
          </cell>
        </row>
        <row r="316">
          <cell r="A316">
            <v>890904713</v>
          </cell>
          <cell r="B316" t="str">
            <v>COORDINADORA</v>
          </cell>
          <cell r="C316" t="str">
            <v>Bogota D.C.</v>
          </cell>
          <cell r="D316" t="str">
            <v>CSALLE 13 68D-31</v>
          </cell>
          <cell r="F316" t="str">
            <v>coordinadora@hotmail.com</v>
          </cell>
        </row>
        <row r="317">
          <cell r="A317">
            <v>9010920793</v>
          </cell>
          <cell r="B317" t="str">
            <v>Koaj Dinamica Empresarial S A S</v>
          </cell>
          <cell r="C317" t="str">
            <v>Paipa</v>
          </cell>
          <cell r="D317" t="str">
            <v>CARRERA 19 N 24-17</v>
          </cell>
          <cell r="F317" t="str">
            <v>dazasas@gmail.com</v>
          </cell>
        </row>
        <row r="318">
          <cell r="A318">
            <v>900405452</v>
          </cell>
          <cell r="B318" t="str">
            <v>CENTRYPLAST B&amp;M SAS</v>
          </cell>
          <cell r="C318" t="str">
            <v>Bogota D.C.</v>
          </cell>
          <cell r="D318" t="str">
            <v>CARRERA 12 N 12-16</v>
          </cell>
          <cell r="F318" t="str">
            <v>centryplastbym@hotmail.com</v>
          </cell>
        </row>
        <row r="319">
          <cell r="A319">
            <v>900491889</v>
          </cell>
          <cell r="B319" t="str">
            <v>MASSER SAS</v>
          </cell>
          <cell r="C319" t="str">
            <v>Barranquilla</v>
          </cell>
          <cell r="D319" t="str">
            <v>CALLE 94 N 51B-43</v>
          </cell>
          <cell r="E319">
            <v>18000518555</v>
          </cell>
          <cell r="F319" t="str">
            <v>facturacionm@masser.com.co</v>
          </cell>
        </row>
        <row r="320">
          <cell r="A320">
            <v>892000757</v>
          </cell>
          <cell r="B320" t="str">
            <v>UNIVERSIDAD DE LOS LLANOS</v>
          </cell>
          <cell r="C320" t="str">
            <v>Villavicencio</v>
          </cell>
          <cell r="D320" t="str">
            <v>KM 12 VIAS PUERTO LOPEZ</v>
          </cell>
          <cell r="E320">
            <v>3208319697</v>
          </cell>
          <cell r="F320" t="str">
            <v>rectoria@unillanos.edu.co</v>
          </cell>
        </row>
        <row r="321">
          <cell r="A321">
            <v>11324099</v>
          </cell>
          <cell r="B321" t="str">
            <v>ROJAS KLEYBER NORBERTO ROJAS</v>
          </cell>
          <cell r="C321" t="str">
            <v>Duitama</v>
          </cell>
          <cell r="D321" t="str">
            <v>CARRERA 18 NJ 20 -34</v>
          </cell>
          <cell r="F321" t="str">
            <v>mvkleyber@gmail.com</v>
          </cell>
        </row>
        <row r="322">
          <cell r="A322">
            <v>6760602</v>
          </cell>
          <cell r="B322" t="str">
            <v>LEMUS SAAB PEDRO IVAN</v>
          </cell>
          <cell r="C322" t="str">
            <v>Yopal</v>
          </cell>
          <cell r="D322" t="str">
            <v>CRRERA 6 28 21</v>
          </cell>
          <cell r="F322" t="str">
            <v>pedroivanlemus@gmail.com</v>
          </cell>
        </row>
        <row r="323">
          <cell r="A323">
            <v>1051588455</v>
          </cell>
          <cell r="B323" t="str">
            <v>ROMERO AVELLA JOSE ALEXANDER</v>
          </cell>
          <cell r="C323" t="str">
            <v>Bogota D.C.</v>
          </cell>
          <cell r="D323" t="str">
            <v>MANZANA F CASA 12</v>
          </cell>
          <cell r="F323" t="str">
            <v>cheojr15@gmail.com</v>
          </cell>
        </row>
        <row r="324">
          <cell r="A324">
            <v>900297127</v>
          </cell>
          <cell r="B324" t="str">
            <v>COMERCIALIZADORA BOYACENSE VERDE S.A.S</v>
          </cell>
          <cell r="C324" t="str">
            <v>Paipa</v>
          </cell>
          <cell r="D324" t="str">
            <v>TV 24 27A 31</v>
          </cell>
          <cell r="E324">
            <v>3132833202</v>
          </cell>
          <cell r="F324" t="str">
            <v>comercializadoraboyacense@gmail.com</v>
          </cell>
        </row>
        <row r="325">
          <cell r="A325">
            <v>901359378</v>
          </cell>
          <cell r="B325" t="str">
            <v>SERVICIOS INTEGRALES EN LUBRICACION DE MAQUINARIA SAS</v>
          </cell>
          <cell r="C325" t="str">
            <v>Bogota D.C.</v>
          </cell>
          <cell r="D325" t="str">
            <v>CALLE 79 N 8-31</v>
          </cell>
          <cell r="F325" t="str">
            <v>silubmaq@gmil.com</v>
          </cell>
        </row>
        <row r="326">
          <cell r="A326">
            <v>901443113</v>
          </cell>
          <cell r="B326" t="str">
            <v>INVERSIONES LA BODEGITA</v>
          </cell>
          <cell r="C326" t="str">
            <v>Tunja</v>
          </cell>
          <cell r="D326" t="str">
            <v>KM 4 VIA PATRIOTAS</v>
          </cell>
          <cell r="F326" t="str">
            <v>inversioneslabodegitasas@gmail.com</v>
          </cell>
        </row>
        <row r="327">
          <cell r="A327">
            <v>901606065</v>
          </cell>
          <cell r="B327" t="str">
            <v>CONSTRUCCIONES SOBRE LA ROCA RR SAS</v>
          </cell>
          <cell r="C327" t="str">
            <v>Bogota D.C.</v>
          </cell>
          <cell r="D327" t="str">
            <v>CL 74 A SUR No. 92 71 BOSA TO 6 AP 401</v>
          </cell>
          <cell r="F327" t="str">
            <v>yefferaldana22@gmail.com</v>
          </cell>
        </row>
        <row r="328">
          <cell r="A328">
            <v>800042074</v>
          </cell>
          <cell r="B328" t="str">
            <v>ASOCIACION AFS PROGRAMAS INTERCULTURALES COLOMBIA</v>
          </cell>
          <cell r="C328" t="str">
            <v>Bogota D.C.</v>
          </cell>
          <cell r="D328" t="str">
            <v>AK 72 N 181-75</v>
          </cell>
          <cell r="E328">
            <v>3502309077</v>
          </cell>
          <cell r="F328" t="str">
            <v>andinocol@afs.org</v>
          </cell>
        </row>
        <row r="329">
          <cell r="A329">
            <v>900623201</v>
          </cell>
          <cell r="B329" t="str">
            <v>CACHARRERIA MUNDIAL SAS</v>
          </cell>
          <cell r="C329" t="str">
            <v>Medellín</v>
          </cell>
          <cell r="D329" t="str">
            <v>CALLE 19A 43-41</v>
          </cell>
          <cell r="E329">
            <v>3013760975</v>
          </cell>
          <cell r="F329" t="str">
            <v>paula.villegas@grupo-orbis.com</v>
          </cell>
        </row>
        <row r="330">
          <cell r="A330">
            <v>901605475</v>
          </cell>
          <cell r="B330" t="str">
            <v>ZAMORA BARRERA ARQUITECTOS CONSTRUCTORES SAS</v>
          </cell>
          <cell r="C330" t="str">
            <v>Duitama</v>
          </cell>
          <cell r="D330" t="str">
            <v>CARRERA 15 N 14-58</v>
          </cell>
          <cell r="F330" t="str">
            <v>yeyegohe@gmail.com</v>
          </cell>
        </row>
        <row r="331">
          <cell r="A331">
            <v>860026182</v>
          </cell>
          <cell r="B331" t="str">
            <v>ALLIANZ SEGUROS SA</v>
          </cell>
          <cell r="C331" t="str">
            <v>Bogota D.C.</v>
          </cell>
          <cell r="D331" t="str">
            <v>CARRERA 13 A N 29-24</v>
          </cell>
          <cell r="F331" t="str">
            <v>gerencia@torresduarteconsultores.com</v>
          </cell>
        </row>
        <row r="332">
          <cell r="A332">
            <v>900455493</v>
          </cell>
          <cell r="B332" t="str">
            <v>EGONET SAS</v>
          </cell>
          <cell r="C332" t="str">
            <v>Paipa</v>
          </cell>
          <cell r="D332" t="str">
            <v>CARRERA 23 N 24 03</v>
          </cell>
          <cell r="F332" t="str">
            <v>contabilidad@egonet.co</v>
          </cell>
        </row>
        <row r="333">
          <cell r="A333">
            <v>901269151</v>
          </cell>
          <cell r="B333" t="str">
            <v>IGLESIA FRATERNIDAD CRISTIANA</v>
          </cell>
          <cell r="C333" t="str">
            <v>Paipa</v>
          </cell>
          <cell r="D333" t="str">
            <v>CENTRO</v>
          </cell>
          <cell r="F333" t="str">
            <v>frateradpaipa@gmail.com</v>
          </cell>
        </row>
        <row r="334">
          <cell r="A334">
            <v>901582583</v>
          </cell>
          <cell r="B334" t="str">
            <v>SECUENCIAL INGENIERIA SOCIEDAD POR ACCIONES SIMPLIFICADAS</v>
          </cell>
          <cell r="C334" t="str">
            <v>Paipa</v>
          </cell>
          <cell r="D334" t="str">
            <v>CALLE  21 17 51</v>
          </cell>
          <cell r="F334" t="str">
            <v>secuencialingenieria@gmail.com</v>
          </cell>
        </row>
        <row r="335">
          <cell r="A335">
            <v>890903858</v>
          </cell>
          <cell r="B335" t="str">
            <v>INDUSTRIA NACIONAL DE GASEOSAS S A</v>
          </cell>
          <cell r="C335" t="str">
            <v>Duitama</v>
          </cell>
          <cell r="D335" t="str">
            <v>CLLE 20 N 35 72</v>
          </cell>
          <cell r="F335" t="str">
            <v>factura.electronica@dispapeles.com</v>
          </cell>
        </row>
        <row r="336">
          <cell r="A336">
            <v>7223562</v>
          </cell>
          <cell r="B336" t="str">
            <v>PITA FUQUEN LUIS  ALEJANDRO</v>
          </cell>
          <cell r="C336" t="str">
            <v>Paipa</v>
          </cell>
          <cell r="D336" t="str">
            <v>VEREDA SAN ANTONIO NORTE</v>
          </cell>
          <cell r="F336" t="str">
            <v>alejandro1967@hotmail.es</v>
          </cell>
        </row>
        <row r="337">
          <cell r="A337">
            <v>900688423</v>
          </cell>
          <cell r="B337" t="str">
            <v>CJN ASESORES FINANCIEROS Y DE SEGUROS LTDA</v>
          </cell>
          <cell r="C337" t="str">
            <v>Bogota D.C.</v>
          </cell>
          <cell r="D337" t="str">
            <v>CARRERA 9 N 101 67</v>
          </cell>
          <cell r="F337" t="str">
            <v>servicio.cliente@sbseguros.co</v>
          </cell>
        </row>
        <row r="338">
          <cell r="A338">
            <v>900321578</v>
          </cell>
          <cell r="B338" t="str">
            <v>ALTAMIRA WATER LTDA</v>
          </cell>
          <cell r="C338" t="str">
            <v>Cota</v>
          </cell>
          <cell r="D338" t="str">
            <v>AUT MEDELLIN KILOMETRO2 4 CLIC 80 BG35,36</v>
          </cell>
          <cell r="E338">
            <v>8787604</v>
          </cell>
          <cell r="F338" t="str">
            <v>facturaelectronica@altamira.com</v>
          </cell>
        </row>
        <row r="339">
          <cell r="A339">
            <v>900030700</v>
          </cell>
          <cell r="B339" t="str">
            <v>MAREES SAS ESP</v>
          </cell>
          <cell r="C339" t="str">
            <v>Chivatá</v>
          </cell>
          <cell r="D339" t="str">
            <v>KM 6 VIA TUNJA CHIVATA</v>
          </cell>
          <cell r="F339" t="str">
            <v>gerencia@marees.co</v>
          </cell>
        </row>
        <row r="340">
          <cell r="A340">
            <v>901045251</v>
          </cell>
          <cell r="B340" t="str">
            <v>OCCA CONSTRUCCIONES SAS</v>
          </cell>
          <cell r="C340" t="str">
            <v>Paipa</v>
          </cell>
          <cell r="D340" t="str">
            <v>BARRIO ESTACION</v>
          </cell>
          <cell r="F340" t="str">
            <v>omarcamargo9241@gmail.com</v>
          </cell>
        </row>
        <row r="341">
          <cell r="A341">
            <v>901045251</v>
          </cell>
          <cell r="B341" t="str">
            <v>OCCA CONSTRUCCIONES SAS</v>
          </cell>
          <cell r="C341" t="str">
            <v>Paipa</v>
          </cell>
          <cell r="D341" t="str">
            <v>BARRIO ESTACION</v>
          </cell>
          <cell r="F341" t="str">
            <v>omarcamargo9241@gmail.com</v>
          </cell>
        </row>
        <row r="342">
          <cell r="A342">
            <v>15886578</v>
          </cell>
          <cell r="B342" t="str">
            <v>NIÑO OLEGARIO RIVERA</v>
          </cell>
          <cell r="C342" t="str">
            <v>Paipa</v>
          </cell>
          <cell r="D342" t="str">
            <v>VEREDA LLANO GRANDE ALTO CASA 4</v>
          </cell>
          <cell r="F342" t="str">
            <v>oliesadventure.co@gmail.com</v>
          </cell>
        </row>
        <row r="343">
          <cell r="A343">
            <v>79432840</v>
          </cell>
          <cell r="B343" t="str">
            <v>RESTAURANTE EL RINCON FAMILIAR</v>
          </cell>
          <cell r="C343" t="str">
            <v>Paicol</v>
          </cell>
          <cell r="D343" t="str">
            <v>CARRERA 19 25 22</v>
          </cell>
          <cell r="F343" t="str">
            <v>ncorredorp@hotmail.com</v>
          </cell>
        </row>
        <row r="344">
          <cell r="A344">
            <v>890200463</v>
          </cell>
          <cell r="B344" t="str">
            <v>GASEOSAS HIPINTO SAS</v>
          </cell>
          <cell r="C344" t="str">
            <v>Duitama</v>
          </cell>
          <cell r="D344" t="str">
            <v>Calle 9 Nº 36-142</v>
          </cell>
          <cell r="F344" t="str">
            <v>facturactscolombia@cen.biz</v>
          </cell>
        </row>
        <row r="345">
          <cell r="A345">
            <v>19314853</v>
          </cell>
          <cell r="B345" t="str">
            <v>SUAREZ MORA JESUS EDUARDO</v>
          </cell>
          <cell r="C345" t="str">
            <v>Bogota D.C.</v>
          </cell>
          <cell r="D345" t="str">
            <v>CARRERA 19 N 24-12</v>
          </cell>
          <cell r="F345" t="str">
            <v>ingesm@outlook.com</v>
          </cell>
        </row>
        <row r="346">
          <cell r="A346">
            <v>901139302</v>
          </cell>
          <cell r="B346" t="str">
            <v>EXPLOTACION Y TRANSPORTE DE MINERALES SAS</v>
          </cell>
          <cell r="C346" t="str">
            <v>Paipa</v>
          </cell>
          <cell r="D346" t="str">
            <v>CALLE 26 17 17</v>
          </cell>
          <cell r="F346" t="str">
            <v>explotransminsas@gmail.com</v>
          </cell>
        </row>
        <row r="347">
          <cell r="A347">
            <v>24049969</v>
          </cell>
          <cell r="B347" t="str">
            <v>BRICEÑO FAJARDO RUTH ZORAIDA</v>
          </cell>
          <cell r="C347" t="str">
            <v>Duitama</v>
          </cell>
          <cell r="D347" t="str">
            <v>CALLE 15B 5-34</v>
          </cell>
          <cell r="F347" t="str">
            <v>zoryentheos@gmail.com</v>
          </cell>
        </row>
        <row r="348">
          <cell r="A348">
            <v>891800330</v>
          </cell>
          <cell r="B348" t="str">
            <v>UNIVERSIDAD PEDAGOGICA Y TECNOLOGICA DE COLOMBIA</v>
          </cell>
          <cell r="C348" t="str">
            <v>Tunja</v>
          </cell>
          <cell r="D348" t="str">
            <v>GRANJA TUNGUAVITA</v>
          </cell>
          <cell r="F348" t="str">
            <v>granja.tunguavita@uptc.edu.co</v>
          </cell>
        </row>
        <row r="349">
          <cell r="A349">
            <v>74357109</v>
          </cell>
          <cell r="B349" t="str">
            <v>RAMIREZ RODRIGUEZ LUIS ALVARO</v>
          </cell>
          <cell r="C349" t="str">
            <v>Samacá</v>
          </cell>
          <cell r="D349" t="str">
            <v>CALLE 6 N 8 14</v>
          </cell>
          <cell r="F349" t="str">
            <v>alvaro.ramirez49@yahoo.es</v>
          </cell>
        </row>
        <row r="350">
          <cell r="A350">
            <v>901552514</v>
          </cell>
          <cell r="B350" t="str">
            <v>CARBONES Y TRANSPORTES RAMIREZ SAS</v>
          </cell>
          <cell r="C350" t="str">
            <v>Duitama</v>
          </cell>
          <cell r="D350" t="str">
            <v>CARRERA 26 27-71</v>
          </cell>
          <cell r="F350" t="str">
            <v>alvaro.ramirez49@yahoo.es</v>
          </cell>
        </row>
        <row r="351">
          <cell r="A351">
            <v>860005050</v>
          </cell>
          <cell r="B351" t="str">
            <v>MEXICHEM COLOMBIA SAS</v>
          </cell>
          <cell r="C351" t="str">
            <v>Bogota D.C.</v>
          </cell>
          <cell r="D351" t="str">
            <v>AUTOPISTA SUR 71</v>
          </cell>
          <cell r="F351" t="str">
            <v>rodrigo.cruz@wavin.com</v>
          </cell>
        </row>
        <row r="352">
          <cell r="A352">
            <v>830113598</v>
          </cell>
          <cell r="B352" t="str">
            <v>ADMINEGOCIOS SAS</v>
          </cell>
          <cell r="C352" t="str">
            <v>Bogota D.C.</v>
          </cell>
          <cell r="D352" t="str">
            <v>CARRERA 16 26A 47P</v>
          </cell>
          <cell r="F352" t="str">
            <v>facturacioncorp@olcsa.com</v>
          </cell>
        </row>
        <row r="353">
          <cell r="A353">
            <v>46681860</v>
          </cell>
          <cell r="B353" t="str">
            <v>PEÑA LEANDRO NANCY JANETH</v>
          </cell>
          <cell r="C353" t="str">
            <v>Paipa</v>
          </cell>
          <cell r="D353" t="str">
            <v>CALLE 25 20-67</v>
          </cell>
          <cell r="F353" t="str">
            <v>nancy2401@gmail.com</v>
          </cell>
        </row>
        <row r="354">
          <cell r="A354">
            <v>39761189</v>
          </cell>
          <cell r="B354" t="str">
            <v>TRUJILLO OLGA LUCIA</v>
          </cell>
          <cell r="C354" t="str">
            <v>Bogota D.C.</v>
          </cell>
          <cell r="D354" t="str">
            <v>CALLE 12A N 27-13</v>
          </cell>
          <cell r="F354" t="str">
            <v>sileestan@gmail.com</v>
          </cell>
        </row>
        <row r="355">
          <cell r="A355">
            <v>1055227305</v>
          </cell>
          <cell r="B355" t="str">
            <v>BOLIVAR FABIAN</v>
          </cell>
          <cell r="C355" t="str">
            <v>Duitama</v>
          </cell>
          <cell r="D355" t="str">
            <v>AVENIDA CINCUNVALAR</v>
          </cell>
          <cell r="F355" t="str">
            <v>comprayventabolivar@gmail.com</v>
          </cell>
        </row>
        <row r="356">
          <cell r="A356">
            <v>900989682</v>
          </cell>
          <cell r="B356" t="str">
            <v>GRAVITY ZERO SAS</v>
          </cell>
          <cell r="C356" t="str">
            <v>Bogota D.C.</v>
          </cell>
          <cell r="D356" t="str">
            <v>CALLE 127D 58-70</v>
          </cell>
          <cell r="F356" t="str">
            <v>gravitydian@gmail.com</v>
          </cell>
        </row>
        <row r="357">
          <cell r="A357">
            <v>900457899</v>
          </cell>
          <cell r="B357" t="str">
            <v>TRANSPORTES Y SERVICIOS SAN JORGE SAS</v>
          </cell>
          <cell r="C357" t="str">
            <v>Entrerrios</v>
          </cell>
          <cell r="D357" t="str">
            <v>Carrera 12 n 13-96</v>
          </cell>
          <cell r="F357" t="str">
            <v>contactenos@transportessanjorge.com</v>
          </cell>
        </row>
        <row r="358">
          <cell r="A358">
            <v>7177827</v>
          </cell>
          <cell r="B358" t="str">
            <v>GALINDO RODRIGUEZ JHON FREDY</v>
          </cell>
          <cell r="C358" t="str">
            <v>Duitama</v>
          </cell>
          <cell r="D358" t="str">
            <v>CALLE 15 17-36</v>
          </cell>
          <cell r="F358" t="str">
            <v>lavicomputers@hotmail.es</v>
          </cell>
        </row>
        <row r="359">
          <cell r="A359">
            <v>11257446</v>
          </cell>
          <cell r="B359" t="str">
            <v>SANCHEZ QUITIAN ARLEY</v>
          </cell>
          <cell r="C359" t="str">
            <v>Paipa</v>
          </cell>
          <cell r="D359" t="str">
            <v>CARRERA 2 4 45 87</v>
          </cell>
          <cell r="F359" t="str">
            <v>arleyquit@hotmail.com</v>
          </cell>
        </row>
        <row r="360">
          <cell r="A360">
            <v>74372634</v>
          </cell>
          <cell r="B360" t="str">
            <v>GIL CELY JORGE MAURICIO</v>
          </cell>
          <cell r="C360" t="str">
            <v>Paipa</v>
          </cell>
          <cell r="D360" t="str">
            <v>CARRERA 19 23 27</v>
          </cell>
          <cell r="F360" t="str">
            <v>turistica@gmail.com</v>
          </cell>
        </row>
        <row r="361">
          <cell r="A361">
            <v>46455091</v>
          </cell>
          <cell r="B361" t="str">
            <v>LUISA JOHANNA SANDOVAL LAGOS</v>
          </cell>
          <cell r="C361" t="str">
            <v>Duitama</v>
          </cell>
          <cell r="D361" t="str">
            <v>EVEWNIDA LAS AMERICAS</v>
          </cell>
          <cell r="F361" t="str">
            <v>luisa0152@gmail.com</v>
          </cell>
        </row>
        <row r="362">
          <cell r="A362">
            <v>901299987</v>
          </cell>
          <cell r="B362" t="str">
            <v>BRI GROUP ARQUITECTURA  Y CONSTRUCCION SAS</v>
          </cell>
          <cell r="C362" t="str">
            <v>Sogamoso</v>
          </cell>
          <cell r="D362" t="str">
            <v>KARRERA 11A 26 SUR</v>
          </cell>
          <cell r="F362" t="str">
            <v>recepcionfacturasbri@gmail.com</v>
          </cell>
        </row>
        <row r="363">
          <cell r="A363">
            <v>900582718</v>
          </cell>
          <cell r="B363" t="str">
            <v>COMERCIALIZADORA MUNDO IMPORTADO S.A.S</v>
          </cell>
          <cell r="C363" t="str">
            <v>Bucaramanga</v>
          </cell>
          <cell r="D363" t="str">
            <v>CL 22 17 50 BRR GRANADAS</v>
          </cell>
          <cell r="F363" t="str">
            <v>info@cmimportado.com</v>
          </cell>
        </row>
        <row r="364">
          <cell r="A364">
            <v>1053608017</v>
          </cell>
          <cell r="B364" t="str">
            <v>VARGAS ESPEJO DIEGO ARMANDO</v>
          </cell>
          <cell r="C364" t="str">
            <v>Paipa</v>
          </cell>
          <cell r="D364" t="str">
            <v>CARRERA 24 19A  56_x000D_
_x000D_
_x000D_
_x000D_
_x000D_
A 29 26 54</v>
          </cell>
          <cell r="F364" t="str">
            <v>diego.var13@hotmail.com</v>
          </cell>
        </row>
        <row r="365">
          <cell r="A365">
            <v>800149923</v>
          </cell>
          <cell r="B365" t="str">
            <v>BANCO DE COMERCIO EXTERIOR DE COLOMBIA S.A.</v>
          </cell>
          <cell r="C365" t="str">
            <v>Bogota D.C.</v>
          </cell>
          <cell r="D365" t="str">
            <v>CL 28 13 A 15 P 40</v>
          </cell>
          <cell r="F365" t="str">
            <v>claudiamaria.gonzalez@bancoldex.com</v>
          </cell>
        </row>
        <row r="366">
          <cell r="A366">
            <v>820004286</v>
          </cell>
          <cell r="B366" t="str">
            <v>ASPRO TECNOLOGIAS AMBIENTALES</v>
          </cell>
          <cell r="C366" t="str">
            <v>Tunja</v>
          </cell>
          <cell r="D366" t="str">
            <v>DG 38 16 124 BRR LA MARIA</v>
          </cell>
          <cell r="F366" t="str">
            <v>aspro.sas@gmail.com</v>
          </cell>
        </row>
        <row r="367">
          <cell r="A367">
            <v>1054146020</v>
          </cell>
          <cell r="B367" t="str">
            <v>MATEUS MARTINEZ JUAN FELIPE</v>
          </cell>
          <cell r="C367" t="str">
            <v>Paipa</v>
          </cell>
          <cell r="D367" t="str">
            <v>VEREDA ROMITA</v>
          </cell>
          <cell r="F367" t="str">
            <v>juanfelipemateus04@gmail.com</v>
          </cell>
        </row>
        <row r="368">
          <cell r="A368">
            <v>46372895</v>
          </cell>
          <cell r="B368" t="str">
            <v>MONRROY HERRERA CLAUDIA PATRICIA</v>
          </cell>
          <cell r="C368" t="str">
            <v>Paipa</v>
          </cell>
          <cell r="D368" t="str">
            <v>CALLE 24-19-99</v>
          </cell>
          <cell r="F368" t="str">
            <v>burmonclau@hotmail.com</v>
          </cell>
        </row>
        <row r="369">
          <cell r="A369">
            <v>74130335</v>
          </cell>
          <cell r="B369" t="str">
            <v>FERRETERIA ALCATRAZ</v>
          </cell>
          <cell r="C369" t="str">
            <v>Paipa</v>
          </cell>
          <cell r="D369" t="str">
            <v>CALLE 27 22 70</v>
          </cell>
          <cell r="F369" t="str">
            <v>ferreteria.alcatraz@hotmail.com</v>
          </cell>
        </row>
        <row r="370">
          <cell r="A370">
            <v>9015120844</v>
          </cell>
          <cell r="B370" t="str">
            <v>TECNOLOGIA&amp; COLOR</v>
          </cell>
          <cell r="C370" t="str">
            <v>Bogota D.C.</v>
          </cell>
          <cell r="D370" t="str">
            <v>CALLE 16 8A 33</v>
          </cell>
          <cell r="F370" t="str">
            <v>tecnologiaycolor@hotmail.com</v>
          </cell>
        </row>
        <row r="371">
          <cell r="A371">
            <v>1053604284</v>
          </cell>
          <cell r="B371" t="str">
            <v>FONSECA CAMARGO EDWARD HUMBERTO</v>
          </cell>
          <cell r="C371" t="str">
            <v>Paipa</v>
          </cell>
          <cell r="D371" t="str">
            <v>CALLE 28 19A 03</v>
          </cell>
          <cell r="F371" t="str">
            <v>edwardf19863@hotmail.com</v>
          </cell>
        </row>
        <row r="372">
          <cell r="A372">
            <v>860507033</v>
          </cell>
          <cell r="B372" t="str">
            <v>VISE LTDA</v>
          </cell>
          <cell r="C372" t="str">
            <v>Bogota D.C.</v>
          </cell>
          <cell r="D372" t="str">
            <v>CALLE 6 D4-42</v>
          </cell>
          <cell r="F372" t="str">
            <v>jrosero@vise.com.co</v>
          </cell>
        </row>
        <row r="373">
          <cell r="A373">
            <v>900344392</v>
          </cell>
          <cell r="B373" t="str">
            <v>FUNDACION PARA EL DESARROLLO Y LA COMPETITIVIDAD</v>
          </cell>
          <cell r="C373" t="str">
            <v>Armenia</v>
          </cell>
          <cell r="D373" t="str">
            <v>CL 17 13 35 OF 202 ED CALLE REAL</v>
          </cell>
          <cell r="F373" t="str">
            <v>fundecompe@gmail.com</v>
          </cell>
        </row>
        <row r="374">
          <cell r="A374">
            <v>900044405</v>
          </cell>
          <cell r="B374" t="str">
            <v>AGUAVIDA SOCIEDAD POR ACCIONES SIMPLIFICADA</v>
          </cell>
          <cell r="C374" t="str">
            <v>Bogota D.C.</v>
          </cell>
          <cell r="D374" t="str">
            <v>CALLE 14 A #123 60</v>
          </cell>
          <cell r="F374" t="str">
            <v>lizju999@hotmail.com</v>
          </cell>
        </row>
        <row r="375">
          <cell r="A375">
            <v>901683253</v>
          </cell>
          <cell r="B375" t="str">
            <v>AGROPECUARIA  DEL BOSQUE SAS</v>
          </cell>
          <cell r="C375" t="str">
            <v>Paipa</v>
          </cell>
          <cell r="D375" t="str">
            <v>calle 24 24 07</v>
          </cell>
          <cell r="F375" t="str">
            <v>agropecuariaelbosquesas@gmail.com</v>
          </cell>
        </row>
        <row r="376">
          <cell r="A376">
            <v>860001697</v>
          </cell>
          <cell r="B376" t="str">
            <v>GASEOSAS LUX</v>
          </cell>
          <cell r="C376" t="str">
            <v>Duitama</v>
          </cell>
          <cell r="D376" t="str">
            <v>CALLE 9 36 192</v>
          </cell>
          <cell r="F376" t="str">
            <v>recepcionfe@gaslux.com.co</v>
          </cell>
        </row>
        <row r="377">
          <cell r="A377">
            <v>7212812</v>
          </cell>
          <cell r="B377" t="str">
            <v>CIENDUA CRUZ JOSE BERTULFO</v>
          </cell>
          <cell r="C377" t="str">
            <v>Duitama</v>
          </cell>
          <cell r="D377" t="str">
            <v>CARRERA 19 13 76</v>
          </cell>
          <cell r="F377" t="str">
            <v>josebertulfo.contabilidad@gmail.com</v>
          </cell>
        </row>
        <row r="378">
          <cell r="A378">
            <v>901443413</v>
          </cell>
          <cell r="B378" t="str">
            <v>INVERSIONES LA BODEGUITA SAS</v>
          </cell>
          <cell r="C378" t="str">
            <v>Soracá</v>
          </cell>
          <cell r="D378" t="str">
            <v>KM VIA PATRIOTAS TUNJA SORACA</v>
          </cell>
          <cell r="F378" t="str">
            <v>invesrioneslabodeguitasas@gmail.com</v>
          </cell>
        </row>
        <row r="379">
          <cell r="A379">
            <v>1053608229</v>
          </cell>
          <cell r="B379" t="str">
            <v>MATEUS GARCIA OSCAR DAVID</v>
          </cell>
          <cell r="C379" t="str">
            <v>Sotaquirá</v>
          </cell>
          <cell r="D379" t="str">
            <v>CARRERA 8 4 07</v>
          </cell>
          <cell r="F379" t="str">
            <v>mateuskodiak@hotmail.com</v>
          </cell>
        </row>
        <row r="380">
          <cell r="A380">
            <v>4253358</v>
          </cell>
          <cell r="B380" t="str">
            <v>OLIVEROS PEÑA FREDY HUMBERTO</v>
          </cell>
          <cell r="C380" t="str">
            <v>Paipa</v>
          </cell>
          <cell r="D380" t="str">
            <v>CARRERA 16 25-36</v>
          </cell>
          <cell r="F380" t="str">
            <v>freddyal@hotmail.com</v>
          </cell>
        </row>
        <row r="381">
          <cell r="A381">
            <v>901414716</v>
          </cell>
          <cell r="B381" t="str">
            <v>CENTRO COLOMBIANO DE ENSEÑANZA AUTOMOVILISTICA SAS</v>
          </cell>
          <cell r="C381" t="str">
            <v>Paipa</v>
          </cell>
          <cell r="D381" t="str">
            <v>CALKLE 25 19-124</v>
          </cell>
          <cell r="F381" t="str">
            <v>cecolcea@outlook.com</v>
          </cell>
        </row>
        <row r="382">
          <cell r="A382">
            <v>46682249</v>
          </cell>
          <cell r="B382" t="str">
            <v>MUÑOS OCHOA YALILE</v>
          </cell>
          <cell r="C382" t="str">
            <v>Paipa</v>
          </cell>
          <cell r="D382" t="str">
            <v>CALLE 25 18 08</v>
          </cell>
          <cell r="F382" t="str">
            <v>ymunozochoa@gmail.com</v>
          </cell>
        </row>
        <row r="383">
          <cell r="A383">
            <v>900256203</v>
          </cell>
          <cell r="B383" t="str">
            <v>BENEFICIAR TECNICA LTDA</v>
          </cell>
          <cell r="C383" t="str">
            <v>Paipa</v>
          </cell>
          <cell r="D383" t="str">
            <v>CARRERA 19 19 07</v>
          </cell>
          <cell r="F383" t="str">
            <v>betecltda@yahoo.es</v>
          </cell>
        </row>
        <row r="384">
          <cell r="A384">
            <v>890312749</v>
          </cell>
          <cell r="B384" t="str">
            <v>SEGURIDAD ATLAS LTDA</v>
          </cell>
          <cell r="C384" t="str">
            <v>Cali</v>
          </cell>
          <cell r="D384" t="str">
            <v>calle 2 31 41</v>
          </cell>
          <cell r="F384" t="str">
            <v>jefeimpuestos@atlas.com.co</v>
          </cell>
        </row>
        <row r="385">
          <cell r="A385">
            <v>23854795</v>
          </cell>
          <cell r="B385" t="str">
            <v>JOYA ESCOBAR PATRICIA</v>
          </cell>
          <cell r="C385" t="str">
            <v>Paipa</v>
          </cell>
          <cell r="D385" t="str">
            <v>CARRERA 19 26 85</v>
          </cell>
          <cell r="F385" t="str">
            <v>ernes_enciso@hotmail.com</v>
          </cell>
        </row>
        <row r="386">
          <cell r="A386">
            <v>901517017</v>
          </cell>
          <cell r="B386" t="str">
            <v>ODIN INGENIERIA ELECTRICA SAS</v>
          </cell>
          <cell r="C386" t="str">
            <v>Ibagué</v>
          </cell>
          <cell r="D386" t="str">
            <v>MAN C CSA 12</v>
          </cell>
          <cell r="F386" t="str">
            <v>odin.ingelectrica@gmail.com</v>
          </cell>
        </row>
        <row r="387">
          <cell r="A387">
            <v>1053610177</v>
          </cell>
          <cell r="B387" t="str">
            <v>PEREZ ANGELA CAROLINA SUAREZ</v>
          </cell>
          <cell r="C387" t="str">
            <v>Paipa</v>
          </cell>
          <cell r="D387" t="str">
            <v>DIAG 21 22-46</v>
          </cell>
          <cell r="F387" t="str">
            <v>caroliansua@gmail.com</v>
          </cell>
        </row>
        <row r="388">
          <cell r="A388">
            <v>74360157</v>
          </cell>
          <cell r="B388" t="str">
            <v>FONSECA BECERRA EDWIN ALEXANDRO</v>
          </cell>
          <cell r="C388" t="str">
            <v>Paipa</v>
          </cell>
          <cell r="D388" t="str">
            <v>CARRERA 17 23 70</v>
          </cell>
          <cell r="F388" t="str">
            <v>eafonseca@comercialnutresa.com.co</v>
          </cell>
        </row>
        <row r="389">
          <cell r="A389">
            <v>46673916</v>
          </cell>
          <cell r="B389" t="str">
            <v>IGUAVITA AVELLA MYRIAM ANDREA</v>
          </cell>
          <cell r="C389" t="str">
            <v>Paipa</v>
          </cell>
          <cell r="D389" t="str">
            <v>DIAGONAL 30A #12-32</v>
          </cell>
          <cell r="F389" t="str">
            <v>andreaiguavita2476@gmail.com</v>
          </cell>
        </row>
        <row r="390">
          <cell r="A390">
            <v>900718065</v>
          </cell>
          <cell r="B390" t="str">
            <v>INHCA SOCIEDAD POR ACCIONES SIMPLIFICADA</v>
          </cell>
          <cell r="C390" t="str">
            <v>Paipa</v>
          </cell>
          <cell r="D390" t="str">
            <v>CALLE 25 21-18</v>
          </cell>
          <cell r="F390" t="str">
            <v>gerencia@inhca.com.co</v>
          </cell>
        </row>
        <row r="391">
          <cell r="A391">
            <v>901382916</v>
          </cell>
          <cell r="B391" t="str">
            <v>DISTRIBUIDORA COMERCIANDES S.A.S</v>
          </cell>
          <cell r="C391" t="str">
            <v>Paipa</v>
          </cell>
          <cell r="D391" t="str">
            <v>: CRA 6 N�MERO 68-84</v>
          </cell>
          <cell r="F391" t="str">
            <v>distribuidorcomerciandes@gmail.com</v>
          </cell>
        </row>
        <row r="392">
          <cell r="A392">
            <v>4191111</v>
          </cell>
          <cell r="B392" t="str">
            <v>FONSECA CAICEDO BERNARDO</v>
          </cell>
          <cell r="C392" t="str">
            <v>Paipa</v>
          </cell>
          <cell r="D392" t="str">
            <v>CR 23 A 27 CEN</v>
          </cell>
          <cell r="F392" t="str">
            <v>caralcab1102@hotmail.com</v>
          </cell>
        </row>
        <row r="393">
          <cell r="A393">
            <v>4285648</v>
          </cell>
          <cell r="B393" t="str">
            <v>FONSECA CHAVARRO CARLOS MARIO</v>
          </cell>
          <cell r="C393" t="str">
            <v>Paipa</v>
          </cell>
          <cell r="D393" t="str">
            <v>CALLE 25 # 13-34</v>
          </cell>
          <cell r="E393">
            <v>3111111111</v>
          </cell>
          <cell r="F393" t="str">
            <v>carlosmario.f@hotmail.com</v>
          </cell>
        </row>
        <row r="394">
          <cell r="A394">
            <v>901330493</v>
          </cell>
          <cell r="B394" t="str">
            <v>INGENIERIA &amp; CONSTRUCCIONES INCO SA</v>
          </cell>
          <cell r="C394" t="str">
            <v>Paipa</v>
          </cell>
          <cell r="D394" t="str">
            <v>AV CR 45 169 25 OF 301</v>
          </cell>
          <cell r="F394" t="str">
            <v>contabilidad@incosas.co</v>
          </cell>
        </row>
        <row r="395">
          <cell r="A395">
            <v>900971424</v>
          </cell>
          <cell r="B395" t="str">
            <v>OPERADOR TURISTICO LAS MARGARITAS</v>
          </cell>
          <cell r="C395" t="str">
            <v>Paipa</v>
          </cell>
          <cell r="D395" t="str">
            <v>CALLE 24-16-17</v>
          </cell>
          <cell r="F395" t="str">
            <v>coordinacion@hotelsanmarcospaipa.com</v>
          </cell>
        </row>
        <row r="396">
          <cell r="A396">
            <v>890331634</v>
          </cell>
          <cell r="B396" t="str">
            <v>IMPORTACION TECNICA ESTUDIOS Y COMERCIALIZACION S. A.</v>
          </cell>
          <cell r="C396" t="str">
            <v>Paipa</v>
          </cell>
          <cell r="D396" t="str">
            <v>CL 20 1 30</v>
          </cell>
          <cell r="F396" t="str">
            <v>890331634@factureinbox.co</v>
          </cell>
        </row>
        <row r="397">
          <cell r="A397">
            <v>1052380701</v>
          </cell>
          <cell r="B397" t="str">
            <v>FONSECA RODRIGUEZ WILMER ERNESTO</v>
          </cell>
          <cell r="C397" t="str">
            <v>Duitama</v>
          </cell>
          <cell r="D397" t="str">
            <v>KM5 VDA SAN LORENZO</v>
          </cell>
          <cell r="F397" t="str">
            <v>ernestomvz86@gmail.com</v>
          </cell>
        </row>
        <row r="398">
          <cell r="A398">
            <v>80429729</v>
          </cell>
          <cell r="B398" t="str">
            <v>BUITRAGO OTALORA WILSON JAVIER</v>
          </cell>
          <cell r="C398" t="str">
            <v>Paipa</v>
          </cell>
          <cell r="D398" t="str">
            <v>VEREDA PANTANO DE VARGAS</v>
          </cell>
          <cell r="F398" t="str">
            <v>wilsonjavier729@hotmail.com</v>
          </cell>
        </row>
        <row r="399">
          <cell r="A399">
            <v>860009107</v>
          </cell>
          <cell r="B399" t="str">
            <v>FUNDACION COLEGIO ANGLO COLOMBIANO</v>
          </cell>
          <cell r="C399" t="str">
            <v>Paipa</v>
          </cell>
          <cell r="D399" t="str">
            <v>Av 19 n152a 48</v>
          </cell>
          <cell r="F399" t="str">
            <v>evelandia@anglo.edu.co</v>
          </cell>
        </row>
        <row r="400">
          <cell r="A400">
            <v>901436505</v>
          </cell>
          <cell r="B400" t="str">
            <v>MASALA &amp; CIA SAS</v>
          </cell>
          <cell r="C400" t="str">
            <v>Bogota D.C.</v>
          </cell>
          <cell r="D400" t="str">
            <v>CALLE 98  70 91 OF 512</v>
          </cell>
          <cell r="F400" t="str">
            <v>gestion.operativa@ingenova.co</v>
          </cell>
        </row>
        <row r="401">
          <cell r="A401">
            <v>9532901</v>
          </cell>
          <cell r="B401" t="str">
            <v>LOPEZ MONTAÑA JORGE ELIECER</v>
          </cell>
          <cell r="C401" t="str">
            <v>Mongua</v>
          </cell>
          <cell r="D401" t="str">
            <v>MONGUA</v>
          </cell>
          <cell r="F401" t="str">
            <v>todoplast99@hotmail.com</v>
          </cell>
        </row>
        <row r="402">
          <cell r="A402">
            <v>74323333</v>
          </cell>
          <cell r="B402" t="str">
            <v>RUIZ GONZALES JOSE CONSTANTINO</v>
          </cell>
          <cell r="C402" t="str">
            <v>Paipa</v>
          </cell>
          <cell r="D402" t="str">
            <v>PAIPA</v>
          </cell>
          <cell r="F402" t="str">
            <v>costruiz@hotmail.es</v>
          </cell>
        </row>
        <row r="403">
          <cell r="A403">
            <v>901271758</v>
          </cell>
          <cell r="B403" t="str">
            <v>GENERAL NUTRITION COLOMBIA S.A.S.</v>
          </cell>
          <cell r="C403" t="str">
            <v>Paipa</v>
          </cell>
          <cell r="D403" t="str">
            <v>Cr 33 48 30 Lc 103</v>
          </cell>
          <cell r="F403" t="str">
            <v>generalnutritioncolombia@gmail.com</v>
          </cell>
        </row>
        <row r="404">
          <cell r="A404">
            <v>1057576829</v>
          </cell>
          <cell r="B404" t="str">
            <v>ARAQUE ESTUPIÑAN DORA ESPERANZA</v>
          </cell>
          <cell r="C404" t="str">
            <v>Paipa</v>
          </cell>
          <cell r="D404" t="str">
            <v>cra 11 7 70</v>
          </cell>
          <cell r="F404" t="str">
            <v>contadoresaym@gmail.com</v>
          </cell>
        </row>
        <row r="405">
          <cell r="A405">
            <v>1090371612</v>
          </cell>
          <cell r="B405" t="str">
            <v>NAVAS PEDROZA ALEJANDRO</v>
          </cell>
          <cell r="C405" t="str">
            <v>Paipa</v>
          </cell>
          <cell r="D405" t="str">
            <v>CALLE 51 # 35-65</v>
          </cell>
          <cell r="F405" t="str">
            <v>inexneo@gmail.com</v>
          </cell>
        </row>
        <row r="406">
          <cell r="A406">
            <v>901014511</v>
          </cell>
          <cell r="B406" t="str">
            <v>AGROING COL SAS</v>
          </cell>
          <cell r="C406" t="str">
            <v>Paipa</v>
          </cell>
          <cell r="D406" t="str">
            <v>CR 2 E 1 27 TO 26 AP 301 BRR GRAN C</v>
          </cell>
          <cell r="F406" t="str">
            <v>agroingcol@gmail.com</v>
          </cell>
        </row>
        <row r="407">
          <cell r="A407">
            <v>74360117</v>
          </cell>
          <cell r="B407" t="str">
            <v>SANDOVAL SANDOVAL JUAN CARLOS</v>
          </cell>
          <cell r="C407" t="str">
            <v>Paipa</v>
          </cell>
          <cell r="D407" t="str">
            <v>AV LIBERTADORES 19 B 3 11</v>
          </cell>
          <cell r="F407" t="str">
            <v>almavet.gerencia@gmail.com</v>
          </cell>
        </row>
        <row r="408">
          <cell r="A408">
            <v>901778407</v>
          </cell>
          <cell r="B408" t="str">
            <v>CONSTRUEQUIPOS M Y S SAS</v>
          </cell>
          <cell r="C408" t="str">
            <v>Paipa</v>
          </cell>
          <cell r="D408" t="str">
            <v>CALLE 27 21 21</v>
          </cell>
          <cell r="F408" t="str">
            <v>lmesa92@outlook.com</v>
          </cell>
        </row>
        <row r="409">
          <cell r="A409">
            <v>800127132</v>
          </cell>
          <cell r="B409" t="str">
            <v>FEILO SYLVANIA COLOMBIA SA</v>
          </cell>
          <cell r="C409" t="str">
            <v>Bogota D.C.</v>
          </cell>
          <cell r="D409" t="str">
            <v>BOGOTA</v>
          </cell>
          <cell r="F409" t="str">
            <v>feproveedoresco@sylvania-lighting.com</v>
          </cell>
        </row>
        <row r="410">
          <cell r="A410">
            <v>900462511</v>
          </cell>
          <cell r="B410" t="str">
            <v>BRITISH AMERICAN TOBACCO COLOMBIA SAS</v>
          </cell>
          <cell r="C410" t="str">
            <v>Bogota D.C.</v>
          </cell>
          <cell r="D410" t="str">
            <v>KR 72 # 80 - 94</v>
          </cell>
          <cell r="F410" t="str">
            <v>turistica@outlook.com</v>
          </cell>
        </row>
        <row r="411">
          <cell r="A411">
            <v>74360181</v>
          </cell>
          <cell r="B411" t="str">
            <v>SOLANO PACHECO HOLLMAN EDUARDO</v>
          </cell>
          <cell r="C411" t="str">
            <v>Paipa</v>
          </cell>
          <cell r="D411" t="str">
            <v>Calle 25 21 18</v>
          </cell>
          <cell r="F411" t="str">
            <v>hollman.solano@prosolpa.com</v>
          </cell>
        </row>
        <row r="412">
          <cell r="A412">
            <v>900015118</v>
          </cell>
          <cell r="B412" t="str">
            <v>METIS GROUP S A S</v>
          </cell>
          <cell r="C412" t="str">
            <v>Paipa</v>
          </cell>
          <cell r="D412" t="str">
            <v>CL 121 14 25</v>
          </cell>
          <cell r="F412" t="str">
            <v>recepcionfe@metisla.com</v>
          </cell>
        </row>
        <row r="413">
          <cell r="A413">
            <v>901101928</v>
          </cell>
          <cell r="B413" t="str">
            <v>EMPRESA DE TRANSPORTE LANCEROS SAS</v>
          </cell>
          <cell r="C413" t="str">
            <v>Paipa</v>
          </cell>
          <cell r="D413" t="str">
            <v>Av libertadores 22-21</v>
          </cell>
          <cell r="F413" t="str">
            <v>loslancerossas@gmail.com</v>
          </cell>
        </row>
        <row r="414">
          <cell r="A414">
            <v>7214182</v>
          </cell>
          <cell r="B414" t="str">
            <v>CABRA MATEUS RAFAEL IGNACIO</v>
          </cell>
          <cell r="C414" t="str">
            <v>Paipa</v>
          </cell>
          <cell r="D414" t="str">
            <v>PAIPA</v>
          </cell>
          <cell r="F414" t="str">
            <v>hatoelprado@gmail.com</v>
          </cell>
        </row>
        <row r="415">
          <cell r="A415">
            <v>900882137</v>
          </cell>
          <cell r="B415" t="str">
            <v>CANTER CUND INGENIERIA SAS</v>
          </cell>
          <cell r="C415" t="str">
            <v>Paipa</v>
          </cell>
          <cell r="D415" t="str">
            <v>CALLE 163 N7-47</v>
          </cell>
          <cell r="F415" t="str">
            <v>cantercund2015@hotmail.com</v>
          </cell>
        </row>
        <row r="416">
          <cell r="A416">
            <v>1053606981</v>
          </cell>
          <cell r="B416" t="str">
            <v>OCHOA OCHOA ELIZABETH</v>
          </cell>
          <cell r="C416" t="str">
            <v>Paipa</v>
          </cell>
          <cell r="D416" t="str">
            <v xml:space="preserve"> CALLE 152 #48-04 3-210, INTERIOR 3</v>
          </cell>
          <cell r="F416" t="str">
            <v>eliza.ochoa@gmail.com</v>
          </cell>
        </row>
        <row r="417">
          <cell r="A417">
            <v>74359250</v>
          </cell>
          <cell r="B417" t="str">
            <v>CORONADO RODRIGUEZ EDGAR</v>
          </cell>
          <cell r="C417" t="str">
            <v>Paipa</v>
          </cell>
          <cell r="D417" t="str">
            <v>PAIPA</v>
          </cell>
          <cell r="F417" t="str">
            <v>ecoronado0034@gmail.com</v>
          </cell>
        </row>
        <row r="418">
          <cell r="A418">
            <v>901658117</v>
          </cell>
          <cell r="B418" t="str">
            <v>IDEARK OBRAS CIVILES SAS</v>
          </cell>
          <cell r="C418" t="str">
            <v>Paipa</v>
          </cell>
          <cell r="D418" t="str">
            <v>CR 27 20 A -41</v>
          </cell>
          <cell r="F418" t="str">
            <v>idearkobrasciviles@gmail.com</v>
          </cell>
        </row>
        <row r="419">
          <cell r="A419">
            <v>900664206</v>
          </cell>
          <cell r="B419" t="str">
            <v>COMPAÑIA DE ALIMENTOS SHALOM SAS</v>
          </cell>
          <cell r="C419" t="str">
            <v>Pachavita</v>
          </cell>
          <cell r="D419" t="str">
            <v xml:space="preserve"> CL 11 17 40</v>
          </cell>
          <cell r="F419" t="str">
            <v>facturasshalomdos@gmail.com</v>
          </cell>
        </row>
        <row r="420">
          <cell r="A420">
            <v>36757424</v>
          </cell>
          <cell r="B420" t="str">
            <v>BONILLA PAZOZ RUTH JIMENA</v>
          </cell>
          <cell r="C420" t="str">
            <v>Paipa</v>
          </cell>
          <cell r="D420" t="str">
            <v>CR 27 7 75</v>
          </cell>
          <cell r="F420" t="str">
            <v>inversiones.excalibur@yahoo.com</v>
          </cell>
        </row>
        <row r="421">
          <cell r="A421">
            <v>900374951</v>
          </cell>
          <cell r="B421" t="str">
            <v>REFRASING SAS</v>
          </cell>
          <cell r="C421" t="str">
            <v>Duitama</v>
          </cell>
          <cell r="D421" t="str">
            <v>: CALLE 21 B N 40 88 BARRIO CAMILO TORRES</v>
          </cell>
          <cell r="F421" t="str">
            <v>refrasingsas@refrasing.com</v>
          </cell>
        </row>
        <row r="422">
          <cell r="A422">
            <v>900785313</v>
          </cell>
          <cell r="B422" t="str">
            <v>SUMMASINGENIERISS</v>
          </cell>
          <cell r="C422" t="str">
            <v>Paipa</v>
          </cell>
          <cell r="D422" t="str">
            <v>CLL10N 12 07</v>
          </cell>
          <cell r="F422" t="str">
            <v>summa.ing.sas@gmail.com</v>
          </cell>
        </row>
        <row r="423">
          <cell r="A423">
            <v>6761680</v>
          </cell>
          <cell r="B423" t="str">
            <v>SUAREZ RINCON VICTOR EFREN</v>
          </cell>
          <cell r="C423" t="str">
            <v>Paipa</v>
          </cell>
          <cell r="D423" t="str">
            <v>CR 19 21 48 BRR CENTRO B</v>
          </cell>
          <cell r="F423" t="str">
            <v>victor.724@hotmail.com</v>
          </cell>
        </row>
        <row r="424">
          <cell r="A424">
            <v>901471007</v>
          </cell>
          <cell r="B424" t="str">
            <v>MAZAN SAS</v>
          </cell>
          <cell r="C424" t="str">
            <v>Duitama</v>
          </cell>
          <cell r="D424" t="str">
            <v>AV AMERICAS 24 72 PISO 2</v>
          </cell>
          <cell r="F424" t="str">
            <v>mazancomercializadora1@gmail.com</v>
          </cell>
        </row>
        <row r="425">
          <cell r="A425">
            <v>900555970</v>
          </cell>
          <cell r="B425" t="str">
            <v>BRIGADA DE BOMBEROS Y SEGURIDAD EMP</v>
          </cell>
          <cell r="C425" t="str">
            <v>Paipa</v>
          </cell>
          <cell r="D425" t="str">
            <v>CL 36 H SUR 7 33 ESTE</v>
          </cell>
          <cell r="F425" t="str">
            <v>contabilidad@brisincol.com</v>
          </cell>
        </row>
        <row r="426">
          <cell r="A426">
            <v>900155107</v>
          </cell>
          <cell r="B426" t="str">
            <v>CENCOSUD COLOMBIA SAS</v>
          </cell>
          <cell r="C426" t="str">
            <v>Bogota D.C.</v>
          </cell>
          <cell r="D426" t="str">
            <v>AV 9125 30</v>
          </cell>
          <cell r="F426" t="str">
            <v>turistica@outlook.com</v>
          </cell>
        </row>
        <row r="427">
          <cell r="A427">
            <v>1053606283</v>
          </cell>
          <cell r="B427" t="str">
            <v>RODRIGUEZ OCHOA RAMON</v>
          </cell>
          <cell r="C427" t="str">
            <v>Paipa</v>
          </cell>
          <cell r="D427" t="str">
            <v>Cr 27B 21 26</v>
          </cell>
          <cell r="F427" t="str">
            <v>ramonochoa22@hotmail.com</v>
          </cell>
        </row>
        <row r="428">
          <cell r="A428">
            <v>900971385</v>
          </cell>
          <cell r="B428" t="str">
            <v>SOLUGRAL SAS</v>
          </cell>
          <cell r="C428" t="str">
            <v>Paipa</v>
          </cell>
          <cell r="D428" t="str">
            <v>VDA SAN ONOFRE MZ 4 BG 30 SEC PARQU</v>
          </cell>
          <cell r="F428" t="str">
            <v>contable@solugral.com</v>
          </cell>
        </row>
        <row r="429">
          <cell r="A429">
            <v>901684842</v>
          </cell>
          <cell r="B429" t="str">
            <v>COMERCIALIZADORA DE EXCEDENTES INDU</v>
          </cell>
          <cell r="C429" t="str">
            <v>Paipa</v>
          </cell>
          <cell r="D429" t="str">
            <v>CARRERA 28 # 7-52</v>
          </cell>
          <cell r="F429" t="str">
            <v>cenincolsas@gmail.com</v>
          </cell>
        </row>
        <row r="430">
          <cell r="A430">
            <v>91080825</v>
          </cell>
          <cell r="B430" t="str">
            <v>ARAQUE ARAQUE OSCAR</v>
          </cell>
          <cell r="C430" t="str">
            <v>Paipa</v>
          </cell>
          <cell r="D430" t="str">
            <v>CALLE 200 # 25-18</v>
          </cell>
          <cell r="F430" t="str">
            <v>oscar.a2013@hotmail.com</v>
          </cell>
        </row>
        <row r="431">
          <cell r="A431">
            <v>74130139</v>
          </cell>
          <cell r="B431" t="str">
            <v>VASQUEZ RODRIGUEZ CESAR AUGUSTO</v>
          </cell>
          <cell r="C431" t="str">
            <v>Paipa</v>
          </cell>
          <cell r="D431" t="str">
            <v>PAIPA</v>
          </cell>
          <cell r="F431" t="str">
            <v>cvasquez2703@gmail.com</v>
          </cell>
        </row>
        <row r="432">
          <cell r="A432">
            <v>4207899</v>
          </cell>
          <cell r="B432" t="str">
            <v>ROJAS PACHON ESTEBAN</v>
          </cell>
          <cell r="C432" t="str">
            <v>Paipa</v>
          </cell>
          <cell r="D432" t="str">
            <v>CRR 22 27 49|</v>
          </cell>
          <cell r="F432" t="str">
            <v>grafisand@gmail.com</v>
          </cell>
        </row>
        <row r="433">
          <cell r="A433">
            <v>1049648288</v>
          </cell>
          <cell r="B433" t="str">
            <v>DE ANTONIO JAIRO NICOLAS</v>
          </cell>
          <cell r="C433" t="str">
            <v>Paipa</v>
          </cell>
          <cell r="D433" t="str">
            <v>CR 21 25 -78</v>
          </cell>
          <cell r="F433" t="str">
            <v>turistica@outlook.com</v>
          </cell>
        </row>
        <row r="434">
          <cell r="A434">
            <v>1052382191</v>
          </cell>
          <cell r="B434" t="str">
            <v>SISSA DUEÑAS NEVARDO ARIEL</v>
          </cell>
          <cell r="C434" t="str">
            <v>Duitama</v>
          </cell>
          <cell r="D434" t="str">
            <v>CR 22A 2071</v>
          </cell>
          <cell r="F434" t="str">
            <v>nasd_18@yahoo.com</v>
          </cell>
        </row>
        <row r="435">
          <cell r="A435">
            <v>901732642</v>
          </cell>
          <cell r="B435" t="str">
            <v>DISTRELEC S.A.S PAIPA</v>
          </cell>
          <cell r="C435" t="str">
            <v>Paipa</v>
          </cell>
          <cell r="D435" t="str">
            <v>Paipa</v>
          </cell>
          <cell r="F435" t="str">
            <v>distrelecsaspaipa@gmail.com</v>
          </cell>
        </row>
        <row r="436">
          <cell r="A436">
            <v>830057963</v>
          </cell>
          <cell r="B436" t="str">
            <v>LIGA DE CANOTAJE DE BOGOTÁ</v>
          </cell>
          <cell r="C436" t="str">
            <v>Paipa</v>
          </cell>
          <cell r="D436" t="str">
            <v>Paipa</v>
          </cell>
          <cell r="F436" t="str">
            <v>presidencia@canotajebogota.com</v>
          </cell>
        </row>
        <row r="437">
          <cell r="A437">
            <v>860026895</v>
          </cell>
          <cell r="B437" t="str">
            <v>ITALCOL SA</v>
          </cell>
          <cell r="C437" t="str">
            <v>Paipa</v>
          </cell>
          <cell r="D437" t="str">
            <v>Paipa</v>
          </cell>
          <cell r="F437" t="str">
            <v>carlosgonzalez@italcol.com</v>
          </cell>
        </row>
        <row r="438">
          <cell r="A438">
            <v>830510011</v>
          </cell>
          <cell r="B438" t="str">
            <v>OFF BOUND ADVENTURES SAS</v>
          </cell>
          <cell r="C438" t="str">
            <v>Paipa</v>
          </cell>
          <cell r="D438" t="str">
            <v>Paipa</v>
          </cell>
          <cell r="F438" t="str">
            <v>info@zambo.com.co</v>
          </cell>
        </row>
        <row r="439">
          <cell r="A439">
            <v>899999025</v>
          </cell>
          <cell r="B439" t="str">
            <v>SOCIEDAD NACIONAL DE LA CRUZ ROJA C</v>
          </cell>
          <cell r="C439" t="str">
            <v>Paipa</v>
          </cell>
          <cell r="D439" t="str">
            <v>Paipa</v>
          </cell>
          <cell r="F439" t="str">
            <v>facturacionelectronica@cruzrojacolombiana.org</v>
          </cell>
        </row>
        <row r="440">
          <cell r="A440">
            <v>7227652</v>
          </cell>
          <cell r="B440" t="str">
            <v>MESA CASTRO WILSON OCTAVIANO</v>
          </cell>
          <cell r="C440" t="str">
            <v>Paipa</v>
          </cell>
          <cell r="D440" t="str">
            <v>Paipa</v>
          </cell>
          <cell r="F440" t="str">
            <v>wilsonfacturas169@gmail.com</v>
          </cell>
        </row>
        <row r="441">
          <cell r="A441">
            <v>74358765</v>
          </cell>
          <cell r="B441" t="str">
            <v>GRANADOS BENAVIDES LUIS ALVARO</v>
          </cell>
          <cell r="C441" t="str">
            <v>Paipa</v>
          </cell>
          <cell r="D441" t="str">
            <v>Paipa</v>
          </cell>
          <cell r="F441" t="str">
            <v>luisalvarogranados@gmail.com</v>
          </cell>
        </row>
        <row r="442">
          <cell r="A442">
            <v>1026255770</v>
          </cell>
          <cell r="B442" t="str">
            <v>HERRERA RAMIREZ ANDRES ANDRES</v>
          </cell>
          <cell r="C442" t="str">
            <v>Paipa</v>
          </cell>
          <cell r="D442" t="str">
            <v>Paipa</v>
          </cell>
          <cell r="F442" t="str">
            <v>jahr.8705@gmail.com</v>
          </cell>
        </row>
        <row r="443">
          <cell r="A443">
            <v>80414831</v>
          </cell>
          <cell r="B443" t="str">
            <v>VELA JIMENEZ JUAN FERNANDO</v>
          </cell>
          <cell r="C443" t="str">
            <v>Paipa</v>
          </cell>
          <cell r="D443" t="str">
            <v>Paipa</v>
          </cell>
          <cell r="F443" t="str">
            <v>hoaniwera@yahoo.com</v>
          </cell>
        </row>
        <row r="444">
          <cell r="A444">
            <v>46674793</v>
          </cell>
          <cell r="B444" t="str">
            <v>CASTRO BAYONA OLGA LUCIA</v>
          </cell>
          <cell r="C444" t="str">
            <v>Paipa</v>
          </cell>
          <cell r="D444" t="str">
            <v>Paipa</v>
          </cell>
          <cell r="F444" t="str">
            <v>olcb2009@gmail.com</v>
          </cell>
        </row>
        <row r="445">
          <cell r="A445">
            <v>74084054</v>
          </cell>
          <cell r="B445" t="str">
            <v>CEPEDA CAMARGO ALEXANDER ALEXANDER</v>
          </cell>
          <cell r="C445" t="str">
            <v>Paipa</v>
          </cell>
          <cell r="D445" t="str">
            <v>Paipa</v>
          </cell>
          <cell r="F445" t="str">
            <v>alexcepeda7@gmail.com</v>
          </cell>
        </row>
        <row r="446">
          <cell r="A446">
            <v>9636422</v>
          </cell>
          <cell r="B446" t="str">
            <v>SORACÁ PIRAJAN FREDY HERNÁN</v>
          </cell>
          <cell r="C446" t="str">
            <v>Paipa</v>
          </cell>
          <cell r="D446" t="str">
            <v>Paipa</v>
          </cell>
          <cell r="F446" t="str">
            <v>briceidatambo03@gamil.com</v>
          </cell>
        </row>
        <row r="447">
          <cell r="A447">
            <v>1049610326</v>
          </cell>
          <cell r="B447" t="str">
            <v>ALVARADO  ARTURO COY</v>
          </cell>
          <cell r="C447" t="str">
            <v>Paipa</v>
          </cell>
          <cell r="D447" t="str">
            <v>Paipa</v>
          </cell>
          <cell r="F447" t="str">
            <v>ingarturocoy264@gmail.com</v>
          </cell>
        </row>
        <row r="448">
          <cell r="A448">
            <v>79041449</v>
          </cell>
          <cell r="B448" t="str">
            <v>GONZALEZ GUERRERO CESAR YURI</v>
          </cell>
          <cell r="C448" t="str">
            <v>Paipa</v>
          </cell>
          <cell r="D448" t="str">
            <v>Paipa</v>
          </cell>
          <cell r="F448" t="str">
            <v>cesaryurigonzalez@gmail.com</v>
          </cell>
        </row>
        <row r="449">
          <cell r="A449">
            <v>7229568</v>
          </cell>
          <cell r="B449" t="str">
            <v>HERNANDEZ CHIA PEDRO JOSE</v>
          </cell>
          <cell r="C449" t="str">
            <v>Paipa</v>
          </cell>
          <cell r="D449" t="str">
            <v>Paipa</v>
          </cell>
          <cell r="F449" t="str">
            <v>hernandezchia@gmail.com</v>
          </cell>
        </row>
        <row r="450">
          <cell r="A450">
            <v>4191069</v>
          </cell>
          <cell r="B450" t="str">
            <v>OCHOA HURTADO HECTOR MANUEL</v>
          </cell>
          <cell r="C450" t="str">
            <v>Paipa</v>
          </cell>
          <cell r="D450" t="str">
            <v>Paipa</v>
          </cell>
          <cell r="F450" t="str">
            <v>hectorochoa58@hotmail.com</v>
          </cell>
        </row>
        <row r="451">
          <cell r="A451">
            <v>4191960</v>
          </cell>
          <cell r="B451" t="str">
            <v>RODRÍGUEZ FONSECA JOSE DEL CARMEN</v>
          </cell>
          <cell r="C451" t="str">
            <v>Paipa</v>
          </cell>
          <cell r="D451" t="str">
            <v>Paipa</v>
          </cell>
          <cell r="F451" t="str">
            <v>clayolrodriguez@uniboyaca.edu.co</v>
          </cell>
        </row>
        <row r="452">
          <cell r="A452">
            <v>4192331</v>
          </cell>
          <cell r="B452" t="str">
            <v>DIAZ PEDRAZA DAVID MAURICIO</v>
          </cell>
          <cell r="C452" t="str">
            <v>Paipa</v>
          </cell>
          <cell r="D452" t="str">
            <v>Paipa</v>
          </cell>
          <cell r="F452" t="str">
            <v>ingdamadipe@gmail.com</v>
          </cell>
        </row>
        <row r="453">
          <cell r="A453">
            <v>6753817</v>
          </cell>
          <cell r="B453" t="str">
            <v>MALDONADO  ALVARO CHAPARRO</v>
          </cell>
          <cell r="C453" t="str">
            <v>Paipa</v>
          </cell>
          <cell r="D453" t="str">
            <v>Paipa</v>
          </cell>
          <cell r="F453" t="str">
            <v>alvarochaparro1950@hotamil.com</v>
          </cell>
        </row>
        <row r="454">
          <cell r="A454">
            <v>6771071</v>
          </cell>
          <cell r="B454" t="str">
            <v>ACEVEDO  HERNANDO RAMIREZ</v>
          </cell>
          <cell r="C454" t="str">
            <v>Paipa</v>
          </cell>
          <cell r="D454" t="str">
            <v>Paipa</v>
          </cell>
          <cell r="F454" t="str">
            <v>rmhernan2012@gmail.com</v>
          </cell>
        </row>
        <row r="455">
          <cell r="A455">
            <v>7187648</v>
          </cell>
          <cell r="B455" t="str">
            <v>CUESTA RUIZ FABIO ALDEMAR</v>
          </cell>
          <cell r="C455" t="str">
            <v>Paipa</v>
          </cell>
          <cell r="D455" t="str">
            <v>Paipa</v>
          </cell>
          <cell r="F455" t="str">
            <v>fgigi27@gmail.com</v>
          </cell>
        </row>
        <row r="456">
          <cell r="A456">
            <v>46455875</v>
          </cell>
          <cell r="B456" t="str">
            <v>MORA MARTINEZ DIANA PAOLA</v>
          </cell>
          <cell r="C456" t="str">
            <v>Paipa</v>
          </cell>
          <cell r="D456" t="str">
            <v>TV 15 30 63</v>
          </cell>
          <cell r="F456" t="str">
            <v>dianitamora2010@hotmail.com</v>
          </cell>
        </row>
        <row r="457">
          <cell r="A457">
            <v>7217632</v>
          </cell>
          <cell r="B457" t="str">
            <v>PINTO  PEDRO GUTIERREZ</v>
          </cell>
          <cell r="C457" t="str">
            <v>Paipa</v>
          </cell>
          <cell r="D457" t="str">
            <v>Paipa</v>
          </cell>
          <cell r="F457" t="str">
            <v>pedro039americas@yahoo.es</v>
          </cell>
        </row>
        <row r="458">
          <cell r="A458">
            <v>7224456</v>
          </cell>
          <cell r="B458" t="str">
            <v>BALLESTEROS RODRIGUEZ JAIRO ALBERTO</v>
          </cell>
          <cell r="C458" t="str">
            <v>Paipa</v>
          </cell>
          <cell r="D458" t="str">
            <v>Paipa</v>
          </cell>
          <cell r="F458" t="str">
            <v>jarris128@yahoo.es</v>
          </cell>
        </row>
        <row r="459">
          <cell r="A459">
            <v>7225388</v>
          </cell>
          <cell r="B459" t="str">
            <v>RINCÓN  HERNANDO TORRES</v>
          </cell>
          <cell r="C459" t="str">
            <v>Paipa</v>
          </cell>
          <cell r="D459" t="str">
            <v>Paipa</v>
          </cell>
          <cell r="F459" t="str">
            <v>torritodht@gmail.com</v>
          </cell>
        </row>
        <row r="460">
          <cell r="A460">
            <v>7227693</v>
          </cell>
          <cell r="B460" t="str">
            <v>SALAMANCA  SILVERIO SANCHEZ</v>
          </cell>
          <cell r="C460" t="str">
            <v>Paipa</v>
          </cell>
          <cell r="D460" t="str">
            <v>Paipa</v>
          </cell>
          <cell r="F460" t="str">
            <v>sil-722@hotmail.com</v>
          </cell>
        </row>
        <row r="461">
          <cell r="A461">
            <v>9397482</v>
          </cell>
          <cell r="B461" t="str">
            <v>MESA ESPINEL CESAR AUGUSTO</v>
          </cell>
          <cell r="C461" t="str">
            <v>Paipa</v>
          </cell>
          <cell r="D461" t="str">
            <v>Paipa</v>
          </cell>
          <cell r="F461" t="str">
            <v>ferrecerrejon@gmail.com</v>
          </cell>
        </row>
        <row r="462">
          <cell r="A462">
            <v>9525495</v>
          </cell>
          <cell r="B462" t="str">
            <v>PATIÑO BARRERA LUIS FRANCISCO</v>
          </cell>
          <cell r="C462" t="str">
            <v>Paipa</v>
          </cell>
          <cell r="D462" t="str">
            <v>Paipa</v>
          </cell>
          <cell r="F462" t="str">
            <v>fran.luispatino18@gmail.com</v>
          </cell>
        </row>
        <row r="463">
          <cell r="A463">
            <v>11233458</v>
          </cell>
          <cell r="B463" t="str">
            <v>RINCÓN PARDO JAIME DANILO</v>
          </cell>
          <cell r="C463" t="str">
            <v>Paipa</v>
          </cell>
          <cell r="D463" t="str">
            <v>Paipa</v>
          </cell>
          <cell r="F463" t="str">
            <v>rinconjaime04@gmail.com</v>
          </cell>
        </row>
        <row r="464">
          <cell r="A464">
            <v>13930108</v>
          </cell>
          <cell r="B464" t="str">
            <v>TRUJILLO RIAÑO CRISTIAN ALEXI</v>
          </cell>
          <cell r="C464" t="str">
            <v>Paipa</v>
          </cell>
          <cell r="D464" t="str">
            <v>Paipa</v>
          </cell>
          <cell r="F464" t="str">
            <v>trujillo0621@yahoo.es</v>
          </cell>
        </row>
        <row r="465">
          <cell r="A465">
            <v>13951151</v>
          </cell>
          <cell r="B465" t="str">
            <v>MARÍN  HERNANDO MUÑOZ</v>
          </cell>
          <cell r="C465" t="str">
            <v>Paipa</v>
          </cell>
          <cell r="D465" t="str">
            <v>Paipa</v>
          </cell>
          <cell r="F465" t="str">
            <v>hernandomunozm@hotmail.com</v>
          </cell>
        </row>
        <row r="466">
          <cell r="A466">
            <v>23561016</v>
          </cell>
          <cell r="B466" t="str">
            <v>BUITRAGO  ARACELY MORA</v>
          </cell>
          <cell r="C466" t="str">
            <v>Paipa</v>
          </cell>
          <cell r="D466" t="str">
            <v>Paipa</v>
          </cell>
          <cell r="F466" t="str">
            <v>alcostoaures@gmail.com</v>
          </cell>
        </row>
        <row r="467">
          <cell r="A467">
            <v>33368777</v>
          </cell>
          <cell r="B467" t="str">
            <v>AMAYA  ERIKA</v>
          </cell>
          <cell r="C467" t="str">
            <v>Paipa</v>
          </cell>
          <cell r="D467" t="str">
            <v>Paipa</v>
          </cell>
          <cell r="F467" t="str">
            <v>amayaer@gmail.com</v>
          </cell>
        </row>
        <row r="468">
          <cell r="A468">
            <v>33376658</v>
          </cell>
          <cell r="B468" t="str">
            <v>NIÑO GALLO GLORIA PATRICIA</v>
          </cell>
          <cell r="C468" t="str">
            <v>Paipa</v>
          </cell>
          <cell r="D468" t="str">
            <v>Paipa</v>
          </cell>
          <cell r="F468" t="str">
            <v>glope357@yahoo.es</v>
          </cell>
        </row>
        <row r="469">
          <cell r="A469">
            <v>40024766</v>
          </cell>
          <cell r="B469" t="str">
            <v>ALVARADO NUÑEZ HAIDE GLORID</v>
          </cell>
          <cell r="C469" t="str">
            <v>Paipa</v>
          </cell>
          <cell r="D469" t="str">
            <v>Paipa</v>
          </cell>
          <cell r="F469" t="str">
            <v>eglodistribuciones@gmail.com</v>
          </cell>
        </row>
        <row r="470">
          <cell r="A470">
            <v>46366455</v>
          </cell>
          <cell r="B470" t="str">
            <v>ALVAREZ  YANET RUIZ</v>
          </cell>
          <cell r="C470" t="str">
            <v>Paipa</v>
          </cell>
          <cell r="D470" t="str">
            <v>Paipa</v>
          </cell>
          <cell r="F470" t="str">
            <v>janetsitara@gmail.com</v>
          </cell>
        </row>
        <row r="471">
          <cell r="A471">
            <v>52770928</v>
          </cell>
          <cell r="B471" t="str">
            <v>CHACÓN  YASMIN DÍAZ</v>
          </cell>
          <cell r="C471" t="str">
            <v>Paipa</v>
          </cell>
          <cell r="D471" t="str">
            <v>Paipa</v>
          </cell>
          <cell r="F471" t="str">
            <v>yasmindch@gmail.com</v>
          </cell>
        </row>
        <row r="472">
          <cell r="A472">
            <v>74182533</v>
          </cell>
          <cell r="B472" t="str">
            <v>BENAVIDES BENAVIDES EDWIN JARDIEL</v>
          </cell>
          <cell r="C472" t="str">
            <v>Paipa</v>
          </cell>
          <cell r="D472" t="str">
            <v>Paipa</v>
          </cell>
          <cell r="F472" t="str">
            <v>vdredwin@hotmail.com</v>
          </cell>
        </row>
        <row r="473">
          <cell r="A473">
            <v>74323325</v>
          </cell>
          <cell r="B473" t="str">
            <v>ECHEVERRIA SANCHEZ VICTOR HUGO</v>
          </cell>
          <cell r="C473" t="str">
            <v>Paipa</v>
          </cell>
          <cell r="D473" t="str">
            <v>Paipa</v>
          </cell>
          <cell r="F473" t="str">
            <v>victorhe67@hotmail.com</v>
          </cell>
        </row>
        <row r="474">
          <cell r="A474">
            <v>74358901</v>
          </cell>
          <cell r="B474" t="str">
            <v>ZAMBRANO VARGAS JOSE ANGEL</v>
          </cell>
          <cell r="C474" t="str">
            <v>Paipa</v>
          </cell>
          <cell r="D474" t="str">
            <v>Paipa</v>
          </cell>
          <cell r="F474" t="str">
            <v>angelz429@hotmail.com</v>
          </cell>
        </row>
        <row r="475">
          <cell r="A475">
            <v>74359114</v>
          </cell>
          <cell r="B475" t="str">
            <v>VASQUEZ CASTRO MARTIN MARTIN</v>
          </cell>
          <cell r="C475" t="str">
            <v>Paipa</v>
          </cell>
          <cell r="D475" t="str">
            <v>Paipa</v>
          </cell>
          <cell r="F475" t="str">
            <v>servulomartin@gmail.com</v>
          </cell>
        </row>
        <row r="476">
          <cell r="A476">
            <v>74373015</v>
          </cell>
          <cell r="B476" t="str">
            <v>PRADO  JULIÁN</v>
          </cell>
          <cell r="C476" t="str">
            <v>Paipa</v>
          </cell>
          <cell r="D476" t="str">
            <v>Paipa</v>
          </cell>
          <cell r="F476" t="str">
            <v>julipra@hotmail.com</v>
          </cell>
        </row>
        <row r="477">
          <cell r="A477">
            <v>79119004</v>
          </cell>
          <cell r="B477" t="str">
            <v>SALAMANCA GUACANEME JOSE ARISTOBULO</v>
          </cell>
          <cell r="C477" t="str">
            <v>Paipa</v>
          </cell>
          <cell r="D477" t="str">
            <v>Paipa</v>
          </cell>
          <cell r="F477" t="str">
            <v>gercan9@hotmail.com</v>
          </cell>
        </row>
        <row r="478">
          <cell r="A478">
            <v>79504446</v>
          </cell>
          <cell r="B478" t="str">
            <v>MALDONADO VANEGAS WILLIAM DAVID</v>
          </cell>
          <cell r="C478" t="str">
            <v>Paipa</v>
          </cell>
          <cell r="D478" t="str">
            <v>Paipa</v>
          </cell>
          <cell r="F478" t="str">
            <v>widamava@hotmail.com</v>
          </cell>
        </row>
        <row r="479">
          <cell r="A479">
            <v>79940189</v>
          </cell>
          <cell r="B479" t="str">
            <v>MUÑOZ  ALBERTO LOZANO</v>
          </cell>
          <cell r="C479" t="str">
            <v>Paipa</v>
          </cell>
          <cell r="D479" t="str">
            <v>Paipa</v>
          </cell>
          <cell r="F479" t="str">
            <v>alozano76@gmail.com</v>
          </cell>
        </row>
        <row r="480">
          <cell r="A480">
            <v>80039731</v>
          </cell>
          <cell r="B480" t="str">
            <v>BEJARANO MORALES DAVID DAVID</v>
          </cell>
          <cell r="C480" t="str">
            <v>Paipa</v>
          </cell>
          <cell r="D480" t="str">
            <v>Paipa</v>
          </cell>
          <cell r="F480" t="str">
            <v>cesarbejaranopremier@gmail.com</v>
          </cell>
        </row>
        <row r="481">
          <cell r="A481">
            <v>1010023865</v>
          </cell>
          <cell r="B481" t="str">
            <v>LLANOS BARON ANA MARIA</v>
          </cell>
          <cell r="C481" t="str">
            <v>Paipa</v>
          </cell>
          <cell r="D481" t="str">
            <v>Paipa</v>
          </cell>
          <cell r="F481" t="str">
            <v>registrodiario23@gmail.com</v>
          </cell>
        </row>
        <row r="482">
          <cell r="A482">
            <v>1016040228</v>
          </cell>
          <cell r="B482" t="str">
            <v>RODRÍGUEZ GUZMÁN FERNANDO ENRIQUE</v>
          </cell>
          <cell r="C482" t="str">
            <v>Paipa</v>
          </cell>
          <cell r="D482" t="str">
            <v>Paipa</v>
          </cell>
          <cell r="F482" t="str">
            <v>fernandoroguz10@outlook.com</v>
          </cell>
        </row>
        <row r="483">
          <cell r="A483">
            <v>1016041756</v>
          </cell>
          <cell r="B483" t="str">
            <v>OCHOA PARDO JORGE LUIS</v>
          </cell>
          <cell r="C483" t="str">
            <v>Paipa</v>
          </cell>
          <cell r="D483" t="str">
            <v>Paipa</v>
          </cell>
          <cell r="F483" t="str">
            <v>nomada.al@hotmail.com</v>
          </cell>
        </row>
        <row r="484">
          <cell r="A484">
            <v>1020784353</v>
          </cell>
          <cell r="B484" t="str">
            <v>PAPAGAYO BENREY MARIA CAMILA</v>
          </cell>
          <cell r="C484" t="str">
            <v>Paipa</v>
          </cell>
          <cell r="D484" t="str">
            <v>Paipa</v>
          </cell>
          <cell r="F484" t="str">
            <v>camipapagayo@gmail.com</v>
          </cell>
        </row>
        <row r="485">
          <cell r="A485">
            <v>1026584203</v>
          </cell>
          <cell r="B485" t="str">
            <v>PULIDO  ANDREA VASQUEZ</v>
          </cell>
          <cell r="C485" t="str">
            <v>Paipa</v>
          </cell>
          <cell r="D485" t="str">
            <v>Paipa</v>
          </cell>
          <cell r="F485" t="str">
            <v>vasqxandw@gmail.com</v>
          </cell>
        </row>
        <row r="486">
          <cell r="A486">
            <v>1048847392</v>
          </cell>
          <cell r="B486" t="str">
            <v>PUCHIGAY CARDOZO JULIO ESNEIDER</v>
          </cell>
          <cell r="C486" t="str">
            <v>Paipa</v>
          </cell>
          <cell r="D486" t="str">
            <v>Paipa</v>
          </cell>
          <cell r="F486" t="str">
            <v>juliopuchigay@gmail.com</v>
          </cell>
        </row>
        <row r="487">
          <cell r="A487">
            <v>1049614313</v>
          </cell>
          <cell r="B487" t="str">
            <v>GARCIA SAENZ HEIVER ARMANDO</v>
          </cell>
          <cell r="C487" t="str">
            <v>Paipa</v>
          </cell>
          <cell r="D487" t="str">
            <v>Paipa</v>
          </cell>
          <cell r="F487" t="str">
            <v>garciasaenz15@gmail.com</v>
          </cell>
        </row>
        <row r="488">
          <cell r="A488">
            <v>1052402767</v>
          </cell>
          <cell r="B488" t="str">
            <v>SANCHEZ LOPEZ EDWIN GIOVANNY</v>
          </cell>
          <cell r="C488" t="str">
            <v>Paipa</v>
          </cell>
          <cell r="D488" t="str">
            <v>Paipa</v>
          </cell>
          <cell r="F488" t="str">
            <v>patricialop.07@gmail.com</v>
          </cell>
        </row>
        <row r="489">
          <cell r="A489">
            <v>1053606271</v>
          </cell>
          <cell r="B489" t="str">
            <v>SUAREZ BOCIGA YIMMI FAVIAN</v>
          </cell>
          <cell r="C489" t="str">
            <v>Paipa</v>
          </cell>
          <cell r="D489" t="str">
            <v>Paipa</v>
          </cell>
          <cell r="F489" t="str">
            <v>yimmifsb21@hotmail.com</v>
          </cell>
        </row>
        <row r="490">
          <cell r="A490">
            <v>1053606304</v>
          </cell>
          <cell r="B490" t="str">
            <v>BARON CIPAGAUTA EDDY BALBINO</v>
          </cell>
          <cell r="C490" t="str">
            <v>Paipa</v>
          </cell>
          <cell r="D490" t="str">
            <v>Paipa</v>
          </cell>
          <cell r="F490" t="str">
            <v>j.balbin.com2375@gmail.com</v>
          </cell>
        </row>
        <row r="491">
          <cell r="A491">
            <v>1053606640</v>
          </cell>
          <cell r="B491" t="str">
            <v>GONZALEZ MANOSALVA NUBIA LILIANA</v>
          </cell>
          <cell r="C491" t="str">
            <v>Paipa</v>
          </cell>
          <cell r="D491" t="str">
            <v>Paipa</v>
          </cell>
          <cell r="F491" t="str">
            <v>nulilima88@gmail.com</v>
          </cell>
        </row>
        <row r="492">
          <cell r="A492">
            <v>1053608085</v>
          </cell>
          <cell r="B492" t="str">
            <v>GIRATA BAEZ ALVARO ANTONIO</v>
          </cell>
          <cell r="C492" t="str">
            <v>Paipa</v>
          </cell>
          <cell r="D492" t="str">
            <v>Paipa</v>
          </cell>
          <cell r="F492" t="str">
            <v>radiolapaz710am@hotmail.com</v>
          </cell>
        </row>
        <row r="493">
          <cell r="A493">
            <v>1053608417</v>
          </cell>
          <cell r="B493" t="str">
            <v>VELANDOA PACHECO ERIKA YERALDIN</v>
          </cell>
          <cell r="C493" t="str">
            <v>Paipa</v>
          </cell>
          <cell r="D493" t="str">
            <v>Paipa</v>
          </cell>
          <cell r="F493" t="str">
            <v>erivela.23@gmail.com</v>
          </cell>
        </row>
        <row r="494">
          <cell r="A494">
            <v>1053609838</v>
          </cell>
          <cell r="B494" t="str">
            <v>SOCHE  IGNACIO GRANADOS</v>
          </cell>
          <cell r="C494" t="str">
            <v>Paipa</v>
          </cell>
          <cell r="D494" t="str">
            <v>Paipa</v>
          </cell>
          <cell r="F494" t="str">
            <v>nachogranados197@gmail.com</v>
          </cell>
        </row>
        <row r="495">
          <cell r="A495">
            <v>1053611232</v>
          </cell>
          <cell r="B495" t="str">
            <v>HOSTTOS AYALA DIANA PAOLA</v>
          </cell>
          <cell r="C495" t="str">
            <v>Paipa</v>
          </cell>
          <cell r="D495" t="str">
            <v>Paipa</v>
          </cell>
          <cell r="F495" t="str">
            <v>dianahosttos@gmail.com</v>
          </cell>
        </row>
        <row r="496">
          <cell r="A496">
            <v>1053614204</v>
          </cell>
          <cell r="B496" t="str">
            <v>CAMARGO MATEUS OSMAN ARLEY</v>
          </cell>
          <cell r="C496" t="str">
            <v>Paipa</v>
          </cell>
          <cell r="D496" t="str">
            <v>Paipa</v>
          </cell>
          <cell r="F496" t="str">
            <v>osmanarleycamargomateus@gmail.com</v>
          </cell>
        </row>
        <row r="497">
          <cell r="A497">
            <v>1053607181</v>
          </cell>
          <cell r="B497" t="str">
            <v>YATE OCHOA GREGORIO</v>
          </cell>
          <cell r="C497" t="str">
            <v>Paipa</v>
          </cell>
          <cell r="D497" t="str">
            <v>Paipa</v>
          </cell>
          <cell r="F497" t="str">
            <v>gregorioyate26@hotmail.com</v>
          </cell>
        </row>
        <row r="498">
          <cell r="A498">
            <v>1055314083</v>
          </cell>
          <cell r="B498" t="str">
            <v>RODRIGUEZ LOPEZ EDWIN GEOVANNY</v>
          </cell>
          <cell r="C498" t="str">
            <v>Paipa</v>
          </cell>
          <cell r="D498" t="str">
            <v>Paipa</v>
          </cell>
          <cell r="F498" t="str">
            <v>edwintrag30@hotmail.com</v>
          </cell>
        </row>
        <row r="499">
          <cell r="A499">
            <v>800086581</v>
          </cell>
          <cell r="B499" t="str">
            <v>RIR ARQUITECTOS</v>
          </cell>
          <cell r="C499" t="str">
            <v>Paipa</v>
          </cell>
          <cell r="D499" t="str">
            <v>Paipa</v>
          </cell>
          <cell r="F499" t="str">
            <v>lclopez@rirarquitectos.com</v>
          </cell>
        </row>
        <row r="500">
          <cell r="A500">
            <v>804010123</v>
          </cell>
          <cell r="B500" t="str">
            <v>LEON LEON E HIJOS LTDA</v>
          </cell>
          <cell r="C500" t="str">
            <v>Paipa</v>
          </cell>
          <cell r="D500" t="str">
            <v>Paipa</v>
          </cell>
          <cell r="F500" t="str">
            <v>contaduitamaleonleon@gmail.com</v>
          </cell>
        </row>
        <row r="501">
          <cell r="A501">
            <v>826002241</v>
          </cell>
          <cell r="B501" t="str">
            <v>COVAR INVERSIONES LTDA</v>
          </cell>
          <cell r="C501" t="str">
            <v>Paipa</v>
          </cell>
          <cell r="D501" t="str">
            <v>Paipa</v>
          </cell>
          <cell r="F501" t="str">
            <v>covarltda@gmail.com</v>
          </cell>
        </row>
        <row r="502">
          <cell r="A502">
            <v>830076745</v>
          </cell>
          <cell r="B502" t="str">
            <v>ACADIT INGENIERIA LTDA</v>
          </cell>
          <cell r="C502" t="str">
            <v>Paipa</v>
          </cell>
          <cell r="D502" t="str">
            <v>Paipa</v>
          </cell>
          <cell r="F502" t="str">
            <v>fac3251@gmail.com</v>
          </cell>
        </row>
        <row r="503">
          <cell r="A503">
            <v>830101217</v>
          </cell>
          <cell r="B503" t="str">
            <v>GEOMETRY GLOBAL SAS</v>
          </cell>
          <cell r="C503" t="str">
            <v>Paipa</v>
          </cell>
          <cell r="D503" t="str">
            <v>Paipa</v>
          </cell>
          <cell r="F503" t="str">
            <v>recepciong.facturas@vmlyrcommerce.com</v>
          </cell>
        </row>
        <row r="504">
          <cell r="A504">
            <v>890304099</v>
          </cell>
          <cell r="B504" t="str">
            <v>HOTELES ESTELAR</v>
          </cell>
          <cell r="C504" t="str">
            <v>Paipa</v>
          </cell>
          <cell r="D504" t="str">
            <v>Paipa</v>
          </cell>
          <cell r="F504" t="str">
            <v>seproveedoraltoprado@hotelesestelar.com</v>
          </cell>
        </row>
        <row r="505">
          <cell r="A505">
            <v>900154695</v>
          </cell>
          <cell r="B505" t="str">
            <v>3NET TELECOMUNICACIONES SAS</v>
          </cell>
          <cell r="C505" t="str">
            <v>Paipa</v>
          </cell>
          <cell r="D505" t="str">
            <v>Paipa</v>
          </cell>
          <cell r="F505" t="str">
            <v>mbochoa@3netcomunicaciones.com.co</v>
          </cell>
        </row>
        <row r="506">
          <cell r="A506">
            <v>900159278</v>
          </cell>
          <cell r="B506" t="str">
            <v>PROCTEK SAS</v>
          </cell>
          <cell r="C506" t="str">
            <v>Paipa</v>
          </cell>
          <cell r="D506" t="str">
            <v>Paipa</v>
          </cell>
          <cell r="F506" t="str">
            <v>bogota@proctek.com</v>
          </cell>
        </row>
        <row r="507">
          <cell r="A507">
            <v>900232184</v>
          </cell>
          <cell r="B507" t="str">
            <v>SUMINISTROS Y SOLUCIONES COMERCIALI</v>
          </cell>
          <cell r="C507" t="str">
            <v>Paipa</v>
          </cell>
          <cell r="D507" t="str">
            <v>Paipa</v>
          </cell>
          <cell r="F507" t="str">
            <v>facturas.suministrosysoluciones@gmail.com</v>
          </cell>
        </row>
        <row r="508">
          <cell r="A508">
            <v>900296879</v>
          </cell>
          <cell r="B508" t="str">
            <v>AGROACTIVA JVR SAS</v>
          </cell>
          <cell r="C508" t="str">
            <v>Paipa</v>
          </cell>
          <cell r="D508" t="str">
            <v>Paipa</v>
          </cell>
          <cell r="F508" t="str">
            <v>dir.carteraagroactiva@gmail.com</v>
          </cell>
        </row>
        <row r="509">
          <cell r="A509">
            <v>900543165</v>
          </cell>
          <cell r="B509" t="str">
            <v>CDT MINERAL</v>
          </cell>
          <cell r="C509" t="str">
            <v>Paipa</v>
          </cell>
          <cell r="D509" t="str">
            <v>Paipa</v>
          </cell>
          <cell r="F509" t="str">
            <v>info@cdtmineral.com</v>
          </cell>
        </row>
        <row r="510">
          <cell r="A510">
            <v>900812196</v>
          </cell>
          <cell r="B510" t="str">
            <v>IMPACTA COMERCIALIZADORA SAS</v>
          </cell>
          <cell r="C510" t="str">
            <v>Paipa</v>
          </cell>
          <cell r="D510" t="str">
            <v>Paipa</v>
          </cell>
          <cell r="F510" t="str">
            <v>contabilidadimpacta@gmail.com</v>
          </cell>
        </row>
        <row r="511">
          <cell r="A511">
            <v>900880069</v>
          </cell>
          <cell r="B511" t="str">
            <v>CENTRO DE ENSENANZA AUTOMOVILISTICA</v>
          </cell>
          <cell r="C511" t="str">
            <v>Paipa</v>
          </cell>
          <cell r="D511" t="str">
            <v>Paipa</v>
          </cell>
          <cell r="F511" t="str">
            <v>williamsas@hotmail.com</v>
          </cell>
        </row>
        <row r="512">
          <cell r="A512">
            <v>901175026</v>
          </cell>
          <cell r="B512" t="str">
            <v>INTEGRATTI SAS</v>
          </cell>
          <cell r="C512" t="str">
            <v>Paipa</v>
          </cell>
          <cell r="D512" t="str">
            <v>Paipa</v>
          </cell>
          <cell r="F512" t="str">
            <v>albertobintegratti@gmail.com</v>
          </cell>
        </row>
        <row r="513">
          <cell r="A513">
            <v>901237153</v>
          </cell>
          <cell r="B513" t="str">
            <v>ORINOCO HEMP FARMS SAS</v>
          </cell>
          <cell r="C513" t="str">
            <v>Paipa</v>
          </cell>
          <cell r="D513" t="str">
            <v>Paipa</v>
          </cell>
          <cell r="F513" t="str">
            <v>back.office@613partners.com</v>
          </cell>
        </row>
        <row r="514">
          <cell r="A514">
            <v>901368092</v>
          </cell>
          <cell r="B514" t="str">
            <v>TRANSPORTES Y SUMINISTROS LOPTOR SA</v>
          </cell>
          <cell r="C514" t="str">
            <v>Paipa</v>
          </cell>
          <cell r="D514" t="str">
            <v>Paipa</v>
          </cell>
          <cell r="F514" t="str">
            <v>trasportesloptor@gmail.co</v>
          </cell>
        </row>
        <row r="515">
          <cell r="A515">
            <v>901417172</v>
          </cell>
          <cell r="B515" t="str">
            <v>MONTACARGAS SERVINSTANTES SAS</v>
          </cell>
          <cell r="C515" t="str">
            <v>Paipa</v>
          </cell>
          <cell r="D515" t="str">
            <v>Paipa</v>
          </cell>
          <cell r="F515" t="str">
            <v>servinstantesas@hotmail.com</v>
          </cell>
        </row>
        <row r="516">
          <cell r="A516">
            <v>901502081</v>
          </cell>
          <cell r="B516" t="str">
            <v>MUNICIPIOS WEB</v>
          </cell>
          <cell r="C516" t="str">
            <v>Paipa</v>
          </cell>
          <cell r="D516" t="str">
            <v>Paipa</v>
          </cell>
          <cell r="F516" t="str">
            <v>reddeculturaciudadana@gmail.com</v>
          </cell>
        </row>
        <row r="517">
          <cell r="A517">
            <v>901517871</v>
          </cell>
          <cell r="B517" t="str">
            <v>SOLUCIONES ARTICAS SAS</v>
          </cell>
          <cell r="C517" t="str">
            <v>Paipa</v>
          </cell>
          <cell r="D517" t="str">
            <v>Paipa</v>
          </cell>
          <cell r="F517" t="str">
            <v>hectorjimenez513@gmail.com</v>
          </cell>
        </row>
        <row r="518">
          <cell r="A518">
            <v>901527531</v>
          </cell>
          <cell r="B518" t="str">
            <v>ONE TELECOMUNICACIONES SAS</v>
          </cell>
          <cell r="C518" t="str">
            <v>Paipa</v>
          </cell>
          <cell r="D518" t="str">
            <v>Paipa</v>
          </cell>
          <cell r="F518" t="str">
            <v>contabilidad@onetelecomunicaciones.com</v>
          </cell>
        </row>
        <row r="519">
          <cell r="A519">
            <v>901630620</v>
          </cell>
          <cell r="B519" t="str">
            <v>INVERSIONES BADOZA COLOMBIA S.A.S.</v>
          </cell>
          <cell r="C519" t="str">
            <v>Paipa</v>
          </cell>
          <cell r="D519" t="str">
            <v>Paipa</v>
          </cell>
          <cell r="F519" t="str">
            <v>badozacolombia@hotmail.com</v>
          </cell>
        </row>
        <row r="520">
          <cell r="A520">
            <v>901737009</v>
          </cell>
          <cell r="B520" t="str">
            <v>FUNDACION SISTECREDITO</v>
          </cell>
          <cell r="C520" t="str">
            <v>Paipa</v>
          </cell>
          <cell r="D520" t="str">
            <v>Paipa</v>
          </cell>
          <cell r="F520" t="str">
            <v>impuestos@sistecredito.com</v>
          </cell>
        </row>
        <row r="521">
          <cell r="A521">
            <v>901794235</v>
          </cell>
          <cell r="B521" t="str">
            <v>IPS LÍNEA DE VIDA SAS</v>
          </cell>
          <cell r="C521" t="str">
            <v>Paipa</v>
          </cell>
          <cell r="D521" t="str">
            <v>Paipa</v>
          </cell>
          <cell r="F521" t="str">
            <v>tablineadevida@gmail.com</v>
          </cell>
        </row>
        <row r="522">
          <cell r="A522">
            <v>16940637</v>
          </cell>
          <cell r="B522" t="str">
            <v>ALARCON  ROGER CARDONA</v>
          </cell>
          <cell r="C522" t="str">
            <v>Paipa</v>
          </cell>
          <cell r="D522" t="str">
            <v>Paipa</v>
          </cell>
          <cell r="F522" t="str">
            <v>rcardonakama@gmail.com</v>
          </cell>
        </row>
        <row r="523">
          <cell r="A523">
            <v>23810152</v>
          </cell>
          <cell r="B523" t="str">
            <v>SOLER RAMIREZ MARITZA MARITZA</v>
          </cell>
          <cell r="C523" t="str">
            <v>Paipa</v>
          </cell>
          <cell r="D523" t="str">
            <v>Paipa</v>
          </cell>
          <cell r="F523" t="str">
            <v>rosmarsol20@gmail.com</v>
          </cell>
        </row>
        <row r="524">
          <cell r="A524">
            <v>24175934</v>
          </cell>
          <cell r="B524" t="str">
            <v>DAZA PEDRAZA MARÍA HERMELINDA</v>
          </cell>
          <cell r="C524" t="str">
            <v>Paipa</v>
          </cell>
          <cell r="D524" t="str">
            <v>Paipa</v>
          </cell>
          <cell r="F524" t="str">
            <v>claus291992@gmail.com</v>
          </cell>
        </row>
        <row r="525">
          <cell r="A525">
            <v>33367256</v>
          </cell>
          <cell r="B525" t="str">
            <v>GUERRERO RODRÍGUEZ ADRIANA DEL PILAR</v>
          </cell>
          <cell r="C525" t="str">
            <v>Paipa</v>
          </cell>
          <cell r="D525" t="str">
            <v>Paipa</v>
          </cell>
          <cell r="F525" t="str">
            <v>adrianaguerrerorodriguez29@gmail.com</v>
          </cell>
        </row>
        <row r="526">
          <cell r="A526">
            <v>33701238</v>
          </cell>
          <cell r="B526" t="str">
            <v>LOPEZ  LUZ AIDA</v>
          </cell>
          <cell r="C526" t="str">
            <v>Paipa</v>
          </cell>
          <cell r="D526" t="str">
            <v>Paipa</v>
          </cell>
          <cell r="F526" t="str">
            <v>luzaida.lopez19@gmail.com</v>
          </cell>
        </row>
        <row r="527">
          <cell r="A527">
            <v>46456932</v>
          </cell>
          <cell r="B527" t="str">
            <v>MATEUS ROSAS NANCY CATALINA</v>
          </cell>
          <cell r="C527" t="str">
            <v>Paipa</v>
          </cell>
          <cell r="D527" t="str">
            <v>Paipa</v>
          </cell>
          <cell r="F527" t="str">
            <v>katamaro@gmail.com</v>
          </cell>
        </row>
        <row r="528">
          <cell r="A528">
            <v>46682908</v>
          </cell>
          <cell r="B528" t="str">
            <v>CUESTA OVALLE ALBA MILENA</v>
          </cell>
          <cell r="C528" t="str">
            <v>Paipa</v>
          </cell>
          <cell r="D528" t="str">
            <v>Paipa</v>
          </cell>
          <cell r="F528" t="str">
            <v>milenacuestao.29@gmail.com</v>
          </cell>
        </row>
        <row r="529">
          <cell r="A529">
            <v>46682985</v>
          </cell>
          <cell r="B529" t="str">
            <v>RODRIGUEZ BERNATE KALINDI DEVI</v>
          </cell>
          <cell r="C529" t="str">
            <v>Paipa</v>
          </cell>
          <cell r="D529" t="str">
            <v>Paipa</v>
          </cell>
          <cell r="F529" t="str">
            <v>kalindidevi22@gmail.com</v>
          </cell>
        </row>
        <row r="530">
          <cell r="A530">
            <v>1052404582</v>
          </cell>
          <cell r="B530" t="str">
            <v>GUTIERREZ CORREA YESIKA LORENA</v>
          </cell>
          <cell r="C530" t="str">
            <v>Paipa</v>
          </cell>
          <cell r="D530" t="str">
            <v>Paipa</v>
          </cell>
          <cell r="F530" t="str">
            <v>yesikagutierrez23@gmail.com</v>
          </cell>
        </row>
        <row r="531">
          <cell r="A531">
            <v>1049619143</v>
          </cell>
          <cell r="B531" t="str">
            <v>RUIZ SALAMANCA DIEGO ANTONIO</v>
          </cell>
          <cell r="C531" t="str">
            <v>Paipa</v>
          </cell>
          <cell r="D531" t="str">
            <v>Paipa</v>
          </cell>
          <cell r="F531" t="str">
            <v>diego.ruiz1045@gmail.com</v>
          </cell>
        </row>
        <row r="532">
          <cell r="A532">
            <v>1007196550</v>
          </cell>
          <cell r="B532" t="str">
            <v>PEREZ SENEJOA WILLIAN GUILLERMO</v>
          </cell>
          <cell r="C532" t="str">
            <v>Paipa</v>
          </cell>
          <cell r="D532" t="str">
            <v>Paipa</v>
          </cell>
          <cell r="F532" t="str">
            <v>senejoawillianprz1821@gmail.com</v>
          </cell>
        </row>
        <row r="533">
          <cell r="A533">
            <v>1002480548</v>
          </cell>
          <cell r="B533" t="str">
            <v>HIGUERA  YOHAN HIGUERA</v>
          </cell>
          <cell r="C533" t="str">
            <v>Paipa</v>
          </cell>
          <cell r="D533" t="str">
            <v>Paipa</v>
          </cell>
          <cell r="F533" t="str">
            <v>ferneyhiguera@gmail.com</v>
          </cell>
        </row>
        <row r="534">
          <cell r="A534">
            <v>1001300425</v>
          </cell>
          <cell r="B534" t="str">
            <v>OSMAN BAUTISTA BRANDON STIVEN</v>
          </cell>
          <cell r="C534" t="str">
            <v>Paipa</v>
          </cell>
          <cell r="D534" t="str">
            <v>Paipa</v>
          </cell>
          <cell r="F534" t="str">
            <v>nanosman17@gmail.com</v>
          </cell>
        </row>
        <row r="535">
          <cell r="A535">
            <v>94319171</v>
          </cell>
          <cell r="B535" t="str">
            <v>CAMACHO GALINDO HUGO ALBERTO</v>
          </cell>
          <cell r="C535" t="str">
            <v>Paipa</v>
          </cell>
          <cell r="D535" t="str">
            <v>Paipa</v>
          </cell>
          <cell r="F535" t="str">
            <v>hacamachog@outlook.com</v>
          </cell>
        </row>
        <row r="536">
          <cell r="A536">
            <v>91537776</v>
          </cell>
          <cell r="B536" t="str">
            <v>LONDOÑO BOTIA ALDEMAR DE JESÚS</v>
          </cell>
          <cell r="C536" t="str">
            <v>Paipa</v>
          </cell>
          <cell r="D536" t="str">
            <v>Paipa</v>
          </cell>
          <cell r="F536" t="str">
            <v>aldeautos1@gmail.com</v>
          </cell>
        </row>
        <row r="537">
          <cell r="A537">
            <v>91227731</v>
          </cell>
          <cell r="B537" t="str">
            <v>SANCHEZ  GERARDO TARAZONA</v>
          </cell>
          <cell r="C537" t="str">
            <v>Paipa</v>
          </cell>
          <cell r="D537" t="str">
            <v>Paipa</v>
          </cell>
          <cell r="F537" t="str">
            <v>pqrcarnestarazona@gmail.com</v>
          </cell>
        </row>
        <row r="538">
          <cell r="A538">
            <v>80850656</v>
          </cell>
          <cell r="B538" t="str">
            <v>CRUZ MORALES FABIAN ANDRÉS</v>
          </cell>
          <cell r="C538" t="str">
            <v>Paipa</v>
          </cell>
          <cell r="D538" t="str">
            <v>Paipa</v>
          </cell>
          <cell r="F538" t="str">
            <v>fabian228@hotmail.com</v>
          </cell>
        </row>
        <row r="539">
          <cell r="A539">
            <v>80778730</v>
          </cell>
          <cell r="B539" t="str">
            <v>GORDILLO HERNANDEZ LUIS HERNANDO</v>
          </cell>
          <cell r="C539" t="str">
            <v>Paipa</v>
          </cell>
          <cell r="D539" t="str">
            <v>Paipa</v>
          </cell>
          <cell r="F539" t="str">
            <v>luishernandogordillo@yahoo.com.co</v>
          </cell>
        </row>
        <row r="540">
          <cell r="A540">
            <v>79748714</v>
          </cell>
          <cell r="B540" t="str">
            <v>TOVAR BRAVO JUAN MANUEL</v>
          </cell>
          <cell r="C540" t="str">
            <v>Paipa</v>
          </cell>
          <cell r="D540" t="str">
            <v>Paipa</v>
          </cell>
          <cell r="F540" t="str">
            <v>tovarautos@gmail.com</v>
          </cell>
        </row>
        <row r="541">
          <cell r="A541">
            <v>74373781</v>
          </cell>
          <cell r="B541" t="str">
            <v>PEREZ  NELSON PULIDO</v>
          </cell>
          <cell r="C541" t="str">
            <v>Paipa</v>
          </cell>
          <cell r="D541" t="str">
            <v>Paipa</v>
          </cell>
          <cell r="F541" t="str">
            <v>pulidonelson21@gmail.com</v>
          </cell>
        </row>
        <row r="542">
          <cell r="A542">
            <v>74359332</v>
          </cell>
          <cell r="B542" t="str">
            <v>GUATIBONZA CASTRO YHONSON ENRIQUE</v>
          </cell>
          <cell r="C542" t="str">
            <v>Paipa</v>
          </cell>
          <cell r="D542" t="str">
            <v>Paipa</v>
          </cell>
          <cell r="F542" t="str">
            <v>yhonson1975@hotmail.com</v>
          </cell>
        </row>
        <row r="543">
          <cell r="A543">
            <v>74359203</v>
          </cell>
          <cell r="B543" t="str">
            <v>LOPEZ TORRES GYOVANNY EMIR</v>
          </cell>
          <cell r="C543" t="str">
            <v>Paipa</v>
          </cell>
          <cell r="D543" t="str">
            <v>Paipa</v>
          </cell>
          <cell r="F543" t="str">
            <v>gyovanny.lopez@yahoo.es</v>
          </cell>
        </row>
        <row r="544">
          <cell r="A544">
            <v>74326052</v>
          </cell>
          <cell r="B544" t="str">
            <v>PEÑARANDA  ALEJANDRO RODRIGUEZ</v>
          </cell>
          <cell r="C544" t="str">
            <v>Paipa</v>
          </cell>
          <cell r="D544" t="str">
            <v>Paipa</v>
          </cell>
          <cell r="F544" t="str">
            <v>alejandrorodriguez36@hotmail.com</v>
          </cell>
        </row>
        <row r="545">
          <cell r="A545">
            <v>74324387</v>
          </cell>
          <cell r="B545" t="str">
            <v>VARGAS ALBA JUAN CARLOS</v>
          </cell>
          <cell r="C545" t="str">
            <v>Paipa</v>
          </cell>
          <cell r="D545" t="str">
            <v>Paipa</v>
          </cell>
          <cell r="F545" t="str">
            <v>jucavaal@yahoo.es</v>
          </cell>
        </row>
        <row r="546">
          <cell r="A546">
            <v>74130654</v>
          </cell>
          <cell r="B546" t="str">
            <v>RODRIGUEZ BOHORQUEZ FABIAN ALEXANDER</v>
          </cell>
          <cell r="C546" t="str">
            <v>Paipa</v>
          </cell>
          <cell r="D546" t="str">
            <v>Paipa</v>
          </cell>
          <cell r="F546" t="str">
            <v>lavide617@gmail.com</v>
          </cell>
        </row>
        <row r="547">
          <cell r="A547">
            <v>74130571</v>
          </cell>
          <cell r="B547" t="str">
            <v>AVELLA AVELLA NESTOR FERNANDO</v>
          </cell>
          <cell r="C547" t="str">
            <v>Paipa</v>
          </cell>
          <cell r="D547" t="str">
            <v>Paipa</v>
          </cell>
          <cell r="F547" t="str">
            <v>nanfer5828@gmail.com</v>
          </cell>
        </row>
        <row r="548">
          <cell r="A548">
            <v>74130498</v>
          </cell>
          <cell r="B548" t="str">
            <v>OCHOA AVELLA FREDY ALEXANDER</v>
          </cell>
          <cell r="C548" t="str">
            <v>Paipa</v>
          </cell>
          <cell r="D548" t="str">
            <v>Paipa</v>
          </cell>
          <cell r="F548" t="str">
            <v>ingfredy8a@yahoo.es</v>
          </cell>
        </row>
        <row r="549">
          <cell r="A549">
            <v>52773362</v>
          </cell>
          <cell r="B549" t="str">
            <v>PICO VILLAMIZAR EDY MILENA</v>
          </cell>
          <cell r="C549" t="str">
            <v>Paipa</v>
          </cell>
          <cell r="D549" t="str">
            <v>Paipa</v>
          </cell>
          <cell r="F549" t="str">
            <v>dymsinsumos@gmail.com</v>
          </cell>
        </row>
        <row r="550">
          <cell r="A550">
            <v>46683561</v>
          </cell>
          <cell r="B550" t="str">
            <v>ROMERO  CAROLINA</v>
          </cell>
          <cell r="C550" t="str">
            <v>Paipa</v>
          </cell>
          <cell r="D550" t="str">
            <v>Paipa</v>
          </cell>
          <cell r="F550" t="str">
            <v>cr435873@gmail.com</v>
          </cell>
        </row>
        <row r="551">
          <cell r="A551">
            <v>43263079</v>
          </cell>
          <cell r="B551" t="str">
            <v>HOLGUIN MUÑOZ MARCELA DEL SOCORRO</v>
          </cell>
          <cell r="C551" t="str">
            <v>Paipa</v>
          </cell>
          <cell r="D551" t="str">
            <v>Paipa</v>
          </cell>
          <cell r="F551" t="str">
            <v>81holguinmarcela@gmail.com</v>
          </cell>
        </row>
        <row r="552">
          <cell r="A552">
            <v>33376693</v>
          </cell>
          <cell r="B552" t="str">
            <v>ROJAS  LILIANA CARDENAS</v>
          </cell>
          <cell r="C552" t="str">
            <v>Paipa</v>
          </cell>
          <cell r="D552" t="str">
            <v>Paipa</v>
          </cell>
          <cell r="F552" t="str">
            <v>lilyovejita@gmail.com</v>
          </cell>
        </row>
        <row r="553">
          <cell r="A553">
            <v>27487292</v>
          </cell>
          <cell r="B553" t="str">
            <v>AMAGUANA BUEBANOO GENNYTH RUBI</v>
          </cell>
          <cell r="C553" t="str">
            <v>Paipa</v>
          </cell>
          <cell r="D553" t="str">
            <v>Paipa</v>
          </cell>
          <cell r="F553" t="str">
            <v>gennythrubya@yahoo.com</v>
          </cell>
        </row>
        <row r="554">
          <cell r="A554">
            <v>51812118</v>
          </cell>
          <cell r="B554" t="str">
            <v>GUZMÁN  MARLENY RAMOS</v>
          </cell>
          <cell r="C554" t="str">
            <v>Paipa</v>
          </cell>
          <cell r="D554" t="str">
            <v>Paipa</v>
          </cell>
          <cell r="F554" t="str">
            <v>marlenyrg@hotmail.com</v>
          </cell>
        </row>
        <row r="555">
          <cell r="A555">
            <v>52552761</v>
          </cell>
          <cell r="B555" t="str">
            <v>HERRERA CIFUENTES MARTHA ELENA</v>
          </cell>
          <cell r="C555" t="str">
            <v>Paipa</v>
          </cell>
          <cell r="D555" t="str">
            <v>Paipa</v>
          </cell>
          <cell r="F555" t="str">
            <v>herreracifuentes@hotmail.com</v>
          </cell>
        </row>
        <row r="556">
          <cell r="A556">
            <v>65773035</v>
          </cell>
          <cell r="B556" t="str">
            <v>ARIZA OLIVAR MARIA CAROLINA</v>
          </cell>
          <cell r="C556" t="str">
            <v>Paipa</v>
          </cell>
          <cell r="D556" t="str">
            <v>Paipa</v>
          </cell>
          <cell r="F556" t="str">
            <v>macariz251@gmail.com</v>
          </cell>
        </row>
        <row r="557">
          <cell r="A557">
            <v>70325800</v>
          </cell>
          <cell r="B557" t="str">
            <v>GÓMEZ AVENDAÑO RUBÉN DARÍO</v>
          </cell>
          <cell r="C557" t="str">
            <v>Paipa</v>
          </cell>
          <cell r="D557" t="str">
            <v>Paipa</v>
          </cell>
          <cell r="F557" t="str">
            <v>rubendg@hotmail.com</v>
          </cell>
        </row>
        <row r="558">
          <cell r="A558">
            <v>74322129</v>
          </cell>
          <cell r="B558" t="str">
            <v>OCHOA ECHEVERRIA LUIS ÁNGEL</v>
          </cell>
          <cell r="C558" t="str">
            <v>Paipa</v>
          </cell>
          <cell r="D558" t="str">
            <v>Paipa</v>
          </cell>
          <cell r="F558" t="str">
            <v>lochoae@gmail.con</v>
          </cell>
        </row>
        <row r="559">
          <cell r="A559">
            <v>74324304</v>
          </cell>
          <cell r="B559" t="str">
            <v>SUAREZ  GONZALO BRIJALDO</v>
          </cell>
          <cell r="C559" t="str">
            <v>Paipa</v>
          </cell>
          <cell r="D559" t="str">
            <v>Paipa</v>
          </cell>
          <cell r="F559" t="str">
            <v>gbrijaldo@gmail.com</v>
          </cell>
        </row>
        <row r="560">
          <cell r="A560">
            <v>74358912</v>
          </cell>
          <cell r="B560" t="str">
            <v>PATINO QUIJANO WILSON ENRIQUE</v>
          </cell>
          <cell r="C560" t="str">
            <v>Paipa</v>
          </cell>
          <cell r="D560" t="str">
            <v>Paipa</v>
          </cell>
          <cell r="F560" t="str">
            <v>wepaqi@gmail.com</v>
          </cell>
        </row>
        <row r="561">
          <cell r="A561">
            <v>74359804</v>
          </cell>
          <cell r="B561" t="str">
            <v>PACHECO MEDINA JAIRO ALEXANDER</v>
          </cell>
          <cell r="C561" t="str">
            <v>Paipa</v>
          </cell>
          <cell r="D561" t="str">
            <v>Paipa</v>
          </cell>
          <cell r="F561" t="str">
            <v>jairopame@gmail.com</v>
          </cell>
        </row>
        <row r="562">
          <cell r="A562">
            <v>891800498</v>
          </cell>
          <cell r="B562" t="str">
            <v>GOBERNACION DE BOYACA</v>
          </cell>
          <cell r="C562" t="str">
            <v>Tunja</v>
          </cell>
          <cell r="D562" t="str">
            <v>CALLE 20 N° 9-90</v>
          </cell>
          <cell r="F562" t="str">
            <v>gobernador@boyaca.gov.co</v>
          </cell>
        </row>
        <row r="563">
          <cell r="A563">
            <v>900467191</v>
          </cell>
          <cell r="B563" t="str">
            <v>GENERAL FLUIDS SAS</v>
          </cell>
          <cell r="C563" t="str">
            <v>Zipaquirá</v>
          </cell>
          <cell r="D563" t="str">
            <v>KM 2 VIA BRICEÑO - ZIPAQUIRA PAR INDUSTRIAL TIBITOC BG 50 C</v>
          </cell>
          <cell r="E563">
            <v>3114787756</v>
          </cell>
          <cell r="F563" t="str">
            <v>contabilidad@generalfluids.com</v>
          </cell>
        </row>
        <row r="564">
          <cell r="A564">
            <v>900571824</v>
          </cell>
          <cell r="B564" t="str">
            <v>INGENOVA ING SAS</v>
          </cell>
          <cell r="C564" t="str">
            <v>Bogota D.C.</v>
          </cell>
          <cell r="D564" t="str">
            <v>CALLE 98 N 70-61</v>
          </cell>
          <cell r="F564" t="str">
            <v>contabilidad@ingenova.co</v>
          </cell>
        </row>
        <row r="565">
          <cell r="A565">
            <v>9007180656</v>
          </cell>
          <cell r="B565" t="str">
            <v>INHCA SOCIEDAD POR ACCIONES SIMPLIFICADAS</v>
          </cell>
          <cell r="C565" t="str">
            <v>Paipa</v>
          </cell>
          <cell r="D565" t="str">
            <v>CALLE 25 N 21-18</v>
          </cell>
          <cell r="F565" t="str">
            <v>inhca.contabilidad@gmail.com</v>
          </cell>
        </row>
        <row r="566">
          <cell r="A566">
            <v>860002180</v>
          </cell>
          <cell r="B566" t="str">
            <v>SEGUROS COMERCIALES BOLIVAR  SA</v>
          </cell>
          <cell r="C566" t="str">
            <v>Paipa</v>
          </cell>
          <cell r="D566" t="str">
            <v>AV EL DORADO N 68B 31</v>
          </cell>
          <cell r="F566" t="str">
            <v>servicioalcliente@segurosbolivar.com</v>
          </cell>
        </row>
        <row r="567">
          <cell r="A567">
            <v>900962538</v>
          </cell>
          <cell r="B567" t="str">
            <v>AGRICAPITAL S.A.S</v>
          </cell>
          <cell r="C567" t="str">
            <v>Medellín</v>
          </cell>
          <cell r="D567" t="str">
            <v>CALLE 16 B SUR 41-23</v>
          </cell>
          <cell r="F567" t="str">
            <v>psandoval@hotmail.com.co</v>
          </cell>
        </row>
        <row r="568">
          <cell r="A568">
            <v>901207027</v>
          </cell>
          <cell r="B568" t="str">
            <v>ENERGIA  LIMPIA CONTINENTAL ENECOL SAS</v>
          </cell>
          <cell r="C568" t="str">
            <v>Paipa</v>
          </cell>
          <cell r="D568" t="str">
            <v>CARRERA 21 22-58</v>
          </cell>
          <cell r="F568" t="str">
            <v>enelcolcomercial@gmail.com</v>
          </cell>
        </row>
        <row r="569">
          <cell r="A569">
            <v>800230447</v>
          </cell>
          <cell r="B569" t="str">
            <v>SODEXO SAS</v>
          </cell>
          <cell r="C569" t="str">
            <v>Bogota D.C.</v>
          </cell>
          <cell r="D569" t="str">
            <v>AUTOPISTA NTE 114 44 PISO 5</v>
          </cell>
          <cell r="F569" t="str">
            <v>monsalve_9222@hotmail.com</v>
          </cell>
        </row>
        <row r="570">
          <cell r="A570">
            <v>74451745</v>
          </cell>
          <cell r="B570" t="str">
            <v>CASTRO MENDEZ CESAR CAMILO</v>
          </cell>
          <cell r="C570" t="str">
            <v>Paipa</v>
          </cell>
          <cell r="D570" t="str">
            <v>VEREDA LLANO GRANDE</v>
          </cell>
          <cell r="F570" t="str">
            <v>kami_kast@hotmail.com</v>
          </cell>
        </row>
        <row r="571">
          <cell r="A571">
            <v>901448107</v>
          </cell>
          <cell r="B571" t="str">
            <v>MONTAJES Y ESTRUCTURAS MORENO SAS</v>
          </cell>
          <cell r="C571" t="str">
            <v>Madrid</v>
          </cell>
          <cell r="D571" t="str">
            <v>CALLE 15 7B 31</v>
          </cell>
          <cell r="F571" t="str">
            <v>morenoestructurasymontajes@gmail.com</v>
          </cell>
        </row>
        <row r="572">
          <cell r="A572">
            <v>826002334</v>
          </cell>
          <cell r="B572" t="str">
            <v>SKY PROJECTS SAS</v>
          </cell>
          <cell r="C572" t="str">
            <v>Paipa</v>
          </cell>
          <cell r="D572" t="str">
            <v>LA ESTACION</v>
          </cell>
          <cell r="F572" t="str">
            <v>wdvi11@hotmail.com</v>
          </cell>
        </row>
        <row r="573">
          <cell r="A573">
            <v>826003190</v>
          </cell>
          <cell r="B573" t="str">
            <v>TRACTEC SOCIEDAD POR ACCIONES SIMPLIFICADAS EN EL REORGANIZADOR</v>
          </cell>
          <cell r="C573" t="str">
            <v>Paipa</v>
          </cell>
          <cell r="D573" t="str">
            <v>VIA PAIPA TUNJA</v>
          </cell>
          <cell r="F573" t="str">
            <v>tractesa@gmail.com</v>
          </cell>
        </row>
        <row r="574">
          <cell r="A574">
            <v>901481827</v>
          </cell>
          <cell r="B574" t="str">
            <v>CONSTRUCCIONES DRYWALL SOCIEDAD POR ACCIONES SIMPLIFICADA</v>
          </cell>
          <cell r="C574" t="str">
            <v>Paipa</v>
          </cell>
          <cell r="D574" t="str">
            <v>CL 25 19 51 TO A P 2</v>
          </cell>
          <cell r="F574" t="str">
            <v>construdrywallsa@gmail.com</v>
          </cell>
        </row>
        <row r="575">
          <cell r="A575">
            <v>900785905</v>
          </cell>
          <cell r="B575" t="str">
            <v>CENTYRAL CERVECERA DE COLOMBIA</v>
          </cell>
          <cell r="C575" t="str">
            <v>Bogota D.C.</v>
          </cell>
          <cell r="D575" t="str">
            <v>AVENIDA CARRERA 45 N 108-27</v>
          </cell>
          <cell r="F575" t="str">
            <v>emonclou@centralcervecera.com</v>
          </cell>
        </row>
        <row r="576">
          <cell r="A576">
            <v>901013130</v>
          </cell>
          <cell r="B576" t="str">
            <v>TEKUN SAS</v>
          </cell>
          <cell r="C576" t="str">
            <v>Bogota D.C.</v>
          </cell>
          <cell r="D576" t="str">
            <v>TORRE 3 BOGOTA</v>
          </cell>
          <cell r="F576" t="str">
            <v>turistica@outlook.com</v>
          </cell>
        </row>
        <row r="577">
          <cell r="A577">
            <v>804007055</v>
          </cell>
          <cell r="B577" t="str">
            <v>K2 INGENIERIA SAS</v>
          </cell>
          <cell r="C577" t="str">
            <v>Bucaramanga</v>
          </cell>
          <cell r="D577" t="str">
            <v>CARRERA 36 N 36-26</v>
          </cell>
          <cell r="F577" t="str">
            <v>cesar.calderon@k2ingenieria.com</v>
          </cell>
        </row>
        <row r="578">
          <cell r="A578">
            <v>1057462995</v>
          </cell>
          <cell r="B578" t="str">
            <v>DIANA CAROLINA SUAREZ MUÑOZ</v>
          </cell>
          <cell r="C578" t="str">
            <v>Paipa</v>
          </cell>
          <cell r="D578" t="str">
            <v>CARRERA 13 N 24 50</v>
          </cell>
          <cell r="F578" t="str">
            <v>dcaritosm@hotmail.com</v>
          </cell>
        </row>
        <row r="579">
          <cell r="A579">
            <v>79529721</v>
          </cell>
          <cell r="B579" t="str">
            <v>JIMENEZ RICARDO RAVELO</v>
          </cell>
          <cell r="C579" t="str">
            <v>Bogota D.C.</v>
          </cell>
          <cell r="D579" t="str">
            <v>CARRERA 71 N 4 59 INT 101</v>
          </cell>
          <cell r="F579" t="str">
            <v>raveloricardo@gmail.com</v>
          </cell>
        </row>
        <row r="580">
          <cell r="A580">
            <v>901398348</v>
          </cell>
          <cell r="B580" t="str">
            <v>PROYECTOS METALICOS Y GRUAS GB SAS</v>
          </cell>
          <cell r="C580" t="str">
            <v>Puerto López</v>
          </cell>
          <cell r="D580" t="str">
            <v>CR 4 5 33 BRR PORVENIR</v>
          </cell>
          <cell r="F580" t="str">
            <v>metalicosygruasgbsas@gmail.com</v>
          </cell>
        </row>
        <row r="581">
          <cell r="A581">
            <v>1052381985</v>
          </cell>
          <cell r="B581" t="str">
            <v>DOTACIONES LOS 33 EPP</v>
          </cell>
          <cell r="C581" t="str">
            <v>Duitama</v>
          </cell>
          <cell r="D581" t="str">
            <v>CARRERA 18 N 18-80</v>
          </cell>
        </row>
        <row r="582">
          <cell r="A582">
            <v>1053610155</v>
          </cell>
          <cell r="B582" t="str">
            <v>LEON CASTRO SANDRA MIREYA</v>
          </cell>
          <cell r="C582" t="str">
            <v>Paipa</v>
          </cell>
          <cell r="D582" t="str">
            <v>CALLE 27 N 19-24</v>
          </cell>
          <cell r="F582" t="str">
            <v>sandramirleca2007@hotmail.com</v>
          </cell>
        </row>
        <row r="583">
          <cell r="A583">
            <v>23691580</v>
          </cell>
          <cell r="B583" t="str">
            <v>ANA CAROLINA ESPITIA JEREZ</v>
          </cell>
          <cell r="C583" t="str">
            <v>Paipa</v>
          </cell>
          <cell r="D583" t="str">
            <v>PAIPA CENTRO</v>
          </cell>
          <cell r="F583" t="str">
            <v>turistica@outlook.com</v>
          </cell>
        </row>
        <row r="584">
          <cell r="A584">
            <v>23588906</v>
          </cell>
          <cell r="B584" t="str">
            <v>VARGAS MANOSALVA DORA PATRICIA</v>
          </cell>
          <cell r="C584" t="str">
            <v>Floresta</v>
          </cell>
          <cell r="D584" t="str">
            <v>CARRERA 4 N B NUEVA FLORESTA</v>
          </cell>
          <cell r="F584" t="str">
            <v>dora31vargasmanosalva@gmail.com</v>
          </cell>
        </row>
        <row r="585">
          <cell r="A585">
            <v>1052388252</v>
          </cell>
          <cell r="B585" t="str">
            <v>GALINDO PUERTO JORGE  LEONARDO</v>
          </cell>
          <cell r="C585" t="str">
            <v>Paipa</v>
          </cell>
          <cell r="D585" t="str">
            <v>CARRERA 19 N 23-43</v>
          </cell>
          <cell r="F585" t="str">
            <v>jorge.galindo015@gmail.com</v>
          </cell>
        </row>
        <row r="586">
          <cell r="A586">
            <v>860016662</v>
          </cell>
          <cell r="B586" t="str">
            <v>COMITÉ OLIMPICO DE COLOMBIA</v>
          </cell>
          <cell r="C586" t="str">
            <v>Bogota D.C.</v>
          </cell>
          <cell r="D586" t="str">
            <v>AVE 68-55-65</v>
          </cell>
          <cell r="F586" t="str">
            <v>olombiatierradeatletas@outlook.es</v>
          </cell>
        </row>
        <row r="587">
          <cell r="A587">
            <v>900408392</v>
          </cell>
          <cell r="B587" t="str">
            <v>PAISAJES Y  DISEÑOS SAS</v>
          </cell>
          <cell r="C587" t="str">
            <v>Bogota D.C.</v>
          </cell>
          <cell r="D587" t="str">
            <v>CALLE 25  69D 80</v>
          </cell>
          <cell r="F587" t="str">
            <v>nelsonperez1978@hotmail.com</v>
          </cell>
        </row>
        <row r="588">
          <cell r="A588">
            <v>826003638</v>
          </cell>
          <cell r="B588" t="str">
            <v>ESPUMAS MOLDEADAS SAS</v>
          </cell>
          <cell r="C588" t="str">
            <v>Duitama</v>
          </cell>
          <cell r="D588" t="str">
            <v>CD INDUSTRIAL</v>
          </cell>
          <cell r="F588" t="str">
            <v>facturacion@espumol.com</v>
          </cell>
        </row>
        <row r="589">
          <cell r="A589">
            <v>805007404</v>
          </cell>
          <cell r="B589" t="str">
            <v>ICOMALLAS SA</v>
          </cell>
          <cell r="C589" t="str">
            <v>Bogota D.C.</v>
          </cell>
          <cell r="D589" t="str">
            <v>CARRERA 27 N 13-26</v>
          </cell>
          <cell r="F589" t="str">
            <v>cartera@icormallas.com</v>
          </cell>
        </row>
        <row r="590">
          <cell r="A590">
            <v>901359031</v>
          </cell>
          <cell r="B590" t="str">
            <v>RPN 96 SAS</v>
          </cell>
          <cell r="C590" t="str">
            <v>Duitama</v>
          </cell>
          <cell r="D590" t="str">
            <v>CARRERA 16 N 14-05</v>
          </cell>
          <cell r="F590" t="str">
            <v>pnostraduitama@gmail.com</v>
          </cell>
        </row>
        <row r="591">
          <cell r="A591">
            <v>901269276</v>
          </cell>
          <cell r="B591" t="str">
            <v>LIMERENCIA SAS</v>
          </cell>
          <cell r="C591" t="str">
            <v>Bogota D.C.</v>
          </cell>
          <cell r="D591" t="str">
            <v xml:space="preserve"> CARRERA 5 N 187-15</v>
          </cell>
          <cell r="F591" t="str">
            <v>admnistracion@limerencia.co</v>
          </cell>
        </row>
        <row r="592">
          <cell r="A592">
            <v>900732297</v>
          </cell>
          <cell r="B592" t="str">
            <v>SOLUCIONES INTAGRALES SWISSLUB</v>
          </cell>
          <cell r="C592" t="str">
            <v>Chía</v>
          </cell>
          <cell r="D592" t="str">
            <v>K2 VIA CAJICA</v>
          </cell>
          <cell r="F592" t="str">
            <v>paola.correa@swisslub.com</v>
          </cell>
        </row>
        <row r="593">
          <cell r="A593">
            <v>74359614</v>
          </cell>
          <cell r="B593" t="str">
            <v>SANDOVAL SANDOVAL EDGAR MAURICIO</v>
          </cell>
          <cell r="C593" t="str">
            <v>Paipa</v>
          </cell>
          <cell r="D593" t="str">
            <v>KM2 VIA PAIPA DUITAMA</v>
          </cell>
          <cell r="F593" t="str">
            <v>productosalimenticios.alisos@gmail.com</v>
          </cell>
        </row>
        <row r="594">
          <cell r="A594">
            <v>800194600</v>
          </cell>
          <cell r="B594" t="str">
            <v>LA CORPORACION COLOMBIANA DE INVESTIGACION AGROPECUARIA AGROSAVIA</v>
          </cell>
          <cell r="C594" t="str">
            <v>Bogota D.C.</v>
          </cell>
          <cell r="D594" t="str">
            <v>CARRERA 13A N 28-38</v>
          </cell>
          <cell r="F594" t="str">
            <v>fpnuela@agrosavia.co</v>
          </cell>
        </row>
        <row r="595">
          <cell r="A595">
            <v>900130550</v>
          </cell>
          <cell r="B595" t="str">
            <v>FUNDACION CRESER</v>
          </cell>
          <cell r="C595" t="str">
            <v>Sogamoso</v>
          </cell>
          <cell r="D595" t="str">
            <v>CALLE 15 N 10-45</v>
          </cell>
          <cell r="F595" t="str">
            <v>funda.creser.colombia@gmail.com</v>
          </cell>
        </row>
        <row r="596">
          <cell r="A596">
            <v>901537368</v>
          </cell>
          <cell r="B596" t="str">
            <v>UNION TEMPORAL GUACAMAYAS RURAL</v>
          </cell>
          <cell r="C596" t="str">
            <v>Bogota D.C.</v>
          </cell>
          <cell r="D596" t="str">
            <v>CARRERA 19 28-60</v>
          </cell>
          <cell r="F596" t="str">
            <v>utguacamayasrural@gmail.com</v>
          </cell>
        </row>
        <row r="597">
          <cell r="A597">
            <v>7214334</v>
          </cell>
          <cell r="B597" t="str">
            <v>MORANTES SANDOVAL CARLOS HERNAN</v>
          </cell>
          <cell r="C597" t="str">
            <v>Paipa</v>
          </cell>
          <cell r="D597" t="str">
            <v>CRA 19 25 32</v>
          </cell>
          <cell r="F597" t="str">
            <v>turistica@outlook.com</v>
          </cell>
        </row>
        <row r="598">
          <cell r="A598">
            <v>901128826</v>
          </cell>
          <cell r="B598" t="str">
            <v>SOCIAL SOLAR SAS</v>
          </cell>
          <cell r="C598" t="str">
            <v>Paipa</v>
          </cell>
          <cell r="D598" t="str">
            <v>CARRERA 19 N 28-60</v>
          </cell>
          <cell r="F598" t="str">
            <v>socialsolar.co@gmail.com</v>
          </cell>
        </row>
        <row r="599">
          <cell r="A599">
            <v>79050843</v>
          </cell>
          <cell r="B599" t="str">
            <v>CERINZA HERRERA JUAN DE JESUS</v>
          </cell>
          <cell r="C599" t="str">
            <v>Paipa</v>
          </cell>
          <cell r="D599" t="str">
            <v>BARRIO FTIMA</v>
          </cell>
          <cell r="F599" t="str">
            <v>jcerinzah@gmail.com</v>
          </cell>
        </row>
        <row r="600">
          <cell r="A600">
            <v>900074539</v>
          </cell>
          <cell r="B600" t="str">
            <v>I.G.P INGENIERIA GEOLOGICA Y PERFORACIONES SAS</v>
          </cell>
          <cell r="C600" t="str">
            <v>Bogota D.C.</v>
          </cell>
          <cell r="D600" t="str">
            <v>CARRERA 58 129-45</v>
          </cell>
          <cell r="E600">
            <v>3123862665</v>
          </cell>
          <cell r="F600" t="str">
            <v>igpl1@yahoo.com</v>
          </cell>
        </row>
        <row r="601">
          <cell r="A601">
            <v>830041364</v>
          </cell>
          <cell r="B601" t="str">
            <v>WJ RESCATE LTDA</v>
          </cell>
          <cell r="C601" t="str">
            <v>Bogota D.C.</v>
          </cell>
          <cell r="D601" t="str">
            <v>CALLE 35 SUR 72L-73</v>
          </cell>
          <cell r="F601" t="str">
            <v>compras@wjrescate.com.co</v>
          </cell>
        </row>
        <row r="602">
          <cell r="A602">
            <v>901376139</v>
          </cell>
          <cell r="B602" t="str">
            <v>Q&amp;P BIOAGRO SAS</v>
          </cell>
          <cell r="C602" t="str">
            <v>Bogota D.C.</v>
          </cell>
          <cell r="D602" t="str">
            <v>CALLE 173 N 18-60 TORRE 1 AP 702</v>
          </cell>
          <cell r="E602">
            <v>3153713890</v>
          </cell>
          <cell r="F602" t="str">
            <v>qypbioagro@gmail.com</v>
          </cell>
        </row>
        <row r="603">
          <cell r="A603">
            <v>900643479</v>
          </cell>
          <cell r="B603" t="str">
            <v>EXPLORA UAV SAS</v>
          </cell>
          <cell r="C603" t="str">
            <v>Bogota D.C.</v>
          </cell>
          <cell r="D603" t="str">
            <v>CALLE 24A 25-32</v>
          </cell>
          <cell r="F603" t="str">
            <v>explorauav@gmail.com</v>
          </cell>
        </row>
        <row r="604">
          <cell r="A604">
            <v>1053607727</v>
          </cell>
          <cell r="B604" t="str">
            <v>RUIZ OJEDA ERIKA TATIANA</v>
          </cell>
          <cell r="C604" t="str">
            <v>Paipa</v>
          </cell>
          <cell r="D604" t="str">
            <v>CLL 24 NO. 22-47</v>
          </cell>
          <cell r="F604" t="str">
            <v>tati2999@hotmail.com</v>
          </cell>
        </row>
        <row r="605">
          <cell r="A605">
            <v>826000681</v>
          </cell>
          <cell r="B605" t="str">
            <v>ALFONSO MONTAÑEZ HERMANOS SAS</v>
          </cell>
          <cell r="C605" t="str">
            <v>Paipa</v>
          </cell>
          <cell r="D605" t="str">
            <v>Sector 4 bloque 1 26 Apto 502 altos de Bellavista</v>
          </cell>
          <cell r="F605" t="str">
            <v>amhsas@hotmail.es</v>
          </cell>
        </row>
        <row r="606">
          <cell r="A606">
            <v>860032909</v>
          </cell>
          <cell r="B606" t="str">
            <v>CREDIBANCO SA</v>
          </cell>
          <cell r="C606" t="str">
            <v>Bogota D.C.</v>
          </cell>
          <cell r="D606" t="str">
            <v>AK 68 75A 50</v>
          </cell>
          <cell r="F606" t="str">
            <v>carlos.deluque@credibanco.com</v>
          </cell>
        </row>
        <row r="607">
          <cell r="A607">
            <v>900748651</v>
          </cell>
          <cell r="B607" t="str">
            <v>RIUM SAS</v>
          </cell>
          <cell r="C607" t="str">
            <v>Paipa</v>
          </cell>
          <cell r="D607" t="str">
            <v>Cr 43B #18-145</v>
          </cell>
          <cell r="F607" t="str">
            <v>facturacion@gorigogo.com</v>
          </cell>
        </row>
        <row r="608">
          <cell r="A608">
            <v>5708088</v>
          </cell>
          <cell r="B608" t="str">
            <v>TORRES GOMEZ ALVARO</v>
          </cell>
          <cell r="C608" t="str">
            <v>Socorro</v>
          </cell>
          <cell r="D608" t="str">
            <v>CRA 13 7 46</v>
          </cell>
          <cell r="F608" t="str">
            <v>jpguiar72@gmail.com</v>
          </cell>
        </row>
        <row r="609">
          <cell r="A609">
            <v>901718437</v>
          </cell>
          <cell r="B609" t="str">
            <v>INVERSIONES BIA291 SAS</v>
          </cell>
          <cell r="C609" t="str">
            <v>Socorro</v>
          </cell>
          <cell r="D609" t="str">
            <v>CRA 13 7 46</v>
          </cell>
          <cell r="F609" t="str">
            <v>jpaguilar72@gmail.com</v>
          </cell>
        </row>
        <row r="610">
          <cell r="A610">
            <v>901631802</v>
          </cell>
          <cell r="B610" t="str">
            <v>INDUSTRIA SANTIVAL SAS</v>
          </cell>
          <cell r="C610" t="str">
            <v>Paipa</v>
          </cell>
          <cell r="D610" t="str">
            <v>FINCA VILLA LIZ</v>
          </cell>
          <cell r="F610" t="str">
            <v>productosantival@gmail.com</v>
          </cell>
        </row>
        <row r="611">
          <cell r="A611">
            <v>63531173</v>
          </cell>
          <cell r="B611" t="str">
            <v>GUTIERREZ HERRERA YEIMY ROCIO</v>
          </cell>
          <cell r="C611" t="str">
            <v>Paipa</v>
          </cell>
          <cell r="D611" t="str">
            <v>PAIPA</v>
          </cell>
          <cell r="F611" t="str">
            <v>yeimyguitierrezh@hotmail.com</v>
          </cell>
        </row>
        <row r="612">
          <cell r="A612">
            <v>829000323</v>
          </cell>
          <cell r="B612" t="str">
            <v>INGENIERIA Y MONTAJES INGENIAR SAS</v>
          </cell>
          <cell r="C612" t="str">
            <v>Paipa</v>
          </cell>
          <cell r="D612" t="str">
            <v>CL 17 11 53 OF 606</v>
          </cell>
          <cell r="F612" t="str">
            <v>facturacion@ingeniarsas.co</v>
          </cell>
        </row>
        <row r="613">
          <cell r="A613">
            <v>1013603177</v>
          </cell>
          <cell r="B613" t="str">
            <v>GARCIA CAÑON OCTAVIO AGUSTO</v>
          </cell>
          <cell r="C613" t="str">
            <v>Paipa</v>
          </cell>
          <cell r="D613" t="str">
            <v>CALLE 6#12A-46. ALTOS DE SIBERIA. T</v>
          </cell>
          <cell r="F613" t="str">
            <v>octaviogarcia19899@gmail.com</v>
          </cell>
        </row>
        <row r="614">
          <cell r="A614">
            <v>46681887</v>
          </cell>
          <cell r="B614" t="str">
            <v>MARTINEZ YOLIMA</v>
          </cell>
          <cell r="C614" t="str">
            <v>Paipa</v>
          </cell>
          <cell r="D614" t="str">
            <v>CLL 27 24 23</v>
          </cell>
          <cell r="F614" t="str">
            <v>turstica@outlook.com</v>
          </cell>
        </row>
        <row r="615">
          <cell r="A615">
            <v>52983991</v>
          </cell>
          <cell r="B615" t="str">
            <v>LARA PEREZ NANCY VIVIANA</v>
          </cell>
          <cell r="C615" t="str">
            <v>Paipa</v>
          </cell>
          <cell r="D615" t="str">
            <v>CR 29 19 19 CON SENDEROS DE ARAGUA</v>
          </cell>
          <cell r="F615" t="str">
            <v>facturacionvl23@gmail.com</v>
          </cell>
        </row>
        <row r="616">
          <cell r="A616">
            <v>79484641</v>
          </cell>
          <cell r="B616" t="str">
            <v>ALVAREZ ARLEY ALFONSO</v>
          </cell>
          <cell r="C616" t="str">
            <v>Paipa</v>
          </cell>
          <cell r="D616" t="str">
            <v xml:space="preserve"> Avenida circunvalar # 42-60</v>
          </cell>
          <cell r="F616" t="str">
            <v>jdalfonsop@outlook.com</v>
          </cell>
        </row>
        <row r="617">
          <cell r="A617">
            <v>900604997</v>
          </cell>
          <cell r="B617" t="str">
            <v>DIVINIDESIGN SAS</v>
          </cell>
          <cell r="C617" t="str">
            <v>Bogota D.C.</v>
          </cell>
          <cell r="D617" t="str">
            <v>CALLE 74#53-14</v>
          </cell>
          <cell r="F617" t="str">
            <v>gerencia@mueblesdivini.com</v>
          </cell>
        </row>
        <row r="618">
          <cell r="A618">
            <v>4192467</v>
          </cell>
          <cell r="B618" t="str">
            <v>GONZALEZ MONSALVA WILFER ALEXANDER</v>
          </cell>
          <cell r="C618" t="str">
            <v>Paipa</v>
          </cell>
          <cell r="D618" t="str">
            <v>CL 19 17 32 MZB CA BA LA ESTACION D</v>
          </cell>
          <cell r="F618" t="str">
            <v>wilfer_gonza@hotmail.com</v>
          </cell>
        </row>
        <row r="619">
          <cell r="A619">
            <v>7227603</v>
          </cell>
          <cell r="B619" t="str">
            <v>APONTE LOPEZ WILSON RODRIGO</v>
          </cell>
          <cell r="C619" t="str">
            <v>Duitama</v>
          </cell>
          <cell r="D619" t="str">
            <v>CR 16 10 31</v>
          </cell>
          <cell r="F619" t="str">
            <v>aponte7110@gmail.com</v>
          </cell>
        </row>
        <row r="620">
          <cell r="A620">
            <v>901442364</v>
          </cell>
          <cell r="B620" t="str">
            <v>CARBONES LOS CEREZOS S.A.S</v>
          </cell>
          <cell r="C620" t="str">
            <v>Paipa</v>
          </cell>
          <cell r="D620" t="str">
            <v>CR 17 23 A 20</v>
          </cell>
          <cell r="F620" t="str">
            <v>carbones.ingenieria@gmail.com</v>
          </cell>
        </row>
        <row r="621">
          <cell r="A621">
            <v>900957961</v>
          </cell>
          <cell r="B621" t="str">
            <v>INDUSTRIAS METALICAS FABRIMET SAS</v>
          </cell>
          <cell r="C621" t="str">
            <v>Paipa</v>
          </cell>
          <cell r="D621" t="str">
            <v>Carrera 35 14 a 47</v>
          </cell>
          <cell r="F621" t="str">
            <v>ind.fabrimet@gmail.com</v>
          </cell>
        </row>
        <row r="622">
          <cell r="A622">
            <v>1053609697</v>
          </cell>
          <cell r="B622" t="str">
            <v>MARTINEZ LACHE YOHANNA ANDREA</v>
          </cell>
          <cell r="C622" t="str">
            <v>Paipa</v>
          </cell>
          <cell r="D622" t="str">
            <v>CALLE25 NÚMERO 26-94</v>
          </cell>
          <cell r="F622" t="str">
            <v>yohannamartinezlache@gmail.com</v>
          </cell>
        </row>
        <row r="623">
          <cell r="A623">
            <v>7171975</v>
          </cell>
          <cell r="B623" t="str">
            <v>ESPITIA BUITRAGO BISMARCK ALFONSO</v>
          </cell>
          <cell r="C623" t="str">
            <v>Paipa</v>
          </cell>
          <cell r="D623" t="str">
            <v>CALLE140 11-46 APTO 202 TORRE 4</v>
          </cell>
          <cell r="F623" t="str">
            <v>bismarck.espitia@gmail.com</v>
          </cell>
        </row>
        <row r="624">
          <cell r="A624">
            <v>7229844</v>
          </cell>
          <cell r="B624" t="str">
            <v>SANCHEZ RODRIGUEZ JAVIER ERNEY</v>
          </cell>
          <cell r="C624" t="str">
            <v>Paipa</v>
          </cell>
          <cell r="D624" t="str">
            <v>Pantano de vargas</v>
          </cell>
          <cell r="F624" t="str">
            <v>javiererneysanchezrodriguez@gmail.com</v>
          </cell>
        </row>
        <row r="625">
          <cell r="A625">
            <v>901668793</v>
          </cell>
          <cell r="B625" t="str">
            <v>MUNDIAL DE CAMARAS S.A.S</v>
          </cell>
          <cell r="C625" t="str">
            <v>Paipa</v>
          </cell>
          <cell r="D625" t="str">
            <v>CRA 10 N-21-35</v>
          </cell>
          <cell r="F625" t="str">
            <v>servialar@hotmail.com</v>
          </cell>
        </row>
        <row r="626">
          <cell r="A626">
            <v>1016050210</v>
          </cell>
          <cell r="B626" t="str">
            <v>PUERTAS ESCAMILLA ROBINSON STILSON</v>
          </cell>
          <cell r="C626" t="str">
            <v>Paipa</v>
          </cell>
          <cell r="D626" t="str">
            <v>paipa</v>
          </cell>
          <cell r="F626" t="str">
            <v>robinsonpuertass@hotmail.com</v>
          </cell>
        </row>
        <row r="627">
          <cell r="A627">
            <v>1052388873</v>
          </cell>
          <cell r="B627" t="str">
            <v>MARTINEZ BECERRA EDINSON RAUL</v>
          </cell>
          <cell r="C627" t="str">
            <v>Paipa</v>
          </cell>
          <cell r="D627" t="str">
            <v>VIDA QUEBRADA DE BECERRAS</v>
          </cell>
          <cell r="F627" t="str">
            <v>edisonraul.09@gmail.com</v>
          </cell>
        </row>
        <row r="628">
          <cell r="A628">
            <v>901292536</v>
          </cell>
          <cell r="B628" t="str">
            <v>SILEX INGENIEROS SAS</v>
          </cell>
          <cell r="C628" t="str">
            <v>Paipa</v>
          </cell>
          <cell r="D628" t="str">
            <v>CRA 98C 135A 12</v>
          </cell>
          <cell r="F628" t="str">
            <v>administracion@silexmineria.com.co</v>
          </cell>
        </row>
        <row r="629">
          <cell r="A629">
            <v>53052676</v>
          </cell>
          <cell r="B629" t="str">
            <v>ZANGUÑA ZANGUÑA BLANCA PATRICIA</v>
          </cell>
          <cell r="C629" t="str">
            <v>Paipa</v>
          </cell>
          <cell r="D629" t="str">
            <v>: Carrera 30 mz c va barrio senderos de San Daniel</v>
          </cell>
          <cell r="F629" t="str">
            <v>transportescamargo16@gmail.com</v>
          </cell>
        </row>
        <row r="630">
          <cell r="A630">
            <v>74372267</v>
          </cell>
          <cell r="B630" t="str">
            <v>REYES VELANDIA VICTOR RAUL</v>
          </cell>
          <cell r="C630" t="str">
            <v>Paipa</v>
          </cell>
          <cell r="D630" t="str">
            <v>CRA 16NO 22 -28</v>
          </cell>
          <cell r="F630" t="str">
            <v>contabilidadservitecsa@gmail.com</v>
          </cell>
        </row>
        <row r="631">
          <cell r="A631">
            <v>1002367993</v>
          </cell>
          <cell r="B631" t="str">
            <v>GARAVITO TORRES FERNEY DAVID</v>
          </cell>
          <cell r="C631" t="str">
            <v>Paipa</v>
          </cell>
          <cell r="D631" t="str">
            <v>VDA BOSIGAS CENTRO</v>
          </cell>
          <cell r="F631" t="str">
            <v>ferneydavid9@gmail.com</v>
          </cell>
        </row>
        <row r="632">
          <cell r="A632">
            <v>46450176</v>
          </cell>
          <cell r="B632" t="str">
            <v>PEÑA AGUILAR ZANDRA YANETH</v>
          </cell>
          <cell r="C632" t="str">
            <v>Paipa</v>
          </cell>
          <cell r="D632" t="str">
            <v>CL 23 22 24</v>
          </cell>
          <cell r="F632" t="str">
            <v>zhana450@hotmail.com</v>
          </cell>
        </row>
        <row r="633">
          <cell r="A633">
            <v>800215065</v>
          </cell>
          <cell r="B633" t="str">
            <v>COORDINADORA DE SERVICIOS DE PARQUE CEMENTERIO S A S</v>
          </cell>
          <cell r="C633" t="str">
            <v>Bogota D.C.</v>
          </cell>
          <cell r="D633" t="str">
            <v>CR 11 69 37</v>
          </cell>
          <cell r="F633" t="str">
            <v>nbarbosa@capillasdelafe.com</v>
          </cell>
        </row>
        <row r="634">
          <cell r="A634">
            <v>900705145</v>
          </cell>
          <cell r="B634" t="str">
            <v>COMERCIALIZADORA UNIVERSAL BR SAS</v>
          </cell>
          <cell r="C634" t="str">
            <v>Bogota D.C.</v>
          </cell>
          <cell r="D634" t="str">
            <v>CL 98A 60 30</v>
          </cell>
          <cell r="F634" t="str">
            <v>cugb_norte@hotmail.com</v>
          </cell>
        </row>
        <row r="635">
          <cell r="A635">
            <v>900687962</v>
          </cell>
          <cell r="B635" t="str">
            <v>CAS CASANARE SEGUROS LIMITADA</v>
          </cell>
          <cell r="C635" t="str">
            <v>Yopal</v>
          </cell>
          <cell r="D635" t="str">
            <v>CL 6 21 10 LC 102</v>
          </cell>
          <cell r="F635" t="str">
            <v>casseguroscontabilidad@gmail.com</v>
          </cell>
        </row>
        <row r="636">
          <cell r="A636">
            <v>860020863</v>
          </cell>
          <cell r="B636" t="str">
            <v>FEDERACION COLOMBIANA DE CICLISMO</v>
          </cell>
          <cell r="C636" t="str">
            <v>Bogota D.C.</v>
          </cell>
          <cell r="D636" t="str">
            <v>CR 46 60 80</v>
          </cell>
          <cell r="F636" t="str">
            <v>facturasfcc2019@gmail.com</v>
          </cell>
        </row>
        <row r="637">
          <cell r="A637">
            <v>7182091</v>
          </cell>
          <cell r="B637" t="str">
            <v>MEDINA DIEGO</v>
          </cell>
          <cell r="C637" t="str">
            <v>Paipa</v>
          </cell>
          <cell r="D637" t="str">
            <v>PAIPA</v>
          </cell>
          <cell r="F637" t="str">
            <v>feqfloridatunja@gmail.com</v>
          </cell>
        </row>
        <row r="638">
          <cell r="A638">
            <v>86066041</v>
          </cell>
          <cell r="B638" t="str">
            <v>VELEZ COY JOSE BERNARDO</v>
          </cell>
          <cell r="C638" t="str">
            <v>Paipa</v>
          </cell>
          <cell r="D638" t="str">
            <v>CRA 19 21-88</v>
          </cell>
          <cell r="F638" t="str">
            <v>jose.velez2508@outlook.es</v>
          </cell>
        </row>
        <row r="639">
          <cell r="A639">
            <v>900881667</v>
          </cell>
          <cell r="B639" t="str">
            <v>C.E.A FITTIPALDI DOS S A S</v>
          </cell>
          <cell r="C639" t="str">
            <v>Bogota D.C.</v>
          </cell>
          <cell r="D639" t="str">
            <v>CR 8 C 186 80</v>
          </cell>
          <cell r="F639" t="str">
            <v>ceafittipaldidos@hotmail.com</v>
          </cell>
        </row>
        <row r="640">
          <cell r="A640">
            <v>811006038</v>
          </cell>
          <cell r="B640" t="str">
            <v>CV INGENIERIA SAS</v>
          </cell>
          <cell r="C640" t="str">
            <v>Paipa</v>
          </cell>
          <cell r="D640" t="str">
            <v>CARRERA 61DD N.40C-03 URBANIZACION</v>
          </cell>
          <cell r="F640" t="str">
            <v>jcvargas1024@gmail.com</v>
          </cell>
        </row>
        <row r="641">
          <cell r="A641">
            <v>901335884</v>
          </cell>
          <cell r="B641" t="str">
            <v>OPENBIKE CYCLING</v>
          </cell>
          <cell r="C641" t="str">
            <v>Paipa</v>
          </cell>
          <cell r="D641" t="str">
            <v>Cl 30A #72A 60</v>
          </cell>
          <cell r="F641" t="str">
            <v>contabilidadopenbike@gmail.com</v>
          </cell>
        </row>
        <row r="642">
          <cell r="A642">
            <v>1116862198</v>
          </cell>
          <cell r="B642" t="str">
            <v>DUVÁN DUVAN TUMAY CARRILLO</v>
          </cell>
          <cell r="C642" t="str">
            <v>Bogota D.C.</v>
          </cell>
          <cell r="D642" t="str">
            <v>CRA10 CLL9 ESQUINA BARRIO SANTADER</v>
          </cell>
          <cell r="F642" t="str">
            <v>duvantumay0515@gmail.com</v>
          </cell>
        </row>
        <row r="643">
          <cell r="A643">
            <v>900360228</v>
          </cell>
          <cell r="B643" t="str">
            <v>MANOA PARQUE</v>
          </cell>
          <cell r="C643" t="str">
            <v>Paipa</v>
          </cell>
          <cell r="D643" t="str">
            <v>Vereda el Hato Tuta</v>
          </cell>
          <cell r="F643" t="str">
            <v>manoaparque@gmail.com</v>
          </cell>
        </row>
        <row r="644">
          <cell r="A644">
            <v>901353286</v>
          </cell>
          <cell r="B644" t="str">
            <v>EMACT SAS</v>
          </cell>
          <cell r="C644" t="str">
            <v>Paipa</v>
          </cell>
          <cell r="D644" t="str">
            <v>paipa</v>
          </cell>
          <cell r="F644" t="str">
            <v>escueladelmetodoactoral@gmail.com</v>
          </cell>
        </row>
        <row r="645">
          <cell r="A645">
            <v>80006961</v>
          </cell>
          <cell r="B645" t="str">
            <v>OSMA VARGAS SAUL EDUARDO</v>
          </cell>
          <cell r="C645" t="str">
            <v>Paipa</v>
          </cell>
          <cell r="D645" t="str">
            <v>KM 28 VIA TUNJA PAIPA</v>
          </cell>
          <cell r="F645" t="str">
            <v>turistica@outlook.com</v>
          </cell>
        </row>
        <row r="646">
          <cell r="A646">
            <v>890304055</v>
          </cell>
          <cell r="B646" t="str">
            <v>DIESEL REPUESTOS SAS</v>
          </cell>
          <cell r="C646" t="str">
            <v>Paipa</v>
          </cell>
          <cell r="D646" t="str">
            <v>Av 2 c 24 20</v>
          </cell>
          <cell r="F646" t="str">
            <v>factura.proveedores@dieselrepuestos.com</v>
          </cell>
        </row>
        <row r="647">
          <cell r="A647">
            <v>3199179</v>
          </cell>
          <cell r="B647" t="str">
            <v>GONZALES MEDINA RODULFO</v>
          </cell>
          <cell r="C647" t="str">
            <v>Paipa</v>
          </cell>
          <cell r="D647" t="str">
            <v>KRA 85B 53 55 SUR</v>
          </cell>
          <cell r="F647" t="str">
            <v>rogome1112@gmail.com</v>
          </cell>
        </row>
        <row r="648">
          <cell r="A648">
            <v>74323950</v>
          </cell>
          <cell r="B648" t="str">
            <v>GARZON RODRIGUEZ JOSE ARISTELIO</v>
          </cell>
          <cell r="C648" t="str">
            <v>Paipa</v>
          </cell>
          <cell r="D648" t="str">
            <v>VDA EL TUNAL</v>
          </cell>
          <cell r="F648" t="str">
            <v>sanjubale@hotmail.com</v>
          </cell>
        </row>
        <row r="649">
          <cell r="A649">
            <v>80175503</v>
          </cell>
          <cell r="B649" t="str">
            <v>BENAVIDES SILVA WILLIAM YESID</v>
          </cell>
          <cell r="C649" t="str">
            <v>Paipa</v>
          </cell>
          <cell r="D649" t="str">
            <v>PAIPA</v>
          </cell>
          <cell r="F649" t="str">
            <v>willibs18@gmail.com</v>
          </cell>
        </row>
        <row r="650">
          <cell r="A650">
            <v>901050438</v>
          </cell>
          <cell r="B650" t="str">
            <v>MULTI COMERCIALES SAS</v>
          </cell>
          <cell r="C650" t="str">
            <v>Paipa</v>
          </cell>
          <cell r="D650" t="str">
            <v>No informada</v>
          </cell>
          <cell r="F650" t="str">
            <v>guillermo.alarcond@hotmail.com</v>
          </cell>
        </row>
        <row r="651">
          <cell r="A651">
            <v>900670370</v>
          </cell>
          <cell r="B651" t="str">
            <v>ELEVAR INGENIERIA</v>
          </cell>
          <cell r="C651" t="str">
            <v>Paipa</v>
          </cell>
          <cell r="D651" t="str">
            <v>No informada</v>
          </cell>
          <cell r="F651" t="str">
            <v>facturacionelevar@gmail.com</v>
          </cell>
        </row>
        <row r="652">
          <cell r="A652">
            <v>900582485</v>
          </cell>
          <cell r="B652" t="str">
            <v>DISEA SAS</v>
          </cell>
          <cell r="C652" t="str">
            <v>Paipa</v>
          </cell>
          <cell r="D652" t="str">
            <v>No informada</v>
          </cell>
          <cell r="F652" t="str">
            <v>diseasas@gmail.com</v>
          </cell>
        </row>
        <row r="653">
          <cell r="A653">
            <v>1053605453</v>
          </cell>
          <cell r="B653" t="str">
            <v>ECHEVERRIA DIAZ DIEGO ARMANDO</v>
          </cell>
          <cell r="C653" t="str">
            <v>Paipa</v>
          </cell>
          <cell r="D653" t="str">
            <v>No informada</v>
          </cell>
          <cell r="F653" t="str">
            <v>diegoe05297@gmail.com</v>
          </cell>
        </row>
        <row r="654">
          <cell r="A654">
            <v>901687058</v>
          </cell>
          <cell r="B654" t="str">
            <v>GARMOLAN SAS</v>
          </cell>
          <cell r="C654" t="str">
            <v>Yopal</v>
          </cell>
          <cell r="D654" t="str">
            <v>CR 29 26 38</v>
          </cell>
          <cell r="F654" t="str">
            <v>garmolansas@gmail.com</v>
          </cell>
        </row>
        <row r="655">
          <cell r="A655">
            <v>74370806</v>
          </cell>
          <cell r="B655" t="str">
            <v>ESTEPA GRANADOS FRANCISCO ANTONIO</v>
          </cell>
          <cell r="C655" t="str">
            <v>Paipa</v>
          </cell>
          <cell r="D655" t="str">
            <v>No informada</v>
          </cell>
          <cell r="F655" t="str">
            <v>franciscoestepa46@gmail.com</v>
          </cell>
        </row>
        <row r="656">
          <cell r="A656">
            <v>800201485</v>
          </cell>
          <cell r="B656" t="str">
            <v>F RESTREPO Y ASOCIADOS ABOGADOS</v>
          </cell>
          <cell r="C656" t="str">
            <v>Paipa</v>
          </cell>
          <cell r="D656" t="str">
            <v>CARRERA 100 NO. 11-60 OFICINA 518 TORRE FARALLONES</v>
          </cell>
          <cell r="F656" t="str">
            <v>info@frestrepoabogados.com</v>
          </cell>
        </row>
        <row r="657">
          <cell r="A657">
            <v>901302424</v>
          </cell>
          <cell r="B657" t="str">
            <v>DEWHURST GROUP SAS</v>
          </cell>
          <cell r="C657" t="str">
            <v>Paipa</v>
          </cell>
          <cell r="D657" t="str">
            <v>No informada</v>
          </cell>
          <cell r="F657" t="str">
            <v>m.vargas@dewhurstgroup.us</v>
          </cell>
        </row>
        <row r="658">
          <cell r="A658">
            <v>900461405</v>
          </cell>
          <cell r="B658" t="str">
            <v>INVERSIONES CARVAZUL SAS</v>
          </cell>
          <cell r="C658" t="str">
            <v>Paipa</v>
          </cell>
          <cell r="D658" t="str">
            <v>PAIPA</v>
          </cell>
          <cell r="F658" t="str">
            <v>sancayetano-paipa@hotmail.com</v>
          </cell>
        </row>
        <row r="659">
          <cell r="A659">
            <v>74359466</v>
          </cell>
          <cell r="B659" t="str">
            <v>GARZON SANCHEZ CARLOS MAURICIO</v>
          </cell>
          <cell r="C659" t="str">
            <v>Paipa</v>
          </cell>
          <cell r="D659" t="str">
            <v>PAIPA</v>
          </cell>
          <cell r="F659" t="str">
            <v>cmgs0219@hotmail.com</v>
          </cell>
        </row>
        <row r="660">
          <cell r="A660">
            <v>901386558</v>
          </cell>
          <cell r="B660" t="str">
            <v>MIGUEL SANCHEZ ALFEREZ SAS</v>
          </cell>
          <cell r="C660" t="str">
            <v>Paipa</v>
          </cell>
          <cell r="D660" t="str">
            <v>PAIPA</v>
          </cell>
          <cell r="F660" t="str">
            <v>sancayetano-paipa@hotmail.com</v>
          </cell>
        </row>
        <row r="661">
          <cell r="A661">
            <v>901063297</v>
          </cell>
          <cell r="B661" t="str">
            <v>CANDY CANE DESIGN SAS</v>
          </cell>
          <cell r="C661" t="str">
            <v>Paipa</v>
          </cell>
          <cell r="D661" t="str">
            <v>PAIPA</v>
          </cell>
          <cell r="F661" t="str">
            <v>administracion@candycane.com</v>
          </cell>
        </row>
        <row r="662">
          <cell r="A662">
            <v>860007322</v>
          </cell>
          <cell r="B662" t="str">
            <v>CAMARA DE COMERCIO DE BOGOTA</v>
          </cell>
          <cell r="C662" t="str">
            <v>Bogota D.C.</v>
          </cell>
          <cell r="D662" t="str">
            <v>CLL 127 BIS 52 71</v>
          </cell>
          <cell r="F662" t="str">
            <v>josealejos207@gmail.com</v>
          </cell>
        </row>
        <row r="663">
          <cell r="A663">
            <v>900893568</v>
          </cell>
          <cell r="B663" t="str">
            <v>TITA ALEGRIA VIVA SAS</v>
          </cell>
          <cell r="C663" t="str">
            <v>Paipa</v>
          </cell>
          <cell r="D663" t="str">
            <v>Calle 127a # 7-19 Ofc 504</v>
          </cell>
          <cell r="F663" t="str">
            <v>contador@camarth.com</v>
          </cell>
        </row>
        <row r="664">
          <cell r="A664">
            <v>804002840</v>
          </cell>
          <cell r="B664" t="str">
            <v>SD SAS</v>
          </cell>
          <cell r="C664" t="str">
            <v>Paipa</v>
          </cell>
          <cell r="D664" t="str">
            <v>KM 4 AUT PTA F BANCA ENTRADA EVENTO</v>
          </cell>
          <cell r="F664" t="str">
            <v>facturacion@sdsas.net</v>
          </cell>
        </row>
        <row r="665">
          <cell r="A665">
            <v>4287925</v>
          </cell>
          <cell r="B665" t="str">
            <v>ESPITIA PEREZ ADRIANO DE JESUS</v>
          </cell>
          <cell r="C665" t="str">
            <v>Paipa</v>
          </cell>
          <cell r="D665" t="str">
            <v>PAIPA</v>
          </cell>
          <cell r="F665" t="str">
            <v>fincaojodeagua01@gmail.com</v>
          </cell>
        </row>
        <row r="666">
          <cell r="A666">
            <v>7210498</v>
          </cell>
          <cell r="B666" t="str">
            <v>RIVERA AVENDAÑO JOSE BERNARDO</v>
          </cell>
          <cell r="C666" t="str">
            <v>Paipa</v>
          </cell>
          <cell r="D666" t="str">
            <v>Calle27nunero20-50</v>
          </cell>
          <cell r="F666" t="str">
            <v>bernardorivera1@hotmail.com</v>
          </cell>
        </row>
        <row r="667">
          <cell r="A667">
            <v>23548857</v>
          </cell>
          <cell r="B667" t="str">
            <v>RODRIGUEZ DE FONSECA GLORIA CENETH</v>
          </cell>
          <cell r="C667" t="str">
            <v>Paipa</v>
          </cell>
          <cell r="D667" t="str">
            <v>KM 6 V�A DUITAMA PAIPA</v>
          </cell>
          <cell r="F667" t="str">
            <v>almacenagropecuariojuanagro@hotmail.com</v>
          </cell>
        </row>
        <row r="668">
          <cell r="A668">
            <v>901723708</v>
          </cell>
          <cell r="B668" t="str">
            <v>OBEC SAS</v>
          </cell>
          <cell r="C668" t="str">
            <v>Paipa</v>
          </cell>
          <cell r="D668" t="str">
            <v>CARRERA 24A NO. 20A - 84</v>
          </cell>
          <cell r="F668" t="str">
            <v>adm.obecsas@outlook.com</v>
          </cell>
        </row>
        <row r="669">
          <cell r="A669">
            <v>800173004</v>
          </cell>
          <cell r="B669" t="str">
            <v>FRUTAS COMERCIALES SA</v>
          </cell>
          <cell r="C669" t="str">
            <v>Paipa</v>
          </cell>
          <cell r="D669" t="str">
            <v>Calle 24f #101-31</v>
          </cell>
          <cell r="F669" t="str">
            <v>contabilidad@frutascomerciales.com</v>
          </cell>
        </row>
        <row r="670">
          <cell r="A670">
            <v>46450864</v>
          </cell>
          <cell r="B670" t="str">
            <v>FONSECA RODRIGUEZ LIDA MARCELA</v>
          </cell>
          <cell r="C670" t="str">
            <v>Paipa</v>
          </cell>
          <cell r="D670" t="str">
            <v>AUT NORTE KM 5 VDA SAN LORENZO</v>
          </cell>
          <cell r="F670" t="str">
            <v>lidafon@hotmail.com</v>
          </cell>
        </row>
        <row r="671">
          <cell r="A671">
            <v>46663540</v>
          </cell>
          <cell r="B671" t="str">
            <v>TORRES VALDERRAMA YOLANDA</v>
          </cell>
          <cell r="C671" t="str">
            <v>Paipa</v>
          </cell>
          <cell r="D671" t="str">
            <v>Paipa</v>
          </cell>
          <cell r="F671" t="str">
            <v>yolandat24@hotmail.com</v>
          </cell>
        </row>
        <row r="672">
          <cell r="A672">
            <v>46674954</v>
          </cell>
          <cell r="B672" t="str">
            <v>PACHECO REY CLAUDIA YANIRA</v>
          </cell>
          <cell r="C672" t="str">
            <v>Paipa</v>
          </cell>
          <cell r="D672" t="str">
            <v>Paipa</v>
          </cell>
          <cell r="F672" t="str">
            <v>gininabonina@gmail.com</v>
          </cell>
        </row>
        <row r="673">
          <cell r="A673">
            <v>46682950</v>
          </cell>
          <cell r="B673" t="str">
            <v>SAMBRANO CHAVES ANGELA CONSUELO</v>
          </cell>
          <cell r="C673" t="str">
            <v>Paipa</v>
          </cell>
          <cell r="D673" t="str">
            <v>Paipa</v>
          </cell>
          <cell r="F673" t="str">
            <v>ancoz81@gmail.com</v>
          </cell>
        </row>
        <row r="674">
          <cell r="A674">
            <v>46682977</v>
          </cell>
          <cell r="B674" t="str">
            <v>PÉREZ ESPINOSA YULY MILENA</v>
          </cell>
          <cell r="C674" t="str">
            <v>Paipa</v>
          </cell>
          <cell r="D674" t="str">
            <v>Paipa</v>
          </cell>
          <cell r="F674" t="str">
            <v>yumipees13@gmail.com</v>
          </cell>
        </row>
        <row r="675">
          <cell r="A675">
            <v>53911487</v>
          </cell>
          <cell r="B675" t="str">
            <v>TORRES MOLINA SANDRA VIVIANA</v>
          </cell>
          <cell r="C675" t="str">
            <v>Paipa</v>
          </cell>
          <cell r="D675" t="str">
            <v>Paipa</v>
          </cell>
          <cell r="F675" t="str">
            <v>sandratorres590@gmail.com</v>
          </cell>
        </row>
        <row r="676">
          <cell r="A676">
            <v>74130764</v>
          </cell>
          <cell r="B676" t="str">
            <v>FONSECA OCHOA EDWIN ANDRES</v>
          </cell>
          <cell r="C676" t="str">
            <v>Paipa</v>
          </cell>
          <cell r="D676" t="str">
            <v>Paipa</v>
          </cell>
          <cell r="F676" t="str">
            <v>edwinfonseca30@gmail.com</v>
          </cell>
        </row>
        <row r="677">
          <cell r="A677">
            <v>74321989</v>
          </cell>
          <cell r="B677" t="str">
            <v>OVIEDO VANEGAS JULIAN ANTONIO</v>
          </cell>
          <cell r="C677" t="str">
            <v>Paipa</v>
          </cell>
          <cell r="D677" t="str">
            <v>Paipa</v>
          </cell>
          <cell r="F677" t="str">
            <v>julianantonio.oviedo@gmail.com</v>
          </cell>
        </row>
        <row r="678">
          <cell r="A678">
            <v>74324161</v>
          </cell>
          <cell r="B678" t="str">
            <v>PUERTO ALBA JAVIER</v>
          </cell>
          <cell r="C678" t="str">
            <v>Paipa</v>
          </cell>
          <cell r="D678" t="str">
            <v>Paipa</v>
          </cell>
          <cell r="F678" t="str">
            <v>japual71@gmail.com</v>
          </cell>
        </row>
        <row r="679">
          <cell r="A679">
            <v>74359360</v>
          </cell>
          <cell r="B679" t="str">
            <v>CASTELBLANCO CAMARGO BAYARDO</v>
          </cell>
          <cell r="C679" t="str">
            <v>Paipa</v>
          </cell>
          <cell r="D679" t="str">
            <v>Paipa</v>
          </cell>
          <cell r="F679" t="str">
            <v>bccsfa02@hotmail.com</v>
          </cell>
        </row>
        <row r="680">
          <cell r="A680">
            <v>74360094</v>
          </cell>
          <cell r="B680" t="str">
            <v>FONSECA PEREZ HECTOR ELBER</v>
          </cell>
          <cell r="C680" t="str">
            <v>Paipa</v>
          </cell>
          <cell r="D680" t="str">
            <v>Paipa</v>
          </cell>
          <cell r="F680" t="str">
            <v>hectorfons533@gmail.com</v>
          </cell>
        </row>
        <row r="681">
          <cell r="A681">
            <v>74856528</v>
          </cell>
          <cell r="B681" t="str">
            <v>MARTINEZ MORENO HEBERT SMITH</v>
          </cell>
          <cell r="C681" t="str">
            <v>Paipa</v>
          </cell>
          <cell r="D681" t="str">
            <v>Paipa</v>
          </cell>
          <cell r="F681" t="str">
            <v>hebertmart@gmail.com</v>
          </cell>
        </row>
        <row r="682">
          <cell r="A682">
            <v>79104579</v>
          </cell>
          <cell r="B682" t="str">
            <v>AYALA  LUIS ROMAN</v>
          </cell>
          <cell r="C682" t="str">
            <v>Paipa</v>
          </cell>
          <cell r="D682" t="str">
            <v>Paipa</v>
          </cell>
          <cell r="F682" t="str">
            <v>sagifero@hotmail.com</v>
          </cell>
        </row>
        <row r="683">
          <cell r="A683">
            <v>80188987</v>
          </cell>
          <cell r="B683" t="str">
            <v>HUERTAS CARRERO NICOLAI IAKOV</v>
          </cell>
          <cell r="C683" t="str">
            <v>Paipa</v>
          </cell>
          <cell r="D683" t="str">
            <v>Paipa</v>
          </cell>
          <cell r="F683" t="str">
            <v>nhc999@gmail.com</v>
          </cell>
        </row>
        <row r="684">
          <cell r="A684">
            <v>91015838</v>
          </cell>
          <cell r="B684" t="str">
            <v>CUBIDES VELASCO EDWINARMANDO ARMANDO</v>
          </cell>
          <cell r="C684" t="str">
            <v>Paipa</v>
          </cell>
          <cell r="D684" t="str">
            <v>Paipa</v>
          </cell>
          <cell r="F684" t="str">
            <v>sandyes2@gmail.com</v>
          </cell>
        </row>
        <row r="685">
          <cell r="A685">
            <v>91204497</v>
          </cell>
          <cell r="B685" t="str">
            <v>AMAYA PINTO FELIX JUAQUIN</v>
          </cell>
          <cell r="C685" t="str">
            <v>Paipa</v>
          </cell>
          <cell r="D685" t="str">
            <v>Paipa</v>
          </cell>
          <cell r="F685" t="str">
            <v>felixjamaya@gmail.com</v>
          </cell>
        </row>
        <row r="686">
          <cell r="A686">
            <v>1007475658</v>
          </cell>
          <cell r="B686" t="str">
            <v>SANDOVAL BECERRA ESTEBAN ESTEBAN</v>
          </cell>
          <cell r="C686" t="str">
            <v>Paipa</v>
          </cell>
          <cell r="D686" t="str">
            <v>Paipa</v>
          </cell>
          <cell r="F686" t="str">
            <v>estebansandoval02@gmail.com</v>
          </cell>
        </row>
        <row r="687">
          <cell r="A687">
            <v>1016038118</v>
          </cell>
          <cell r="B687" t="str">
            <v>CONTRERAS ARDILA JAVIER EDUARDO</v>
          </cell>
          <cell r="C687" t="str">
            <v>Paipa</v>
          </cell>
          <cell r="D687" t="str">
            <v>Paipa</v>
          </cell>
          <cell r="F687" t="str">
            <v>jeca1991.18@gmail.com</v>
          </cell>
        </row>
        <row r="688">
          <cell r="A688">
            <v>1020754311</v>
          </cell>
          <cell r="B688" t="str">
            <v>SANTAMARIA GOMEZ JULIANA ELVIRA</v>
          </cell>
          <cell r="C688" t="str">
            <v>Paipa</v>
          </cell>
          <cell r="D688" t="str">
            <v>Paipa</v>
          </cell>
          <cell r="F688" t="str">
            <v>july.s.90@hotmail.com</v>
          </cell>
        </row>
        <row r="689">
          <cell r="A689">
            <v>1020800955</v>
          </cell>
          <cell r="B689" t="str">
            <v>ALONSO PAVA JUAN CAMILO</v>
          </cell>
          <cell r="C689" t="str">
            <v>Paipa</v>
          </cell>
          <cell r="D689" t="str">
            <v>Paipa</v>
          </cell>
          <cell r="F689" t="str">
            <v>juancalonso95@gmail.com</v>
          </cell>
        </row>
        <row r="690">
          <cell r="A690">
            <v>1049636094</v>
          </cell>
          <cell r="B690" t="str">
            <v>ROJAS MONCADA ANGIE CAROLINA</v>
          </cell>
          <cell r="C690" t="str">
            <v>Paipa</v>
          </cell>
          <cell r="D690" t="str">
            <v>Paipa</v>
          </cell>
          <cell r="F690" t="str">
            <v>rojascarolina80@gmail.com</v>
          </cell>
        </row>
        <row r="691">
          <cell r="A691">
            <v>1053611560</v>
          </cell>
          <cell r="B691" t="str">
            <v>RODRIGUEZ HERNANDEZ SANDRA CATALINA</v>
          </cell>
          <cell r="C691" t="str">
            <v>Paipa</v>
          </cell>
          <cell r="D691" t="str">
            <v>Paipa</v>
          </cell>
          <cell r="F691" t="str">
            <v>kathalinarodriguez11@gmail.com</v>
          </cell>
        </row>
        <row r="692">
          <cell r="A692">
            <v>1053615602</v>
          </cell>
          <cell r="B692" t="str">
            <v>FERNANDEZ VERA CRISTIAN CAMILO</v>
          </cell>
          <cell r="C692" t="str">
            <v>Paipa</v>
          </cell>
          <cell r="D692" t="str">
            <v>Paipa</v>
          </cell>
          <cell r="F692" t="str">
            <v>cristiancamilofernandezvera@gmail.com</v>
          </cell>
        </row>
        <row r="693">
          <cell r="A693">
            <v>1056572588</v>
          </cell>
          <cell r="B693" t="str">
            <v>PIRE  NAYIBE</v>
          </cell>
          <cell r="C693" t="str">
            <v>Paipa</v>
          </cell>
          <cell r="D693" t="str">
            <v>Paipa</v>
          </cell>
          <cell r="F693" t="str">
            <v>nayibe.galan@gmail.com</v>
          </cell>
        </row>
        <row r="694">
          <cell r="A694">
            <v>1072712165</v>
          </cell>
          <cell r="B694" t="str">
            <v>LOPEZ  MATEO</v>
          </cell>
          <cell r="C694" t="str">
            <v>Paipa</v>
          </cell>
          <cell r="D694" t="str">
            <v>Paipa</v>
          </cell>
          <cell r="F694" t="str">
            <v>mateo.lopez96@hotmail.com</v>
          </cell>
        </row>
        <row r="695">
          <cell r="A695">
            <v>820003390</v>
          </cell>
          <cell r="B695" t="str">
            <v>SERVICIOS DE INGENIERIA LTDA</v>
          </cell>
          <cell r="C695" t="str">
            <v>Paipa</v>
          </cell>
          <cell r="D695" t="str">
            <v>Paipa</v>
          </cell>
          <cell r="F695" t="str">
            <v>silsuelos@gmail.com</v>
          </cell>
        </row>
        <row r="696">
          <cell r="A696">
            <v>826003369</v>
          </cell>
          <cell r="B696" t="str">
            <v>COMERCIALIZADORA NUÑEZ MOLINA SAS</v>
          </cell>
          <cell r="C696" t="str">
            <v>Paipa</v>
          </cell>
          <cell r="D696" t="str">
            <v>Paipa</v>
          </cell>
          <cell r="F696" t="str">
            <v>facturacion@comercializadoranmsas.co</v>
          </cell>
        </row>
        <row r="697">
          <cell r="A697">
            <v>830011509</v>
          </cell>
          <cell r="B697" t="str">
            <v>ASOHOFRUCOL</v>
          </cell>
          <cell r="C697" t="str">
            <v>Paipa</v>
          </cell>
          <cell r="D697" t="str">
            <v>Paipa</v>
          </cell>
          <cell r="F697" t="str">
            <v>presidencia@asohofrucol.com.co</v>
          </cell>
        </row>
        <row r="698">
          <cell r="A698">
            <v>830027883</v>
          </cell>
          <cell r="B698" t="str">
            <v>INGEMEKS AS LTDA</v>
          </cell>
          <cell r="C698" t="str">
            <v>Paipa</v>
          </cell>
          <cell r="D698" t="str">
            <v>Paipa</v>
          </cell>
          <cell r="F698" t="str">
            <v>contabilidad@ingemeks.com</v>
          </cell>
        </row>
        <row r="699">
          <cell r="A699">
            <v>830053894</v>
          </cell>
          <cell r="B699" t="str">
            <v>TRANSCOLTUR SAS</v>
          </cell>
          <cell r="C699" t="str">
            <v>Paipa</v>
          </cell>
          <cell r="D699" t="str">
            <v>Paipa</v>
          </cell>
          <cell r="F699" t="str">
            <v>contador@transcoltur.com</v>
          </cell>
        </row>
        <row r="700">
          <cell r="A700">
            <v>832006637</v>
          </cell>
          <cell r="B700" t="str">
            <v>TRANSPORTES LA CALERA TRANS CALERA</v>
          </cell>
          <cell r="C700" t="str">
            <v>Paipa</v>
          </cell>
          <cell r="D700" t="str">
            <v>Paipa</v>
          </cell>
          <cell r="F700" t="str">
            <v>compras@transcalera.com</v>
          </cell>
        </row>
        <row r="701">
          <cell r="A701">
            <v>860017003</v>
          </cell>
          <cell r="B701" t="str">
            <v>COMPAÑÍA DE MARIA PADRES MONTFORTIA</v>
          </cell>
          <cell r="C701" t="str">
            <v>Paipa</v>
          </cell>
          <cell r="D701" t="str">
            <v>Paipa</v>
          </cell>
          <cell r="F701" t="str">
            <v>smmcontabilidadcol@gmail.com</v>
          </cell>
        </row>
        <row r="702">
          <cell r="A702">
            <v>860074450</v>
          </cell>
          <cell r="B702" t="str">
            <v>QUALA S A</v>
          </cell>
          <cell r="C702" t="str">
            <v>Paipa</v>
          </cell>
          <cell r="D702" t="str">
            <v>Paipa</v>
          </cell>
          <cell r="F702" t="str">
            <v>hmarcelo@qualnova.com.co</v>
          </cell>
        </row>
        <row r="703">
          <cell r="A703">
            <v>860507111</v>
          </cell>
          <cell r="B703" t="str">
            <v>INTER SERVICIOS ELECTRICOS ISE SAS</v>
          </cell>
          <cell r="C703" t="str">
            <v>Paipa</v>
          </cell>
          <cell r="D703" t="str">
            <v>Paipa</v>
          </cell>
          <cell r="F703" t="str">
            <v>auxcontable1@ise.com.co</v>
          </cell>
        </row>
        <row r="704">
          <cell r="A704">
            <v>890205142</v>
          </cell>
          <cell r="B704" t="str">
            <v>DISTRAVES SAS</v>
          </cell>
          <cell r="C704" t="str">
            <v>Paipa</v>
          </cell>
          <cell r="D704" t="str">
            <v>Paipa</v>
          </cell>
          <cell r="F704" t="str">
            <v>lajurado@distraves.com</v>
          </cell>
        </row>
        <row r="705">
          <cell r="A705">
            <v>900299908</v>
          </cell>
          <cell r="B705" t="str">
            <v>HYM INGENIERIA ELECTRICA SAS</v>
          </cell>
          <cell r="C705" t="str">
            <v>Paipa</v>
          </cell>
          <cell r="D705" t="str">
            <v>Paipa</v>
          </cell>
          <cell r="F705" t="str">
            <v>hymingenieriaelectrica@gmail.com</v>
          </cell>
        </row>
        <row r="706">
          <cell r="A706">
            <v>900446925</v>
          </cell>
          <cell r="B706" t="str">
            <v>APP CONTROL INGENIERÍA SAS</v>
          </cell>
          <cell r="C706" t="str">
            <v>Paipa</v>
          </cell>
          <cell r="D706" t="str">
            <v>Paipa</v>
          </cell>
          <cell r="F706" t="str">
            <v>appcontrolingenieria@gmail.com</v>
          </cell>
        </row>
        <row r="707">
          <cell r="A707">
            <v>900544726</v>
          </cell>
          <cell r="B707" t="str">
            <v>IVOMALAC SAS</v>
          </cell>
          <cell r="C707" t="str">
            <v>Paipa</v>
          </cell>
          <cell r="D707" t="str">
            <v>Paipa</v>
          </cell>
          <cell r="F707" t="str">
            <v>similacjd@hotmail.com</v>
          </cell>
        </row>
        <row r="708">
          <cell r="A708">
            <v>900615236</v>
          </cell>
          <cell r="B708" t="str">
            <v>OSADIALAB SAS</v>
          </cell>
          <cell r="C708" t="str">
            <v>Paipa</v>
          </cell>
          <cell r="D708" t="str">
            <v>Paipa</v>
          </cell>
          <cell r="F708" t="str">
            <v>gerencia@osadialab.com</v>
          </cell>
        </row>
        <row r="709">
          <cell r="A709">
            <v>900970855</v>
          </cell>
          <cell r="B709" t="str">
            <v>ESCOLLANOS SAS</v>
          </cell>
          <cell r="C709" t="str">
            <v>Paipa</v>
          </cell>
          <cell r="D709" t="str">
            <v>Paipa</v>
          </cell>
          <cell r="F709" t="str">
            <v>facturas@escollanos.com.co</v>
          </cell>
        </row>
        <row r="710">
          <cell r="A710">
            <v>900989603</v>
          </cell>
          <cell r="B710" t="str">
            <v>INVERSIONES MUJER SAS</v>
          </cell>
          <cell r="C710" t="str">
            <v>Paipa</v>
          </cell>
          <cell r="D710" t="str">
            <v>Paipa</v>
          </cell>
          <cell r="F710" t="str">
            <v>inversioneslujer16@gmail.com</v>
          </cell>
        </row>
        <row r="711">
          <cell r="A711">
            <v>901309123</v>
          </cell>
          <cell r="B711" t="str">
            <v>GUAIA INVERSIONES Y PROYECTOS SAS</v>
          </cell>
          <cell r="C711" t="str">
            <v>Paipa</v>
          </cell>
          <cell r="D711" t="str">
            <v>Paipa</v>
          </cell>
          <cell r="F711" t="str">
            <v>fabiorei@gmail.com</v>
          </cell>
        </row>
        <row r="712">
          <cell r="A712">
            <v>901507823</v>
          </cell>
          <cell r="B712" t="str">
            <v>TRANSPORTES LOS CERROS VIP</v>
          </cell>
          <cell r="C712" t="str">
            <v>Paipa</v>
          </cell>
          <cell r="D712" t="str">
            <v>Paipa</v>
          </cell>
          <cell r="F712" t="str">
            <v>t.especialloscerros@gmail.com</v>
          </cell>
        </row>
        <row r="713">
          <cell r="A713">
            <v>901559157</v>
          </cell>
          <cell r="B713" t="str">
            <v>SOCIEDAD AVILA FONSECA SAS</v>
          </cell>
          <cell r="C713" t="str">
            <v>Paipa</v>
          </cell>
          <cell r="D713" t="str">
            <v>Paipa</v>
          </cell>
          <cell r="F713" t="str">
            <v>sociedadavilafonseca@gmail.com</v>
          </cell>
        </row>
        <row r="714">
          <cell r="A714">
            <v>901637353</v>
          </cell>
          <cell r="B714" t="str">
            <v>DISTRIBUCIÓN Y COMERCIALIZACIÓN SIC</v>
          </cell>
          <cell r="C714" t="str">
            <v>Paipa</v>
          </cell>
          <cell r="D714" t="str">
            <v>Paipa</v>
          </cell>
          <cell r="F714" t="str">
            <v>info@sicarcomercializacion.com</v>
          </cell>
        </row>
        <row r="715">
          <cell r="A715">
            <v>901741379</v>
          </cell>
          <cell r="B715" t="str">
            <v>ROPAROCK ROYAL</v>
          </cell>
          <cell r="C715" t="str">
            <v>Paipa</v>
          </cell>
          <cell r="D715" t="str">
            <v>Paipa</v>
          </cell>
          <cell r="F715" t="str">
            <v>ropayrockfacturas@gmail.com</v>
          </cell>
        </row>
        <row r="716">
          <cell r="A716">
            <v>901785833</v>
          </cell>
          <cell r="B716" t="str">
            <v>TARU COMPANY SAS</v>
          </cell>
          <cell r="C716" t="str">
            <v>Paipa</v>
          </cell>
          <cell r="D716" t="str">
            <v>Paipa</v>
          </cell>
          <cell r="F716" t="str">
            <v>tarucompanysas@gmail.com</v>
          </cell>
        </row>
        <row r="717">
          <cell r="A717">
            <v>901791957</v>
          </cell>
          <cell r="B717" t="str">
            <v>C.M ECOINGENIERIA SAS</v>
          </cell>
          <cell r="C717" t="str">
            <v>Paipa</v>
          </cell>
          <cell r="D717" t="str">
            <v>Paipa</v>
          </cell>
          <cell r="F717" t="str">
            <v>cmecoingenieria0829@gmail.com</v>
          </cell>
        </row>
        <row r="718">
          <cell r="A718">
            <v>901819858</v>
          </cell>
          <cell r="B718" t="str">
            <v>POOL SERVICE SOCHAGOTA S.A.S</v>
          </cell>
          <cell r="C718" t="str">
            <v>Paipa</v>
          </cell>
          <cell r="D718" t="str">
            <v>Paipa</v>
          </cell>
          <cell r="F718" t="str">
            <v>raul-mora70@hotmail.com</v>
          </cell>
        </row>
        <row r="719">
          <cell r="A719">
            <v>805012610</v>
          </cell>
          <cell r="B719" t="str">
            <v>FINESA S A</v>
          </cell>
          <cell r="C719" t="str">
            <v>Paipa</v>
          </cell>
          <cell r="D719" t="str">
            <v>PAIPA</v>
          </cell>
          <cell r="F719" t="str">
            <v>diegoromero@finesa.com.co</v>
          </cell>
        </row>
        <row r="720">
          <cell r="A720">
            <v>1053605896</v>
          </cell>
          <cell r="B720" t="str">
            <v>SANABRIA OROZCO ALEXANDRO</v>
          </cell>
          <cell r="C720" t="str">
            <v>Paipa</v>
          </cell>
          <cell r="D720" t="str">
            <v>VEREDA BONZA</v>
          </cell>
          <cell r="F720" t="str">
            <v>alexandro.rbn@gmail.com</v>
          </cell>
        </row>
        <row r="721">
          <cell r="A721">
            <v>1049630482</v>
          </cell>
          <cell r="B721" t="str">
            <v>PATRICIA CAMARGO ANGELA PACHON</v>
          </cell>
          <cell r="C721" t="str">
            <v>Bojacá</v>
          </cell>
          <cell r="D721" t="str">
            <v>paipa</v>
          </cell>
          <cell r="F721" t="str">
            <v>patico.ami@hotmail.com</v>
          </cell>
        </row>
        <row r="722">
          <cell r="A722">
            <v>4060932</v>
          </cell>
          <cell r="B722" t="str">
            <v>ALBARRACIN LAGOS JOVAN JOVAN</v>
          </cell>
          <cell r="C722" t="str">
            <v>Boyacá</v>
          </cell>
          <cell r="D722" t="str">
            <v>PAIPA</v>
          </cell>
          <cell r="F722" t="str">
            <v>distrialbarracin@gmail.com</v>
          </cell>
        </row>
        <row r="723">
          <cell r="A723">
            <v>1053606195</v>
          </cell>
          <cell r="B723" t="str">
            <v>RUIZ BARON RIGOBERTO</v>
          </cell>
          <cell r="C723" t="str">
            <v>Paipa</v>
          </cell>
          <cell r="D723" t="str">
            <v>PAIPA</v>
          </cell>
          <cell r="F723" t="str">
            <v>diana-mariar@hotmail.com</v>
          </cell>
        </row>
        <row r="724">
          <cell r="A724">
            <v>4179158</v>
          </cell>
          <cell r="B724" t="str">
            <v>BOHORQUEZ MOGOLLON JOSE GABRIEL</v>
          </cell>
          <cell r="C724" t="str">
            <v>Paipa</v>
          </cell>
          <cell r="D724" t="str">
            <v>Paipa</v>
          </cell>
          <cell r="F724" t="str">
            <v>josephsflower@gmail.com</v>
          </cell>
        </row>
        <row r="725">
          <cell r="A725">
            <v>4192270</v>
          </cell>
          <cell r="B725" t="str">
            <v>VARGAS PUERTO HERNAN HERNAN</v>
          </cell>
          <cell r="C725" t="str">
            <v>Paipa</v>
          </cell>
          <cell r="D725" t="str">
            <v>Paipa</v>
          </cell>
          <cell r="F725" t="str">
            <v>jhvargasp@unal.edu.co</v>
          </cell>
        </row>
        <row r="726">
          <cell r="A726">
            <v>6757859</v>
          </cell>
          <cell r="B726" t="str">
            <v>BRICEÑO PINZON RAFAEL HUMBERTO</v>
          </cell>
          <cell r="C726" t="str">
            <v>Paipa</v>
          </cell>
          <cell r="D726" t="str">
            <v>Paipa</v>
          </cell>
          <cell r="F726" t="str">
            <v>rabripi@hotmail.com</v>
          </cell>
        </row>
        <row r="727">
          <cell r="A727">
            <v>7163866</v>
          </cell>
          <cell r="B727" t="str">
            <v>RUIZ BECERRA LUIS ABELARDO</v>
          </cell>
          <cell r="C727" t="str">
            <v>Paipa</v>
          </cell>
          <cell r="D727" t="str">
            <v>Paipa</v>
          </cell>
          <cell r="F727" t="str">
            <v>lurube08@gmail.com</v>
          </cell>
        </row>
        <row r="728">
          <cell r="A728">
            <v>74360389</v>
          </cell>
          <cell r="B728" t="str">
            <v>PEDRAZA  WHILLIAN HERNANDEZ</v>
          </cell>
          <cell r="C728" t="str">
            <v>Paipa</v>
          </cell>
          <cell r="D728" t="str">
            <v>Paipa</v>
          </cell>
          <cell r="F728" t="str">
            <v>hernandezwilliam780@gmail.com</v>
          </cell>
        </row>
        <row r="729">
          <cell r="A729">
            <v>74360390</v>
          </cell>
          <cell r="B729" t="str">
            <v>MATEUS CHACON FREDDY NELSON</v>
          </cell>
          <cell r="C729" t="str">
            <v>Paipa</v>
          </cell>
          <cell r="D729" t="str">
            <v>Paipa</v>
          </cell>
          <cell r="F729" t="str">
            <v>freynelma@hotmail.com</v>
          </cell>
        </row>
        <row r="730">
          <cell r="A730">
            <v>74376436</v>
          </cell>
          <cell r="B730" t="str">
            <v>PEREZ REYES FELIX ARTEMO</v>
          </cell>
          <cell r="C730" t="str">
            <v>Paipa</v>
          </cell>
          <cell r="D730" t="str">
            <v>Paipa</v>
          </cell>
          <cell r="F730" t="str">
            <v>comodeciamosayer@gmail.com</v>
          </cell>
        </row>
        <row r="731">
          <cell r="A731">
            <v>74381712</v>
          </cell>
          <cell r="B731" t="str">
            <v>RODRIGUEZ  RAMIRO ACOSTA</v>
          </cell>
          <cell r="C731" t="str">
            <v>Paipa</v>
          </cell>
          <cell r="D731" t="str">
            <v>Paipa</v>
          </cell>
          <cell r="F731" t="str">
            <v>rodriguez1069@hotmail.com</v>
          </cell>
        </row>
        <row r="732">
          <cell r="A732">
            <v>79373607</v>
          </cell>
          <cell r="B732" t="str">
            <v>CORTES  JAIRO ALVAREZ</v>
          </cell>
          <cell r="C732" t="str">
            <v>Paipa</v>
          </cell>
          <cell r="D732" t="str">
            <v>Paipa</v>
          </cell>
          <cell r="F732" t="str">
            <v>jairoal00@hotmail.com</v>
          </cell>
        </row>
        <row r="733">
          <cell r="A733">
            <v>79877444</v>
          </cell>
          <cell r="B733" t="str">
            <v>FONSECA ECHEVERRIA WILSON GIOVANNI</v>
          </cell>
          <cell r="C733" t="str">
            <v>Paipa</v>
          </cell>
          <cell r="D733" t="str">
            <v>Paipa</v>
          </cell>
          <cell r="F733" t="str">
            <v>wflaco1145@gmail.com</v>
          </cell>
        </row>
        <row r="734">
          <cell r="A734">
            <v>80539780</v>
          </cell>
          <cell r="B734" t="str">
            <v>LADINO  IVAN SANTANA</v>
          </cell>
          <cell r="C734" t="str">
            <v>Paipa</v>
          </cell>
          <cell r="D734" t="str">
            <v>Paipa</v>
          </cell>
          <cell r="F734" t="str">
            <v>santana572@hotmail.com</v>
          </cell>
        </row>
        <row r="735">
          <cell r="A735">
            <v>80763005</v>
          </cell>
          <cell r="B735" t="str">
            <v>LEITON  WILSON</v>
          </cell>
          <cell r="C735" t="str">
            <v>Paipa</v>
          </cell>
          <cell r="D735" t="str">
            <v>Paipa</v>
          </cell>
          <cell r="F735" t="str">
            <v>whls07@yahoo.es</v>
          </cell>
        </row>
        <row r="736">
          <cell r="A736">
            <v>23855138</v>
          </cell>
          <cell r="B736" t="str">
            <v>BAYONA ALBA MIRTHA ROCIO</v>
          </cell>
          <cell r="C736" t="str">
            <v>Paipa</v>
          </cell>
          <cell r="D736" t="str">
            <v>CR 18 24 12</v>
          </cell>
          <cell r="F736" t="str">
            <v>mirobaal@hotmail.com</v>
          </cell>
        </row>
        <row r="737">
          <cell r="A737">
            <v>1052381361</v>
          </cell>
          <cell r="B737" t="str">
            <v>DIAZ GARCIA WILLIAM ANDRES</v>
          </cell>
          <cell r="C737" t="str">
            <v>Paipa</v>
          </cell>
          <cell r="D737" t="str">
            <v>CLL 25 19 75</v>
          </cell>
          <cell r="F737" t="str">
            <v>williamandres@gmail.com</v>
          </cell>
        </row>
        <row r="738">
          <cell r="A738">
            <v>7210150</v>
          </cell>
          <cell r="B738" t="str">
            <v>SANABRIA ANDRES</v>
          </cell>
          <cell r="C738" t="str">
            <v>Paipa</v>
          </cell>
          <cell r="D738" t="str">
            <v>CR 19 26 68</v>
          </cell>
          <cell r="F738" t="str">
            <v>zuco27@hotmail.com</v>
          </cell>
        </row>
        <row r="739">
          <cell r="A739">
            <v>1053609631</v>
          </cell>
          <cell r="B739" t="str">
            <v>ROSAS FABIAN</v>
          </cell>
          <cell r="C739" t="str">
            <v>Paipa</v>
          </cell>
          <cell r="D739" t="str">
            <v>cll 22 28 23</v>
          </cell>
          <cell r="F739" t="str">
            <v>fabianrosas166@gmail.com</v>
          </cell>
        </row>
        <row r="740">
          <cell r="A740">
            <v>79434479</v>
          </cell>
          <cell r="B740" t="str">
            <v>BECERRA JOSE ORLANDO</v>
          </cell>
          <cell r="C740" t="str">
            <v>Paipa</v>
          </cell>
          <cell r="D740" t="str">
            <v>pinturasbegacolor@gmail.com</v>
          </cell>
          <cell r="F740" t="str">
            <v>pinturasbegacolor@gmail.com</v>
          </cell>
        </row>
        <row r="741">
          <cell r="A741">
            <v>1052409763</v>
          </cell>
          <cell r="B741" t="str">
            <v>PALACIOS RODRIGUEZ LAURA NATHALIA</v>
          </cell>
          <cell r="C741" t="str">
            <v>Paipa</v>
          </cell>
          <cell r="D741" t="str">
            <v>CL 5A 44 03</v>
          </cell>
          <cell r="F741" t="str">
            <v>laupalacios.09@hotmail.com</v>
          </cell>
        </row>
        <row r="742">
          <cell r="A742">
            <v>900652216</v>
          </cell>
          <cell r="B742" t="str">
            <v>AGROINSUMOS PREMIUN PLANTS SAS</v>
          </cell>
          <cell r="C742" t="str">
            <v>Paipa</v>
          </cell>
          <cell r="D742" t="str">
            <v>VEREDA VENTA DE LLANO</v>
          </cell>
          <cell r="F742" t="str">
            <v>plantsfev@gmail.com</v>
          </cell>
        </row>
        <row r="743">
          <cell r="A743">
            <v>4192529</v>
          </cell>
          <cell r="B743" t="str">
            <v>OCHOA MONROY OSCAR EDUARDO</v>
          </cell>
          <cell r="C743" t="str">
            <v>Paipa</v>
          </cell>
          <cell r="D743" t="str">
            <v>CR 16 27 48</v>
          </cell>
          <cell r="F743" t="str">
            <v>oscar12monroy@gmail.com</v>
          </cell>
        </row>
        <row r="744">
          <cell r="A744">
            <v>74359064</v>
          </cell>
          <cell r="B744" t="str">
            <v>OCHOA DIEGO</v>
          </cell>
          <cell r="C744" t="str">
            <v>Paipa</v>
          </cell>
          <cell r="D744" t="str">
            <v>CLL 25 19 52</v>
          </cell>
          <cell r="F744" t="str">
            <v>ochoacamargo@hotmail.com</v>
          </cell>
        </row>
        <row r="745">
          <cell r="A745">
            <v>91015587</v>
          </cell>
          <cell r="B745" t="str">
            <v>JIMENEZ JOSE ALFREDO</v>
          </cell>
          <cell r="C745" t="str">
            <v>Paipa</v>
          </cell>
          <cell r="D745" t="str">
            <v>CR 17 26C 21</v>
          </cell>
          <cell r="F745" t="str">
            <v>joseajimenez500@hotmail.com</v>
          </cell>
        </row>
        <row r="746">
          <cell r="A746">
            <v>900354036</v>
          </cell>
          <cell r="B746" t="str">
            <v>AXIONLOG SAS</v>
          </cell>
          <cell r="C746" t="str">
            <v>Medellín</v>
          </cell>
          <cell r="D746" t="str">
            <v>Medellin KL 13 Siberia</v>
          </cell>
          <cell r="F746" t="str">
            <v>john.orjuela@axionlog.com</v>
          </cell>
        </row>
        <row r="747">
          <cell r="A747">
            <v>830006716</v>
          </cell>
          <cell r="B747" t="str">
            <v>SILVERAGRO SAS</v>
          </cell>
          <cell r="C747" t="str">
            <v>Paipa</v>
          </cell>
          <cell r="D747" t="str">
            <v>CALLE 162#21-51</v>
          </cell>
          <cell r="F747" t="str">
            <v>830006716@factureinbox.co</v>
          </cell>
        </row>
        <row r="748">
          <cell r="A748">
            <v>900086174</v>
          </cell>
          <cell r="B748" t="str">
            <v>INMADICA ANDINA SA</v>
          </cell>
          <cell r="C748" t="str">
            <v>Medellín</v>
          </cell>
          <cell r="D748" t="str">
            <v>COSTADO SUR DE LA AUTOPISTA MEDELLIN KM 2 PUNTO 7 BG 7 PAR IND LOS N</v>
          </cell>
          <cell r="F748" t="str">
            <v>jesus.maza@inmadicaandina.com</v>
          </cell>
        </row>
        <row r="749">
          <cell r="A749">
            <v>11185281</v>
          </cell>
          <cell r="B749" t="str">
            <v>FLORIDO GAYON EDUARDO ANTONIO</v>
          </cell>
          <cell r="C749" t="str">
            <v>Paipa</v>
          </cell>
          <cell r="D749" t="str">
            <v>PAIPA</v>
          </cell>
          <cell r="F749" t="str">
            <v>eduflo1020@gmail.com</v>
          </cell>
        </row>
        <row r="750">
          <cell r="A750">
            <v>860009578</v>
          </cell>
          <cell r="B750" t="str">
            <v>SEGUROS DEL ESTADO SA</v>
          </cell>
          <cell r="C750" t="str">
            <v>Bogota D.C.</v>
          </cell>
          <cell r="D750" t="str">
            <v>CALLE 83 19 10</v>
          </cell>
          <cell r="F750" t="str">
            <v>verificacion.polizas.cumplimiento@segurosdelestado.com</v>
          </cell>
        </row>
        <row r="751">
          <cell r="A751">
            <v>860037707</v>
          </cell>
          <cell r="B751" t="str">
            <v>SBS SEGUROS COLOMBIA S A</v>
          </cell>
          <cell r="C751" t="str">
            <v>Bogota D.C.</v>
          </cell>
          <cell r="D751" t="str">
            <v>AV CR 9 101 67 PISO 6 Y 7</v>
          </cell>
          <cell r="F751" t="str">
            <v>impuestos@sbseguros.co</v>
          </cell>
        </row>
        <row r="752">
          <cell r="A752">
            <v>901303870</v>
          </cell>
          <cell r="B752" t="str">
            <v>DIEGO FONSECA INGENIERÍA SAS</v>
          </cell>
          <cell r="C752" t="str">
            <v>Paipa</v>
          </cell>
          <cell r="D752" t="str">
            <v>PAIPA</v>
          </cell>
          <cell r="F752" t="str">
            <v>disalingenieria@gmail.com</v>
          </cell>
        </row>
        <row r="753">
          <cell r="A753">
            <v>901371473</v>
          </cell>
          <cell r="B753" t="str">
            <v>INGENIEROS CIVILES CONSULTORES SAS</v>
          </cell>
          <cell r="C753" t="str">
            <v>Paipa</v>
          </cell>
          <cell r="D753" t="str">
            <v>Calle 24f#85B-05</v>
          </cell>
          <cell r="F753" t="str">
            <v>icivicolsas@gmail.com</v>
          </cell>
        </row>
        <row r="754">
          <cell r="A754">
            <v>901541975</v>
          </cell>
          <cell r="B754" t="str">
            <v>GRUPO DELTA MOTORS</v>
          </cell>
          <cell r="C754" t="str">
            <v>Paipa</v>
          </cell>
          <cell r="D754" t="str">
            <v>CRA 14 22 31</v>
          </cell>
          <cell r="F754" t="str">
            <v>grupodetacolcontabilidaf@gmail.com</v>
          </cell>
        </row>
        <row r="755">
          <cell r="A755">
            <v>7221701</v>
          </cell>
          <cell r="B755" t="str">
            <v>PEREZ WILSON RINCON</v>
          </cell>
          <cell r="C755" t="str">
            <v>Paipa</v>
          </cell>
          <cell r="D755" t="str">
            <v>CL 24 18 11</v>
          </cell>
          <cell r="F755" t="str">
            <v>trazosfuego@gmail.com</v>
          </cell>
        </row>
        <row r="756">
          <cell r="A756">
            <v>900883046</v>
          </cell>
          <cell r="B756" t="str">
            <v>J &amp; E CONSULTORIAS Y SERVICIOS SAS</v>
          </cell>
          <cell r="C756" t="str">
            <v>Paipa</v>
          </cell>
          <cell r="D756" t="str">
            <v xml:space="preserve"> CR 1 F 40 195 ED ENTERPRISE TO 2 OF 417</v>
          </cell>
          <cell r="F756" t="str">
            <v>jeestratificamoscolombia@gmail.com</v>
          </cell>
        </row>
        <row r="757">
          <cell r="A757">
            <v>800146926</v>
          </cell>
          <cell r="B757" t="str">
            <v>MACIAS Y PALACIO S.A.S</v>
          </cell>
          <cell r="C757" t="str">
            <v>Paipa</v>
          </cell>
          <cell r="D757" t="str">
            <v>Dg 75b #2a-146, local 124</v>
          </cell>
          <cell r="F757" t="str">
            <v>admonpaperm@gmail.com</v>
          </cell>
        </row>
        <row r="758">
          <cell r="A758">
            <v>800154507</v>
          </cell>
          <cell r="B758" t="str">
            <v>COINGA LTDA</v>
          </cell>
          <cell r="C758" t="str">
            <v>Paipa</v>
          </cell>
          <cell r="D758" t="str">
            <v>paip</v>
          </cell>
          <cell r="F758" t="str">
            <v>coingaltda@yahoo.com</v>
          </cell>
        </row>
        <row r="759">
          <cell r="A759">
            <v>900758588</v>
          </cell>
          <cell r="B759" t="str">
            <v>SEAP GESTION DE RIESGOS EN ALIMENTO</v>
          </cell>
          <cell r="C759" t="str">
            <v>Paipa</v>
          </cell>
          <cell r="D759" t="str">
            <v>CR 50 136 26</v>
          </cell>
          <cell r="F759" t="str">
            <v>sonia.alfonso@seapriesgos.com</v>
          </cell>
        </row>
        <row r="760">
          <cell r="A760">
            <v>1069728209</v>
          </cell>
          <cell r="B760" t="str">
            <v>PRIETO MARTINEZ ALEJANDRA MARIA</v>
          </cell>
          <cell r="C760" t="str">
            <v>Paipa</v>
          </cell>
          <cell r="D760" t="str">
            <v>Carrera 5c # 17 - 86</v>
          </cell>
          <cell r="F760" t="str">
            <v>gerencia@sacgestionambiental.com</v>
          </cell>
        </row>
        <row r="761">
          <cell r="A761">
            <v>900409576</v>
          </cell>
          <cell r="B761" t="str">
            <v>ZUCCO SAS</v>
          </cell>
          <cell r="C761" t="str">
            <v>Paipa</v>
          </cell>
          <cell r="D761" t="str">
            <v>Cra 78 # 128-99</v>
          </cell>
          <cell r="F761" t="str">
            <v>mariaacopello@gmail.com</v>
          </cell>
        </row>
        <row r="762">
          <cell r="A762">
            <v>1032416357</v>
          </cell>
          <cell r="B762" t="str">
            <v>MEDINA MATEUS DICKSON HERNANDO</v>
          </cell>
          <cell r="C762" t="str">
            <v>Paipa</v>
          </cell>
          <cell r="D762" t="str">
            <v>CALLE 22 N # 17-15</v>
          </cell>
          <cell r="F762" t="str">
            <v>dihmedinama@unal.edu.co</v>
          </cell>
        </row>
        <row r="763">
          <cell r="A763">
            <v>900333016</v>
          </cell>
          <cell r="B763" t="str">
            <v>AS TRADING CUSTOMS LTDA</v>
          </cell>
          <cell r="C763" t="str">
            <v>Paipa</v>
          </cell>
          <cell r="D763" t="str">
            <v>CALLE 24 C # 80 C 42 OFICINA 202</v>
          </cell>
          <cell r="F763" t="str">
            <v>julio.albornoz@astradingcustoms.com</v>
          </cell>
        </row>
        <row r="764">
          <cell r="A764">
            <v>900864453</v>
          </cell>
          <cell r="B764" t="str">
            <v>ISACAM COMERCIALIZADORA Y DISTRIBU</v>
          </cell>
          <cell r="C764" t="str">
            <v>Paipa</v>
          </cell>
          <cell r="D764" t="str">
            <v>CALLE 116 # 15 B- 53</v>
          </cell>
          <cell r="F764" t="str">
            <v>gerencia@isacamsas.com</v>
          </cell>
        </row>
        <row r="765">
          <cell r="A765">
            <v>1109388167</v>
          </cell>
          <cell r="B765" t="str">
            <v>ACERO SANCHEZ MEISSON</v>
          </cell>
          <cell r="C765" t="str">
            <v>Paipa</v>
          </cell>
          <cell r="D765" t="str">
            <v>PAIPA</v>
          </cell>
          <cell r="F765" t="str">
            <v>meissonacero@gmail.com</v>
          </cell>
        </row>
        <row r="766">
          <cell r="A766">
            <v>74360282</v>
          </cell>
          <cell r="B766" t="str">
            <v>GARCIA LOPEZ WILFREDY</v>
          </cell>
          <cell r="C766" t="str">
            <v>Paipa</v>
          </cell>
          <cell r="D766" t="str">
            <v>Siderúrgica vía tunja paipa</v>
          </cell>
          <cell r="F766" t="str">
            <v>facturacionwlfrey24@gmail.com</v>
          </cell>
        </row>
        <row r="767">
          <cell r="A767">
            <v>800186061</v>
          </cell>
          <cell r="B767" t="str">
            <v>DEFENSORIA DEL PUEBLO</v>
          </cell>
          <cell r="C767" t="str">
            <v>Bogota D.C.</v>
          </cell>
          <cell r="D767" t="str">
            <v>Calle 55# 10 32 Barrio chapinero</v>
          </cell>
          <cell r="F767" t="str">
            <v>jobecerra@defensoria.gov.co</v>
          </cell>
        </row>
        <row r="768">
          <cell r="A768">
            <v>860513438</v>
          </cell>
          <cell r="B768" t="str">
            <v>AGROPECUARIA VERSALLES RICASTEL SAS</v>
          </cell>
          <cell r="C768" t="str">
            <v>Paipa</v>
          </cell>
          <cell r="D768" t="str">
            <v>PAIPA</v>
          </cell>
          <cell r="F768" t="str">
            <v>versallesricastel2017@gmail.com</v>
          </cell>
        </row>
        <row r="769">
          <cell r="A769">
            <v>900976764</v>
          </cell>
          <cell r="B769" t="str">
            <v>EYF COMERCIALIZADORA SAS</v>
          </cell>
          <cell r="C769" t="str">
            <v>Paipa</v>
          </cell>
          <cell r="D769" t="str">
            <v>Carrera 21 #24-74 Barrio San Antonio</v>
          </cell>
          <cell r="F769" t="str">
            <v>eyfcomercializadora@gmail.com</v>
          </cell>
        </row>
        <row r="770">
          <cell r="A770">
            <v>1015398595</v>
          </cell>
          <cell r="B770" t="str">
            <v>MORENO RAMIREZ DIANA CAROLINA</v>
          </cell>
          <cell r="C770" t="str">
            <v>Paipa</v>
          </cell>
          <cell r="D770" t="str">
            <v>PAIPA</v>
          </cell>
          <cell r="F770" t="str">
            <v>daniel.alvarez@terpel.com</v>
          </cell>
        </row>
        <row r="771">
          <cell r="A771">
            <v>1053608517</v>
          </cell>
          <cell r="B771" t="str">
            <v>LEON CLAUDIA</v>
          </cell>
          <cell r="C771" t="str">
            <v>Paipa</v>
          </cell>
          <cell r="D771" t="str">
            <v>PAIPA</v>
          </cell>
          <cell r="F771" t="str">
            <v>clamaleca@hotmail.com</v>
          </cell>
        </row>
        <row r="772">
          <cell r="A772">
            <v>1053611525</v>
          </cell>
          <cell r="B772" t="str">
            <v>BECERRA JOSE DANIEL</v>
          </cell>
          <cell r="C772" t="str">
            <v>Paipa</v>
          </cell>
          <cell r="D772" t="str">
            <v>LA ESTACION</v>
          </cell>
          <cell r="F772" t="str">
            <v>danibec1053@gmail.com</v>
          </cell>
        </row>
        <row r="773">
          <cell r="A773">
            <v>74323126</v>
          </cell>
          <cell r="B773" t="str">
            <v>SANCHEZ SANABRIA JESUS ARMANDO</v>
          </cell>
          <cell r="C773" t="str">
            <v>Paipa</v>
          </cell>
          <cell r="D773" t="str">
            <v>PAIPA</v>
          </cell>
          <cell r="F773" t="str">
            <v>jass9901@yahoo.com</v>
          </cell>
        </row>
        <row r="774">
          <cell r="A774">
            <v>805017153</v>
          </cell>
          <cell r="B774" t="str">
            <v>INVERSIONES DIOMARDI SAS</v>
          </cell>
          <cell r="C774" t="str">
            <v>Paipa</v>
          </cell>
          <cell r="D774" t="str">
            <v>Calle5#46/83</v>
          </cell>
          <cell r="F774" t="str">
            <v>cartera1@losreblujosdepati.com</v>
          </cell>
        </row>
        <row r="775">
          <cell r="A775">
            <v>74358612</v>
          </cell>
          <cell r="B775" t="str">
            <v>SANDOVAL FUQUEN HUGO HUMBERTO</v>
          </cell>
          <cell r="C775" t="str">
            <v>Paipa</v>
          </cell>
          <cell r="D775" t="str">
            <v>PAIPA</v>
          </cell>
          <cell r="F775" t="str">
            <v>andocreando@icloud.com</v>
          </cell>
        </row>
        <row r="776">
          <cell r="A776">
            <v>901177455</v>
          </cell>
          <cell r="B776" t="str">
            <v>INGENIERIA Y DESARROLLO DE SOLUCIONES WEB S.A.S.</v>
          </cell>
          <cell r="C776" t="str">
            <v>Paipa</v>
          </cell>
          <cell r="D776" t="str">
            <v>CALLE 17 11-57</v>
          </cell>
          <cell r="F776" t="str">
            <v>facturacion@idsweb.com.co</v>
          </cell>
        </row>
        <row r="777">
          <cell r="A777">
            <v>901662589</v>
          </cell>
          <cell r="B777" t="str">
            <v>LEGUIZAMO IDEARK SAS</v>
          </cell>
          <cell r="C777" t="str">
            <v>Paipa</v>
          </cell>
          <cell r="D777" t="str">
            <v>PAIPA</v>
          </cell>
          <cell r="F777" t="str">
            <v>leguizamoidearksas@gmail.com</v>
          </cell>
        </row>
        <row r="778">
          <cell r="A778">
            <v>860055371</v>
          </cell>
          <cell r="B778" t="str">
            <v>JAVAR SAS</v>
          </cell>
          <cell r="C778" t="str">
            <v>Paipa</v>
          </cell>
          <cell r="D778" t="str">
            <v xml:space="preserve"> Calle 74 #27b 32</v>
          </cell>
          <cell r="F778" t="str">
            <v>compras@javar.com.co</v>
          </cell>
        </row>
        <row r="779">
          <cell r="A779">
            <v>900476443</v>
          </cell>
          <cell r="B779" t="str">
            <v>IMPORTADORA GONZALEZ OSUNA SAS</v>
          </cell>
          <cell r="C779" t="str">
            <v>Paipa</v>
          </cell>
          <cell r="D779" t="str">
            <v>PAIPA</v>
          </cell>
          <cell r="F779" t="str">
            <v>amparo.osuna@imgona.com</v>
          </cell>
        </row>
        <row r="780">
          <cell r="A780">
            <v>901728604</v>
          </cell>
          <cell r="B780" t="str">
            <v>ESTRATEGIA RURAL Y URBANA S.A.S</v>
          </cell>
          <cell r="C780" t="str">
            <v>Paipa</v>
          </cell>
          <cell r="D780" t="str">
            <v>PAIPA</v>
          </cell>
          <cell r="F780" t="str">
            <v>estrategiarur@gmail.com</v>
          </cell>
        </row>
        <row r="781">
          <cell r="A781">
            <v>901607049</v>
          </cell>
          <cell r="B781" t="str">
            <v>SERVIEVENTOS COLOMBIA SAS</v>
          </cell>
          <cell r="C781" t="str">
            <v>Paipa</v>
          </cell>
          <cell r="D781" t="str">
            <v>PAIPA</v>
          </cell>
          <cell r="F781" t="str">
            <v>facturasservieventoscol@gmail.com</v>
          </cell>
        </row>
        <row r="782">
          <cell r="A782">
            <v>901660889</v>
          </cell>
          <cell r="B782" t="str">
            <v>CLUB DEPORTIVO TALENTOS COLOMBIA</v>
          </cell>
          <cell r="C782" t="str">
            <v>Paipa</v>
          </cell>
          <cell r="D782" t="str">
            <v>PAIPA</v>
          </cell>
          <cell r="F782" t="str">
            <v>ctalentoscolombia@gmail.com</v>
          </cell>
        </row>
        <row r="783">
          <cell r="A783">
            <v>900474727</v>
          </cell>
          <cell r="B783" t="str">
            <v>MINISTERIO DE SALUD Y PROTECCION SO</v>
          </cell>
          <cell r="C783" t="str">
            <v>Paipa</v>
          </cell>
          <cell r="D783" t="str">
            <v>PAIPA</v>
          </cell>
          <cell r="F783" t="str">
            <v>cascencio@minsalud.gov.co</v>
          </cell>
        </row>
        <row r="784">
          <cell r="A784">
            <v>23983978</v>
          </cell>
          <cell r="B784" t="str">
            <v>RAMIREZ AGUIRRE MARTHA YANETH</v>
          </cell>
          <cell r="C784" t="str">
            <v>Paipa</v>
          </cell>
          <cell r="D784" t="str">
            <v>PAIPA</v>
          </cell>
          <cell r="F784" t="str">
            <v>agrayama@hotmail.com</v>
          </cell>
        </row>
        <row r="785">
          <cell r="A785">
            <v>900453454</v>
          </cell>
          <cell r="B785" t="str">
            <v>GMC REFRIGERACIÓN SAS</v>
          </cell>
          <cell r="C785" t="str">
            <v>Paipa</v>
          </cell>
          <cell r="D785" t="str">
            <v>PAIPA</v>
          </cell>
          <cell r="F785" t="str">
            <v>javiererneysanchezrodriguez@gmail.com</v>
          </cell>
        </row>
        <row r="786">
          <cell r="A786">
            <v>901049763</v>
          </cell>
          <cell r="B786" t="str">
            <v>PAIPA EN BICI Y ECOTURISMO SAS</v>
          </cell>
          <cell r="C786" t="str">
            <v>Paipa</v>
          </cell>
          <cell r="D786" t="str">
            <v>paipa</v>
          </cell>
          <cell r="F786" t="str">
            <v>paipaecoturismosas@gmail.com</v>
          </cell>
        </row>
        <row r="787">
          <cell r="A787">
            <v>900958819</v>
          </cell>
          <cell r="B787" t="str">
            <v>ILUMINACION.CO SAS</v>
          </cell>
          <cell r="C787" t="str">
            <v>Paipa</v>
          </cell>
          <cell r="D787" t="str">
            <v>paipa</v>
          </cell>
          <cell r="F787" t="str">
            <v>john@iluminacion.co</v>
          </cell>
        </row>
        <row r="788">
          <cell r="A788">
            <v>74020443</v>
          </cell>
          <cell r="B788" t="str">
            <v>VARGAS ANTONIO MANUEL</v>
          </cell>
          <cell r="C788" t="str">
            <v>Paipa</v>
          </cell>
          <cell r="D788" t="str">
            <v>PAIPA</v>
          </cell>
          <cell r="F788" t="str">
            <v>in-gelecvargas@hotmail.com</v>
          </cell>
        </row>
        <row r="789">
          <cell r="A789">
            <v>901514279</v>
          </cell>
          <cell r="B789" t="str">
            <v>SOLUTIONS FORTALEZA GROUP SAS</v>
          </cell>
          <cell r="C789" t="str">
            <v>Paipa</v>
          </cell>
          <cell r="D789" t="str">
            <v>paipa</v>
          </cell>
          <cell r="F789" t="str">
            <v>lafortalezalt@gmail.com</v>
          </cell>
        </row>
        <row r="790">
          <cell r="A790">
            <v>901473498</v>
          </cell>
          <cell r="B790" t="str">
            <v>ZELDA INGENIERIA SAS</v>
          </cell>
          <cell r="C790" t="str">
            <v>Paipa</v>
          </cell>
          <cell r="D790" t="str">
            <v>PAIPA</v>
          </cell>
          <cell r="F790" t="str">
            <v>jaime.vasquez@zelda.com.co</v>
          </cell>
        </row>
        <row r="791">
          <cell r="A791">
            <v>74323681</v>
          </cell>
          <cell r="B791" t="str">
            <v>LACHE TUTA RAFAEL ANTONIO</v>
          </cell>
          <cell r="C791" t="str">
            <v>Paipa</v>
          </cell>
          <cell r="D791" t="str">
            <v>PAIPA</v>
          </cell>
          <cell r="F791" t="str">
            <v>rafa.0876@hotmail.com</v>
          </cell>
        </row>
        <row r="792">
          <cell r="A792">
            <v>74323684</v>
          </cell>
          <cell r="B792" t="str">
            <v>CORREDOR MARTINEZ FERNANDO</v>
          </cell>
          <cell r="C792" t="str">
            <v>Paipa</v>
          </cell>
          <cell r="D792" t="str">
            <v>PAIPA</v>
          </cell>
          <cell r="F792" t="str">
            <v>comarfe10.contable@hotmail.com</v>
          </cell>
        </row>
        <row r="793">
          <cell r="A793">
            <v>4191737</v>
          </cell>
          <cell r="B793" t="str">
            <v>ORTIZ RUIZ LUIS ERNESTO</v>
          </cell>
          <cell r="C793" t="str">
            <v>Paipa</v>
          </cell>
          <cell r="D793" t="str">
            <v>PAIPA</v>
          </cell>
          <cell r="F793" t="str">
            <v>leortizrestaurar@yahoo.com</v>
          </cell>
        </row>
        <row r="794">
          <cell r="A794">
            <v>901220812</v>
          </cell>
          <cell r="B794" t="str">
            <v>DISTRICONGELADOS HM SAS</v>
          </cell>
          <cell r="C794" t="str">
            <v>Paipa</v>
          </cell>
          <cell r="D794" t="str">
            <v>PAIPA</v>
          </cell>
          <cell r="F794" t="str">
            <v>contabilidad.districongeladoshm@gmail.com</v>
          </cell>
        </row>
        <row r="795">
          <cell r="A795">
            <v>900256838</v>
          </cell>
          <cell r="B795" t="str">
            <v>CEDRO SAS</v>
          </cell>
          <cell r="C795" t="str">
            <v>Paipa</v>
          </cell>
          <cell r="D795" t="str">
            <v>PAIPA</v>
          </cell>
          <cell r="F795" t="str">
            <v>dianaccedro@gmail.com</v>
          </cell>
        </row>
        <row r="796">
          <cell r="A796">
            <v>901073049</v>
          </cell>
          <cell r="B796" t="str">
            <v>SOLLIVAN SMART SOLUTIONS SAS</v>
          </cell>
          <cell r="C796" t="str">
            <v>Paipa</v>
          </cell>
          <cell r="D796" t="str">
            <v>CARRERA 25 22C 34</v>
          </cell>
          <cell r="F796" t="str">
            <v>901073049@factureinbox.co</v>
          </cell>
        </row>
        <row r="797">
          <cell r="A797">
            <v>74423558</v>
          </cell>
          <cell r="B797" t="str">
            <v>BLANCO DUARTE RAFAEL EDUARDO</v>
          </cell>
          <cell r="C797" t="str">
            <v>Paipa</v>
          </cell>
          <cell r="D797" t="str">
            <v>| MANZANA J CASA 10 LA ESTACION DE AL</v>
          </cell>
          <cell r="F797" t="str">
            <v>mateorafa10@gmail.com</v>
          </cell>
        </row>
        <row r="798">
          <cell r="A798">
            <v>79752393</v>
          </cell>
          <cell r="B798" t="str">
            <v>GUZMAN GALVIS PABLO ALEJANDRO</v>
          </cell>
          <cell r="C798" t="str">
            <v>Paipa</v>
          </cell>
          <cell r="D798" t="str">
            <v>CARRERA 18 #15-56 CENTRO</v>
          </cell>
          <cell r="F798" t="str">
            <v>mojic777@hotmail.com</v>
          </cell>
        </row>
        <row r="799">
          <cell r="A799">
            <v>826001403</v>
          </cell>
          <cell r="B799" t="str">
            <v>JOSEMAR SAS</v>
          </cell>
          <cell r="C799" t="str">
            <v>Paipa</v>
          </cell>
          <cell r="D799" t="str">
            <v xml:space="preserve"> Calle 19 7 86</v>
          </cell>
          <cell r="F799" t="str">
            <v>josemarltda@yahoo.com</v>
          </cell>
        </row>
        <row r="800">
          <cell r="A800">
            <v>830129058</v>
          </cell>
          <cell r="B800" t="str">
            <v>COMPAÑIA DE INGENIERIA ELECTRICA, M</v>
          </cell>
          <cell r="C800" t="str">
            <v>Paipa</v>
          </cell>
          <cell r="D800" t="str">
            <v>CL 74 15 80 INT 2 OF 502</v>
          </cell>
          <cell r="F800" t="str">
            <v>facturacion@cinemco.com</v>
          </cell>
        </row>
        <row r="801">
          <cell r="A801">
            <v>74326835</v>
          </cell>
          <cell r="B801" t="str">
            <v>FUENTES CASTRO PABLO ANTONIO</v>
          </cell>
          <cell r="C801" t="str">
            <v>Paipa</v>
          </cell>
          <cell r="D801" t="str">
            <v>PAIPA</v>
          </cell>
          <cell r="F801" t="str">
            <v>paublo.fuentes74326@gmail.com</v>
          </cell>
        </row>
        <row r="802">
          <cell r="A802">
            <v>901779822</v>
          </cell>
          <cell r="B802" t="str">
            <v>CONSTRUCCIÓN Y SEÑALIZACIONES VITAL</v>
          </cell>
          <cell r="C802" t="str">
            <v>Paipa</v>
          </cell>
          <cell r="D802" t="str">
            <v>PAIPA</v>
          </cell>
          <cell r="F802" t="str">
            <v>sencovial.sas@gmail.com</v>
          </cell>
        </row>
        <row r="803">
          <cell r="A803">
            <v>74374302</v>
          </cell>
          <cell r="B803" t="str">
            <v>CARDENAS LEON AGUSTO</v>
          </cell>
          <cell r="C803" t="str">
            <v>Paipa</v>
          </cell>
          <cell r="D803" t="str">
            <v>calle 29a No 16 -29</v>
          </cell>
          <cell r="F803" t="str">
            <v>augusgetmoving@gmail.com</v>
          </cell>
        </row>
        <row r="804">
          <cell r="A804">
            <v>1053608365</v>
          </cell>
          <cell r="B804" t="str">
            <v>SAAVEDRA MARTINEZ FABIAN DAVID</v>
          </cell>
          <cell r="C804" t="str">
            <v>Paipa</v>
          </cell>
          <cell r="D804" t="str">
            <v>MK 4 VIA PANTANO DE VARGAS</v>
          </cell>
          <cell r="F804" t="str">
            <v>bistrorokas@gmail.com</v>
          </cell>
        </row>
        <row r="805">
          <cell r="A805">
            <v>9397005</v>
          </cell>
          <cell r="B805" t="str">
            <v>MARIÑO CORREA JORGE RODOLFO</v>
          </cell>
          <cell r="C805" t="str">
            <v>Paipa</v>
          </cell>
          <cell r="D805" t="str">
            <v>PAIPA</v>
          </cell>
          <cell r="F805" t="str">
            <v>transportes499@gmail.com</v>
          </cell>
        </row>
        <row r="806">
          <cell r="A806">
            <v>830099869</v>
          </cell>
          <cell r="B806" t="str">
            <v>ALCA SISTEMAS S.A.S.</v>
          </cell>
          <cell r="C806" t="str">
            <v>Paipa</v>
          </cell>
          <cell r="D806" t="str">
            <v>PAIPA</v>
          </cell>
          <cell r="F806" t="str">
            <v>sanchez_alfonso@ciudadconexiondigital.com</v>
          </cell>
        </row>
        <row r="807">
          <cell r="A807">
            <v>91133804</v>
          </cell>
          <cell r="B807" t="str">
            <v>HERNANDEZ OSORIO SEGUNDO LAURENTINO</v>
          </cell>
          <cell r="C807" t="str">
            <v>Paipa</v>
          </cell>
          <cell r="D807" t="str">
            <v>PAIPA</v>
          </cell>
          <cell r="F807" t="str">
            <v>slaurentino25@hotmail.com</v>
          </cell>
        </row>
        <row r="808">
          <cell r="A808">
            <v>900625898</v>
          </cell>
          <cell r="B808" t="str">
            <v>ESTACIONES INNOVADORAS S.A.S</v>
          </cell>
          <cell r="C808" t="str">
            <v>Duitama</v>
          </cell>
          <cell r="D808" t="str">
            <v>CR 35A 15 B 35 OF 9708</v>
          </cell>
          <cell r="F808" t="str">
            <v>soportefaffcturaciondian@estinsa.com</v>
          </cell>
        </row>
        <row r="809">
          <cell r="A809">
            <v>830093232</v>
          </cell>
          <cell r="B809" t="str">
            <v>COLOMBIA TRAVEL TOURS LTDA</v>
          </cell>
          <cell r="C809" t="str">
            <v>Paipa</v>
          </cell>
          <cell r="D809" t="str">
            <v>PAIPA</v>
          </cell>
          <cell r="F809" t="str">
            <v>gerencia@flotalamacarena.com</v>
          </cell>
        </row>
        <row r="810">
          <cell r="A810">
            <v>901014886</v>
          </cell>
          <cell r="B810" t="str">
            <v>GURUSOFT SAS</v>
          </cell>
          <cell r="C810" t="str">
            <v>Bogota D.C.</v>
          </cell>
          <cell r="D810" t="str">
            <v>CLL 116 23 06 OF 303</v>
          </cell>
          <cell r="F810" t="str">
            <v>pagos.co@guru-soft.com</v>
          </cell>
        </row>
        <row r="811">
          <cell r="A811">
            <v>46682117</v>
          </cell>
          <cell r="B811" t="str">
            <v>ROJAS FONSECA ALEXANDRA</v>
          </cell>
          <cell r="C811" t="str">
            <v>Paipa</v>
          </cell>
          <cell r="D811" t="str">
            <v>PAIPA</v>
          </cell>
          <cell r="F811" t="str">
            <v>lacteosdomi@gmail.com</v>
          </cell>
        </row>
        <row r="812">
          <cell r="A812">
            <v>80060108</v>
          </cell>
          <cell r="B812" t="str">
            <v>ROJAS PATIÑO JOHAN ANDRES</v>
          </cell>
          <cell r="C812" t="str">
            <v>Paipa</v>
          </cell>
          <cell r="D812" t="str">
            <v>paipa</v>
          </cell>
          <cell r="F812" t="str">
            <v>johanramirezconsultores@gmail.com</v>
          </cell>
        </row>
        <row r="813">
          <cell r="A813">
            <v>1075671361</v>
          </cell>
          <cell r="B813" t="str">
            <v>SALAZAR  MENDIVELSO JONATAN DAVID</v>
          </cell>
          <cell r="C813" t="str">
            <v>Paipa</v>
          </cell>
          <cell r="D813" t="str">
            <v>paipa</v>
          </cell>
          <cell r="F813" t="str">
            <v>salazar.jondavid18@gmail.com</v>
          </cell>
        </row>
        <row r="814">
          <cell r="A814">
            <v>46680667</v>
          </cell>
          <cell r="B814" t="str">
            <v>GAITÁN CASTRO MERY  ESPERANZA</v>
          </cell>
          <cell r="C814" t="str">
            <v>Paipa</v>
          </cell>
          <cell r="D814" t="str">
            <v>PAIPA</v>
          </cell>
          <cell r="F814" t="str">
            <v>esperanzafisio@hotmail.com</v>
          </cell>
        </row>
        <row r="815">
          <cell r="A815">
            <v>900483339</v>
          </cell>
          <cell r="B815" t="str">
            <v>PROCESOS Y SERVICIOS INTEGRALES SAS</v>
          </cell>
          <cell r="C815" t="str">
            <v>Paipa</v>
          </cell>
          <cell r="D815" t="str">
            <v>PAIPA</v>
          </cell>
          <cell r="F815" t="str">
            <v>procervisas2011@gmail.com</v>
          </cell>
        </row>
        <row r="816">
          <cell r="A816">
            <v>4263977</v>
          </cell>
          <cell r="B816" t="str">
            <v>VACCA GAMEZ GILDARDO  IVAN</v>
          </cell>
          <cell r="C816" t="str">
            <v>Paipa</v>
          </cell>
          <cell r="D816" t="str">
            <v>PAIPA</v>
          </cell>
          <cell r="F816" t="str">
            <v>givprotecsa70@gmail.com</v>
          </cell>
        </row>
        <row r="817">
          <cell r="A817">
            <v>74358835</v>
          </cell>
          <cell r="B817" t="str">
            <v>MORA  MATEUS MILTON MAURICIO</v>
          </cell>
          <cell r="C817" t="str">
            <v>Paipa</v>
          </cell>
          <cell r="D817" t="str">
            <v>paipa</v>
          </cell>
          <cell r="F817" t="str">
            <v>m_m_mora@yahoo.com</v>
          </cell>
        </row>
        <row r="818">
          <cell r="A818">
            <v>1052393431</v>
          </cell>
          <cell r="B818" t="str">
            <v>SILVA TIBADUIZA EDWIN JAVIER</v>
          </cell>
          <cell r="C818" t="str">
            <v>Paipa</v>
          </cell>
          <cell r="D818" t="str">
            <v>paipa</v>
          </cell>
          <cell r="F818" t="str">
            <v>financiera@ladrilleramaguncia.com</v>
          </cell>
        </row>
        <row r="819">
          <cell r="A819">
            <v>900996902</v>
          </cell>
          <cell r="B819" t="str">
            <v>BLUE EVENTOS M &amp; B SAS</v>
          </cell>
          <cell r="C819" t="str">
            <v>Paipa</v>
          </cell>
          <cell r="D819" t="str">
            <v>paipa</v>
          </cell>
          <cell r="F819" t="str">
            <v>blueventosmb@gmail.com</v>
          </cell>
        </row>
        <row r="820">
          <cell r="A820">
            <v>35253491</v>
          </cell>
          <cell r="B820" t="str">
            <v>PARDO  BERNAL GIOVANNA  CONSUELO</v>
          </cell>
          <cell r="C820" t="str">
            <v>Paipa</v>
          </cell>
          <cell r="D820" t="str">
            <v>paipa</v>
          </cell>
          <cell r="F820" t="str">
            <v>giovannapardo@gmail.com</v>
          </cell>
        </row>
        <row r="821">
          <cell r="A821">
            <v>1053610567</v>
          </cell>
          <cell r="B821" t="str">
            <v>RAMIREZ GUILLERMO</v>
          </cell>
          <cell r="C821" t="str">
            <v>Paipa</v>
          </cell>
          <cell r="D821" t="str">
            <v>paipa</v>
          </cell>
          <cell r="F821" t="str">
            <v>gramirez567@uan.edu.co</v>
          </cell>
        </row>
        <row r="822">
          <cell r="A822">
            <v>900724972</v>
          </cell>
          <cell r="B822" t="str">
            <v>ONTEAL SOLUCIONES S A S</v>
          </cell>
          <cell r="C822" t="str">
            <v>Paipa</v>
          </cell>
          <cell r="D822" t="str">
            <v>paipa</v>
          </cell>
          <cell r="F822" t="str">
            <v>yurani.duque@onteal.com.co</v>
          </cell>
        </row>
        <row r="823">
          <cell r="A823">
            <v>830051887</v>
          </cell>
          <cell r="B823" t="str">
            <v>Microsoft Colombia S.a.s.</v>
          </cell>
          <cell r="C823" t="str">
            <v>Bogota D.C.</v>
          </cell>
          <cell r="D823" t="str">
            <v>CL 92 # 11 - 51 PI 10</v>
          </cell>
          <cell r="F823" t="str">
            <v>turistica@outlook.com</v>
          </cell>
        </row>
        <row r="824">
          <cell r="A824">
            <v>9513926</v>
          </cell>
          <cell r="B824" t="str">
            <v>MATEUS INDALECIO</v>
          </cell>
          <cell r="C824" t="str">
            <v>Paipa</v>
          </cell>
          <cell r="D824" t="str">
            <v>paipa</v>
          </cell>
          <cell r="F824" t="str">
            <v>pagi1305@hotmail.com</v>
          </cell>
        </row>
        <row r="825">
          <cell r="A825">
            <v>1053609480</v>
          </cell>
          <cell r="B825" t="str">
            <v>GARCIA JHON</v>
          </cell>
          <cell r="C825" t="str">
            <v>Paipa</v>
          </cell>
          <cell r="D825" t="str">
            <v>PAIPA</v>
          </cell>
          <cell r="F825" t="str">
            <v>johngarcia480@hotmail.com</v>
          </cell>
        </row>
        <row r="826">
          <cell r="A826">
            <v>901464404</v>
          </cell>
          <cell r="B826" t="str">
            <v>MYM RECICLAR |</v>
          </cell>
          <cell r="C826" t="str">
            <v>Paipa</v>
          </cell>
          <cell r="D826" t="str">
            <v>PAIP</v>
          </cell>
          <cell r="F826" t="str">
            <v>mymreciclar2020@gmail.com</v>
          </cell>
        </row>
        <row r="827">
          <cell r="A827">
            <v>72326340</v>
          </cell>
          <cell r="B827" t="str">
            <v>GUERRERO ESCOBAR JAIME</v>
          </cell>
          <cell r="C827" t="str">
            <v>Paipa</v>
          </cell>
          <cell r="D827" t="str">
            <v>PAIPA</v>
          </cell>
          <cell r="F827" t="str">
            <v>jaimeescobaravila2023@gmail.com</v>
          </cell>
        </row>
        <row r="828">
          <cell r="A828">
            <v>40445307</v>
          </cell>
          <cell r="B828" t="str">
            <v>MEJIA MELO SONIA MARGARITA</v>
          </cell>
          <cell r="C828" t="str">
            <v>Paipa</v>
          </cell>
          <cell r="D828" t="str">
            <v>PAIPA</v>
          </cell>
          <cell r="F828" t="str">
            <v>margaritamejiam@gmail.com</v>
          </cell>
        </row>
        <row r="829">
          <cell r="A829">
            <v>79247654</v>
          </cell>
          <cell r="B829" t="str">
            <v>FONSECA JAVIER ROJAS</v>
          </cell>
          <cell r="C829" t="str">
            <v>Paipa</v>
          </cell>
          <cell r="D829" t="str">
            <v>PAIPA</v>
          </cell>
          <cell r="F829" t="str">
            <v>gloriafonsecayiyis25@gmail.com</v>
          </cell>
        </row>
        <row r="830">
          <cell r="A830">
            <v>74358930</v>
          </cell>
          <cell r="B830" t="str">
            <v>MOLANO FONSECA GABRIEL</v>
          </cell>
          <cell r="C830" t="str">
            <v>Paipa</v>
          </cell>
          <cell r="D830" t="str">
            <v>PAIPA</v>
          </cell>
          <cell r="F830" t="str">
            <v>gabrielmolanof72@gmail.com</v>
          </cell>
        </row>
        <row r="831">
          <cell r="A831">
            <v>826001046</v>
          </cell>
          <cell r="B831" t="str">
            <v>MULTIPROYECTOS</v>
          </cell>
          <cell r="C831" t="str">
            <v>Paipa</v>
          </cell>
          <cell r="D831" t="str">
            <v>paipa</v>
          </cell>
          <cell r="F831" t="str">
            <v>multiproyectosdyc@yahoo.co.mx</v>
          </cell>
        </row>
        <row r="832">
          <cell r="A832">
            <v>901039537</v>
          </cell>
          <cell r="B832" t="str">
            <v>EQUIPO CONTINENTAL DE CICLISMO S.A.</v>
          </cell>
          <cell r="C832" t="str">
            <v>Paipa</v>
          </cell>
          <cell r="D832" t="str">
            <v>paipa</v>
          </cell>
          <cell r="F832" t="str">
            <v>braulmesa3@une.net.co</v>
          </cell>
        </row>
        <row r="833">
          <cell r="A833">
            <v>830090728</v>
          </cell>
          <cell r="B833" t="str">
            <v>COMITÉ PARALÍMPICO COLOMBIANO</v>
          </cell>
          <cell r="C833" t="str">
            <v>Paipa</v>
          </cell>
          <cell r="D833" t="str">
            <v>paipa</v>
          </cell>
          <cell r="F833" t="str">
            <v>facturacion@cpc.org.co</v>
          </cell>
        </row>
        <row r="834">
          <cell r="A834">
            <v>901469513</v>
          </cell>
          <cell r="B834" t="str">
            <v>INVERSIONES TORO AZUL</v>
          </cell>
          <cell r="C834" t="str">
            <v>Paipa</v>
          </cell>
          <cell r="D834" t="str">
            <v>paipa</v>
          </cell>
          <cell r="F834" t="str">
            <v>restaurantetoroazul@gmail.com</v>
          </cell>
        </row>
        <row r="835">
          <cell r="A835">
            <v>899999004</v>
          </cell>
          <cell r="B835" t="str">
            <v>INSTITUTO GEOGRAFICO AGUSTIN CODAZZI</v>
          </cell>
          <cell r="C835" t="str">
            <v>Tunja</v>
          </cell>
          <cell r="D835" t="str">
            <v>TUNJA</v>
          </cell>
          <cell r="F835" t="str">
            <v>turistica@outlook.com</v>
          </cell>
        </row>
        <row r="836">
          <cell r="A836">
            <v>900436116</v>
          </cell>
          <cell r="B836" t="str">
            <v>TECNOLOGIA EN CONTROL DE VECTORES Y FUMIGACIONES LIMITADA</v>
          </cell>
          <cell r="C836" t="str">
            <v>Paipa</v>
          </cell>
          <cell r="D836" t="str">
            <v>CL 27 19A 70</v>
          </cell>
          <cell r="F836" t="str">
            <v>tcvfumigaciones@gmail.com</v>
          </cell>
        </row>
        <row r="837">
          <cell r="A837">
            <v>800217975</v>
          </cell>
          <cell r="B837" t="str">
            <v>SERVICIOS GEOLOGICOS INTEGRADOS SAS SGISS</v>
          </cell>
          <cell r="C837" t="str">
            <v>Bogota D.C.</v>
          </cell>
          <cell r="D837" t="str">
            <v>CARRERA 28 83-34</v>
          </cell>
          <cell r="F837" t="str">
            <v>office@gmail.com</v>
          </cell>
        </row>
        <row r="838">
          <cell r="A838">
            <v>830032102</v>
          </cell>
          <cell r="B838" t="str">
            <v>ECOFLORA</v>
          </cell>
          <cell r="C838" t="str">
            <v>Bogota D.C.</v>
          </cell>
          <cell r="D838" t="str">
            <v>CARREA 3 N 120-24</v>
          </cell>
          <cell r="F838" t="str">
            <v>contabilidad@ecoflora.com.co</v>
          </cell>
        </row>
        <row r="839">
          <cell r="A839">
            <v>1056573013</v>
          </cell>
          <cell r="B839" t="str">
            <v>CANO PULIDO LIDA YOHANA</v>
          </cell>
          <cell r="C839" t="str">
            <v>Sotaquirá</v>
          </cell>
          <cell r="D839" t="str">
            <v>VEREDA BOSIGAS NORTE</v>
          </cell>
          <cell r="F839" t="str">
            <v>joli911027@hotmail.com</v>
          </cell>
        </row>
        <row r="840">
          <cell r="A840">
            <v>6763803</v>
          </cell>
          <cell r="B840" t="str">
            <v>CANO ACUÑA JOSE LEOVIGILDO</v>
          </cell>
          <cell r="C840" t="str">
            <v>Sotaquirá</v>
          </cell>
          <cell r="D840" t="str">
            <v>VRDA BOSIGAS NORTE SOTAQUIRA</v>
          </cell>
          <cell r="F840" t="str">
            <v>canojohana743@gmail.com</v>
          </cell>
        </row>
        <row r="841">
          <cell r="A841">
            <v>891801193</v>
          </cell>
          <cell r="B841" t="str">
            <v>INVERSIONES LADRILLOS MAGUNCIA SAS</v>
          </cell>
          <cell r="C841" t="str">
            <v>Sotaquirá</v>
          </cell>
          <cell r="D841" t="str">
            <v>KILOMETRO 27 VIA TUNJA</v>
          </cell>
          <cell r="F841" t="str">
            <v>financiera@ladrilleramaguncia.com</v>
          </cell>
        </row>
        <row r="842">
          <cell r="A842">
            <v>890900291</v>
          </cell>
          <cell r="B842" t="str">
            <v>SOLLA SA</v>
          </cell>
          <cell r="C842" t="str">
            <v>Itagui</v>
          </cell>
          <cell r="D842" t="str">
            <v>CARRERA 42-33-80</v>
          </cell>
          <cell r="F842" t="str">
            <v>odsantos@solla.com</v>
          </cell>
        </row>
        <row r="843">
          <cell r="A843">
            <v>830052998</v>
          </cell>
          <cell r="B843" t="str">
            <v>BTS CONSESIONARIO SAS</v>
          </cell>
          <cell r="C843" t="str">
            <v>Tuta</v>
          </cell>
          <cell r="D843" t="str">
            <v>TUTA</v>
          </cell>
          <cell r="F843" t="str">
            <v>fidfondoempresarial.co@bbva.com</v>
          </cell>
        </row>
        <row r="844">
          <cell r="A844">
            <v>800226887</v>
          </cell>
          <cell r="B844" t="str">
            <v>GRUPO MERPES SAS</v>
          </cell>
          <cell r="C844" t="str">
            <v>Cota</v>
          </cell>
          <cell r="D844" t="str">
            <v>AUT MED KM 2.5 CLIC 80 BG 23 COMPLEJO LOG IND CIAL CL 80</v>
          </cell>
          <cell r="F844" t="str">
            <v>turistica@outlook.com</v>
          </cell>
        </row>
        <row r="845">
          <cell r="A845">
            <v>811025696</v>
          </cell>
          <cell r="B845" t="str">
            <v>AUTOFAX  SA</v>
          </cell>
          <cell r="C845" t="str">
            <v>Duitama</v>
          </cell>
          <cell r="D845" t="str">
            <v>CARRERA 48 N 16 NSUR 115</v>
          </cell>
          <cell r="F845" t="str">
            <v>duitama@autofax.com.co</v>
          </cell>
        </row>
        <row r="846">
          <cell r="A846">
            <v>123456879</v>
          </cell>
          <cell r="B846" t="e">
            <v>#N/A</v>
          </cell>
          <cell r="C846" t="str">
            <v>Sotaquirá</v>
          </cell>
          <cell r="D846" t="str">
            <v>VIA SOTAQUIRA</v>
          </cell>
          <cell r="F846" t="str">
            <v>turistica@gmail.com</v>
          </cell>
        </row>
        <row r="847">
          <cell r="A847">
            <v>901361742</v>
          </cell>
          <cell r="B847" t="str">
            <v>HACIENDA LA SERENA SAS</v>
          </cell>
          <cell r="C847" t="str">
            <v>Bogota D.C.</v>
          </cell>
          <cell r="D847" t="str">
            <v>CARRERA 61 N 5B35</v>
          </cell>
          <cell r="F847" t="str">
            <v>crisglayton@hotmail.com</v>
          </cell>
        </row>
        <row r="848">
          <cell r="A848">
            <v>1053614758</v>
          </cell>
          <cell r="B848" t="str">
            <v>ALVAREZ PULIDO MIGUEL SANTIAGO</v>
          </cell>
          <cell r="C848" t="str">
            <v>Paipa</v>
          </cell>
          <cell r="D848" t="str">
            <v>CARRERA 22 N 15-13</v>
          </cell>
          <cell r="F848" t="str">
            <v>msantiago.alvarez2@gmail.com</v>
          </cell>
        </row>
        <row r="849">
          <cell r="A849">
            <v>900350591</v>
          </cell>
          <cell r="B849" t="str">
            <v>RUSTICO CONSTRUCCIONES SAS</v>
          </cell>
          <cell r="C849" t="str">
            <v>Bogota D.C.</v>
          </cell>
          <cell r="D849" t="str">
            <v>CALLE 25 CARRERA 13A24</v>
          </cell>
          <cell r="F849" t="str">
            <v>administrativa@rustico.com.co</v>
          </cell>
        </row>
        <row r="850">
          <cell r="A850">
            <v>900670330</v>
          </cell>
          <cell r="B850" t="str">
            <v>SOLZA EQUIPOS Y MINERALES SAS</v>
          </cell>
          <cell r="C850" t="str">
            <v>Paipa</v>
          </cell>
          <cell r="D850" t="str">
            <v>CALLE 24 N 25-52</v>
          </cell>
          <cell r="F850" t="str">
            <v>facturas.proyectos74@yahoo.com</v>
          </cell>
        </row>
        <row r="851">
          <cell r="A851">
            <v>901314828</v>
          </cell>
          <cell r="B851" t="str">
            <v>CONSORCIO SAN MIGUEL</v>
          </cell>
          <cell r="C851" t="str">
            <v>Cajicá</v>
          </cell>
          <cell r="D851" t="str">
            <v>CARRERA 5 N 9 26 SUR</v>
          </cell>
          <cell r="F851" t="str">
            <v>directoradmon.ingasyc@gmail.com</v>
          </cell>
        </row>
        <row r="852">
          <cell r="A852">
            <v>900879987</v>
          </cell>
          <cell r="B852" t="str">
            <v>COMUNICACIONES DOFER SAS</v>
          </cell>
          <cell r="C852" t="str">
            <v>Paipa</v>
          </cell>
          <cell r="D852" t="str">
            <v>CARRERA 23 N 24 20</v>
          </cell>
          <cell r="F852" t="str">
            <v>gerenciageneral@comunicacionesdofer.com</v>
          </cell>
        </row>
        <row r="853">
          <cell r="A853">
            <v>900456485</v>
          </cell>
          <cell r="B853" t="str">
            <v>JIREHSHAMMAH SAS</v>
          </cell>
          <cell r="C853" t="str">
            <v>Soacha</v>
          </cell>
          <cell r="D853" t="str">
            <v>CARRERA 2 N 56-66</v>
          </cell>
          <cell r="F853" t="str">
            <v>garzonb396@hotmail.com</v>
          </cell>
        </row>
        <row r="854">
          <cell r="A854">
            <v>63328439</v>
          </cell>
          <cell r="B854" t="str">
            <v>MANTILLA REY LIDIA MARGARET</v>
          </cell>
          <cell r="C854" t="str">
            <v>Bucaramanga</v>
          </cell>
          <cell r="D854" t="str">
            <v>VIA PALENQUE CAFFE MADRID</v>
          </cell>
          <cell r="F854" t="str">
            <v>margaret7.1@hotmail.com</v>
          </cell>
        </row>
        <row r="855">
          <cell r="A855">
            <v>900565825</v>
          </cell>
          <cell r="B855" t="str">
            <v>BIOONE DE COLOMBIA SAS</v>
          </cell>
          <cell r="C855" t="str">
            <v>Bogota D.C.</v>
          </cell>
          <cell r="D855" t="str">
            <v>AV CALLE 116 N 18-45</v>
          </cell>
          <cell r="F855" t="str">
            <v>info@hotmail.com</v>
          </cell>
        </row>
        <row r="856">
          <cell r="A856">
            <v>23555250</v>
          </cell>
          <cell r="B856" t="str">
            <v>GOMEZ GARCIA ALICIA DEL CARMEN</v>
          </cell>
          <cell r="C856" t="str">
            <v>Duitama</v>
          </cell>
          <cell r="D856" t="str">
            <v>CL 14 18 36</v>
          </cell>
          <cell r="F856" t="str">
            <v>surtirieles@hotmail.com</v>
          </cell>
        </row>
        <row r="857">
          <cell r="A857">
            <v>800185039</v>
          </cell>
          <cell r="B857" t="str">
            <v>HONOR SERVICIOS DE SEGURIDAD LIMITADA</v>
          </cell>
          <cell r="C857" t="str">
            <v>Bogota D.C.</v>
          </cell>
          <cell r="D857" t="str">
            <v>AV CALLE 80 N55A 13</v>
          </cell>
          <cell r="F857" t="str">
            <v>impuestos@honoriurel.com</v>
          </cell>
        </row>
        <row r="858">
          <cell r="A858">
            <v>4288388</v>
          </cell>
          <cell r="B858" t="str">
            <v>RINCON SALAMANCA ELKIN ALEJANDRO</v>
          </cell>
          <cell r="C858" t="str">
            <v>Tuta</v>
          </cell>
          <cell r="D858" t="str">
            <v>VILLA DE CASCIA MANZANA 1 CASA 27</v>
          </cell>
          <cell r="F858" t="str">
            <v>elkinrincon@hotmail.com</v>
          </cell>
        </row>
        <row r="859">
          <cell r="A859">
            <v>19206457</v>
          </cell>
          <cell r="B859" t="str">
            <v>POVEDA GARZON PLINIO</v>
          </cell>
          <cell r="C859" t="str">
            <v>Duitama</v>
          </cell>
          <cell r="D859" t="str">
            <v>CARRERA 19 N 19-42</v>
          </cell>
        </row>
        <row r="860">
          <cell r="A860">
            <v>4192785</v>
          </cell>
          <cell r="B860" t="str">
            <v>VARGAS PUERTO FAUSTO</v>
          </cell>
          <cell r="C860" t="str">
            <v>Paipa</v>
          </cell>
          <cell r="D860" t="str">
            <v>CALLE 27 N 17-21</v>
          </cell>
          <cell r="F860" t="str">
            <v>faustovargaspuerto@hotmail.com</v>
          </cell>
        </row>
        <row r="861">
          <cell r="A861">
            <v>74130658</v>
          </cell>
          <cell r="B861" t="str">
            <v>FONSECA GRANADOS WILSON</v>
          </cell>
          <cell r="C861" t="str">
            <v>Duitama</v>
          </cell>
          <cell r="D861" t="str">
            <v>KM 5 VIA DUITAMA PAIPA</v>
          </cell>
          <cell r="F861" t="str">
            <v>wilsonfonsecagranados05@gmail.com</v>
          </cell>
        </row>
        <row r="862">
          <cell r="A862">
            <v>901370862</v>
          </cell>
          <cell r="B862" t="str">
            <v>IMS INDUSTRIAS SAS MOBLIHOUSE</v>
          </cell>
          <cell r="C862" t="str">
            <v>Bogota D.C.</v>
          </cell>
          <cell r="D862" t="str">
            <v>CARRERA 27 N 11-73</v>
          </cell>
          <cell r="F862" t="str">
            <v>ventas1@hotmail.com</v>
          </cell>
        </row>
        <row r="863">
          <cell r="A863">
            <v>901444796</v>
          </cell>
          <cell r="B863" t="str">
            <v>INVERSIONES MM KAPITAL BOYACA SAS</v>
          </cell>
          <cell r="C863" t="str">
            <v>Paipa</v>
          </cell>
          <cell r="D863" t="str">
            <v>PAIPA</v>
          </cell>
          <cell r="F863" t="str">
            <v>receptoriakapitalduitama@gmail.com</v>
          </cell>
        </row>
        <row r="864">
          <cell r="A864">
            <v>900388277</v>
          </cell>
          <cell r="B864" t="str">
            <v>COMERCIALIZADORA MGS SION SAS</v>
          </cell>
          <cell r="C864" t="str">
            <v>Paipa</v>
          </cell>
          <cell r="D864" t="str">
            <v>PAIPA</v>
          </cell>
          <cell r="F864" t="str">
            <v>comercializadorasionsas21@gmail.com</v>
          </cell>
        </row>
        <row r="865">
          <cell r="A865">
            <v>1094272103</v>
          </cell>
          <cell r="B865" t="str">
            <v>CARVAJAL JULIO ANDRES</v>
          </cell>
          <cell r="C865" t="str">
            <v>Paipa</v>
          </cell>
          <cell r="D865" t="str">
            <v>PAIPA</v>
          </cell>
          <cell r="F865" t="str">
            <v>quesorico.nobsa@hotmail.com</v>
          </cell>
        </row>
        <row r="866">
          <cell r="A866">
            <v>1056930944</v>
          </cell>
          <cell r="B866" t="str">
            <v>MARTINEZ IZARIZA EDWIN DARIO</v>
          </cell>
          <cell r="C866" t="str">
            <v>Bogota D.C.</v>
          </cell>
          <cell r="D866" t="str">
            <v>bogota</v>
          </cell>
          <cell r="F866" t="str">
            <v>edwinizariza@outlook.com</v>
          </cell>
        </row>
        <row r="867">
          <cell r="A867">
            <v>1010179780</v>
          </cell>
          <cell r="B867" t="str">
            <v>CASTILLO GALINDO MAURICIO</v>
          </cell>
          <cell r="C867" t="str">
            <v>Medellín</v>
          </cell>
          <cell r="D867" t="str">
            <v>medellin</v>
          </cell>
          <cell r="F867" t="str">
            <v>castle.mauricio@gmail.com</v>
          </cell>
        </row>
        <row r="868">
          <cell r="A868">
            <v>46683359</v>
          </cell>
          <cell r="B868" t="str">
            <v>BOLIVAR ALBA SANDRA MILENA</v>
          </cell>
          <cell r="C868" t="str">
            <v>Paipa</v>
          </cell>
          <cell r="D868" t="str">
            <v>paipa</v>
          </cell>
          <cell r="F868" t="str">
            <v>sandrabolivar.clientes@gmail.com</v>
          </cell>
        </row>
        <row r="869">
          <cell r="A869">
            <v>11344990</v>
          </cell>
          <cell r="B869" t="str">
            <v>SILVA GOMEZ JORGE  ARMANDO</v>
          </cell>
          <cell r="C869" t="str">
            <v>Paipa</v>
          </cell>
          <cell r="D869" t="str">
            <v>paipa</v>
          </cell>
          <cell r="F869" t="str">
            <v>turistica@outlook.com</v>
          </cell>
        </row>
        <row r="870">
          <cell r="A870">
            <v>74323442</v>
          </cell>
          <cell r="B870" t="str">
            <v>VARGAS ALBA NELSON RAMIRO</v>
          </cell>
          <cell r="C870" t="str">
            <v>Paipa</v>
          </cell>
          <cell r="D870" t="str">
            <v>paip</v>
          </cell>
          <cell r="F870" t="str">
            <v>neravaal68@yahoo.com</v>
          </cell>
        </row>
        <row r="871">
          <cell r="A871">
            <v>900444953</v>
          </cell>
          <cell r="B871" t="str">
            <v>INGENIERÍA Y GESTIÓN DE CALIDAD Y M</v>
          </cell>
          <cell r="C871" t="str">
            <v>Paipa</v>
          </cell>
          <cell r="D871" t="str">
            <v>paipa</v>
          </cell>
          <cell r="F871" t="str">
            <v>contabilidad.ingeqma@gmail.com</v>
          </cell>
        </row>
        <row r="872">
          <cell r="A872">
            <v>900436515</v>
          </cell>
          <cell r="B872" t="str">
            <v>GESTION INTEGRAL DEL SUELO S L COLO</v>
          </cell>
          <cell r="C872" t="str">
            <v>Bogota D.C.</v>
          </cell>
          <cell r="D872" t="str">
            <v>CL 23 66 39 TO 3 OF 801</v>
          </cell>
          <cell r="F872" t="str">
            <v>aux.contable1@grupogiscolombia.com</v>
          </cell>
        </row>
        <row r="873">
          <cell r="A873">
            <v>1055332151</v>
          </cell>
          <cell r="B873" t="str">
            <v>ROJAS FIGUEREDO CAMILO ERNESTO</v>
          </cell>
          <cell r="C873" t="str">
            <v>Tuta</v>
          </cell>
          <cell r="D873" t="str">
            <v>CARRERA 7 N 7-68</v>
          </cell>
          <cell r="F873" t="str">
            <v>ing.camilorojasf@gmail.com</v>
          </cell>
        </row>
        <row r="874">
          <cell r="A874">
            <v>1053607013</v>
          </cell>
          <cell r="B874" t="str">
            <v>HURTADO SANCHEZ OLGA CAROLINA</v>
          </cell>
          <cell r="C874" t="str">
            <v>Duitama</v>
          </cell>
          <cell r="D874" t="str">
            <v>duitama</v>
          </cell>
          <cell r="F874" t="str">
            <v>olgacarolinahurtados@hotmail.com</v>
          </cell>
        </row>
        <row r="875">
          <cell r="A875">
            <v>801004383</v>
          </cell>
          <cell r="B875" t="str">
            <v>INGENIERIA SERVICIOS Y SOLUCIONES A</v>
          </cell>
          <cell r="C875" t="str">
            <v>Armenia</v>
          </cell>
          <cell r="D875" t="str">
            <v>bambusa</v>
          </cell>
          <cell r="F875" t="str">
            <v>facturacion@abbi.com.co</v>
          </cell>
        </row>
        <row r="876">
          <cell r="A876">
            <v>900404109</v>
          </cell>
          <cell r="B876" t="str">
            <v>WPP COLOMBIA S.A.S</v>
          </cell>
          <cell r="C876" t="str">
            <v>Paipa</v>
          </cell>
          <cell r="D876" t="str">
            <v>paipa</v>
          </cell>
          <cell r="F876" t="str">
            <v>paola.ceballos@wundermanthompson.com</v>
          </cell>
        </row>
        <row r="877">
          <cell r="A877">
            <v>901424598</v>
          </cell>
          <cell r="B877" t="str">
            <v>RC ASESORES EN SEGUROS PAIPA LTDA</v>
          </cell>
          <cell r="C877" t="str">
            <v>Paipa</v>
          </cell>
          <cell r="D877" t="str">
            <v>paipa</v>
          </cell>
          <cell r="F877" t="str">
            <v>rcasesorespaipa1@gmail.com</v>
          </cell>
        </row>
        <row r="878">
          <cell r="A878">
            <v>74322463</v>
          </cell>
          <cell r="B878" t="str">
            <v>BRAVO JIMENEZ ORLANDO HUMBERTO</v>
          </cell>
          <cell r="C878" t="str">
            <v>Paipa</v>
          </cell>
          <cell r="D878" t="str">
            <v>paipa</v>
          </cell>
          <cell r="F878" t="str">
            <v>orlandohbravo@gmail.com</v>
          </cell>
        </row>
        <row r="879">
          <cell r="A879">
            <v>830118667</v>
          </cell>
          <cell r="B879" t="str">
            <v>ATI ASISTENCIA TECNICA INDUSTRIAL SAS</v>
          </cell>
          <cell r="C879" t="str">
            <v>Duitama</v>
          </cell>
          <cell r="D879" t="str">
            <v>CALLE 16 N 14-41</v>
          </cell>
          <cell r="F879" t="str">
            <v>gerencia@ati.net.co</v>
          </cell>
        </row>
        <row r="880">
          <cell r="A880">
            <v>892300678</v>
          </cell>
          <cell r="B880" t="str">
            <v>ETICOS SERRANO GOMEZ LTDA</v>
          </cell>
          <cell r="C880" t="str">
            <v>Barranquilla</v>
          </cell>
          <cell r="D880" t="str">
            <v>VIA 40-71-124</v>
          </cell>
          <cell r="F880" t="str">
            <v>jvargas@eticos.com</v>
          </cell>
        </row>
        <row r="881">
          <cell r="A881">
            <v>900184686</v>
          </cell>
          <cell r="B881" t="str">
            <v>CENTRAL DE    ARRENDAMIENTOS INVESTIGACIONES Y COBRANZAS SAS</v>
          </cell>
          <cell r="C881" t="str">
            <v>Bogota D.C.</v>
          </cell>
          <cell r="D881" t="str">
            <v>AV CRA 15 N 119 52</v>
          </cell>
          <cell r="F881" t="str">
            <v>jgarzon@searrienda.com.co</v>
          </cell>
        </row>
        <row r="882">
          <cell r="A882">
            <v>900824281</v>
          </cell>
          <cell r="B882" t="str">
            <v>CHAM DISTRIBUCIONES SAS</v>
          </cell>
          <cell r="C882" t="str">
            <v>Tunja</v>
          </cell>
          <cell r="D882" t="str">
            <v>CARRERA 2 N 40-45</v>
          </cell>
          <cell r="F882" t="str">
            <v>chamdistribuciones@hotmail.com</v>
          </cell>
        </row>
        <row r="883">
          <cell r="A883">
            <v>4192366</v>
          </cell>
          <cell r="B883" t="str">
            <v>ALEXANDER RMIREZ</v>
          </cell>
          <cell r="C883" t="str">
            <v>Paipa</v>
          </cell>
          <cell r="D883" t="str">
            <v>VEREDA EL ROSAL</v>
          </cell>
        </row>
        <row r="884">
          <cell r="A884">
            <v>800067604</v>
          </cell>
          <cell r="B884" t="str">
            <v>FONDO SOLDICOM</v>
          </cell>
          <cell r="C884" t="str">
            <v>Bogota D.C.</v>
          </cell>
          <cell r="D884" t="str">
            <v>CARRERA 18 N 78-40</v>
          </cell>
          <cell r="F884" t="str">
            <v>proyecto.oavm@hotmail.org</v>
          </cell>
        </row>
        <row r="885">
          <cell r="A885">
            <v>800051970</v>
          </cell>
          <cell r="B885" t="str">
            <v>LASERNA Y CIA INSUMOS AGROPECUARIOS S.A.S</v>
          </cell>
          <cell r="C885" t="str">
            <v>Ibagué</v>
          </cell>
          <cell r="D885" t="str">
            <v>KM 6 VIA PICALEÑA CONT CONFECCIONES CAROLINA</v>
          </cell>
          <cell r="F885" t="str">
            <v>laserna.ibague@lasernaycia.co</v>
          </cell>
        </row>
        <row r="886">
          <cell r="A886">
            <v>10305927727</v>
          </cell>
          <cell r="B886" t="str">
            <v>LA REDOMA TRADICION Y SABOR</v>
          </cell>
          <cell r="C886" t="str">
            <v>Paipa</v>
          </cell>
          <cell r="D886" t="str">
            <v>CARRERA 19 N 93-19</v>
          </cell>
        </row>
        <row r="887">
          <cell r="A887">
            <v>800130931</v>
          </cell>
          <cell r="B887" t="str">
            <v>INSEMINAR DE COLOMBIA GS COMPAÑÍA LIMITADA</v>
          </cell>
          <cell r="C887" t="str">
            <v>Chía</v>
          </cell>
          <cell r="D887" t="str">
            <v>CC CENTRO CHIA LC 11411</v>
          </cell>
          <cell r="F887" t="str">
            <v>aux.conta.inseminar@gmail.com</v>
          </cell>
        </row>
        <row r="888">
          <cell r="A888">
            <v>4192129</v>
          </cell>
          <cell r="B888" t="str">
            <v>MONROY OCHOA JOHN KINLEY</v>
          </cell>
          <cell r="C888" t="str">
            <v>Paipa</v>
          </cell>
          <cell r="D888" t="str">
            <v>PAIPA</v>
          </cell>
          <cell r="F888" t="str">
            <v>john.kinley23@gmail.com</v>
          </cell>
        </row>
        <row r="889">
          <cell r="A889">
            <v>1053612985</v>
          </cell>
          <cell r="B889" t="str">
            <v>MOSQUERA  CIFUENTES LUIS MAURICIO</v>
          </cell>
          <cell r="C889" t="str">
            <v>Paipa</v>
          </cell>
          <cell r="D889" t="str">
            <v>PAIPA</v>
          </cell>
          <cell r="F889" t="str">
            <v>luis.mauricio.06@gmail.com</v>
          </cell>
        </row>
        <row r="890">
          <cell r="A890">
            <v>1052380786</v>
          </cell>
          <cell r="B890" t="str">
            <v>BENAVIDES RUIZ DARWIN ALEXANDER</v>
          </cell>
          <cell r="C890" t="str">
            <v>Paipa</v>
          </cell>
          <cell r="D890" t="str">
            <v>PAIPA</v>
          </cell>
          <cell r="F890" t="str">
            <v>alexanderbenavides11@gmail.com</v>
          </cell>
        </row>
        <row r="891">
          <cell r="A891">
            <v>80026166</v>
          </cell>
          <cell r="B891" t="str">
            <v>GONZALEZ DELGADO JULIO ROBERTO</v>
          </cell>
          <cell r="C891" t="str">
            <v>Paipa</v>
          </cell>
          <cell r="D891" t="str">
            <v>PAIPA</v>
          </cell>
          <cell r="F891" t="str">
            <v>jrgd2008@hotmail.com</v>
          </cell>
        </row>
        <row r="892">
          <cell r="A892">
            <v>7228151</v>
          </cell>
          <cell r="B892" t="str">
            <v>AVELLANEDA PAREDES OSWALDO</v>
          </cell>
          <cell r="C892" t="str">
            <v>Paipa</v>
          </cell>
          <cell r="D892" t="str">
            <v>paipa</v>
          </cell>
          <cell r="F892" t="str">
            <v>turistica@outlook.com</v>
          </cell>
        </row>
        <row r="893">
          <cell r="A893">
            <v>860039159</v>
          </cell>
          <cell r="B893" t="str">
            <v>ASESORES LATINOS DE SEGUROS</v>
          </cell>
          <cell r="C893" t="str">
            <v>Paipa</v>
          </cell>
          <cell r="D893" t="str">
            <v>paipa</v>
          </cell>
          <cell r="F893" t="str">
            <v>turistica@outlook.com</v>
          </cell>
        </row>
        <row r="894">
          <cell r="A894">
            <v>901713311</v>
          </cell>
          <cell r="B894" t="str">
            <v>EMPRESA CONSTRUCTORA DE OBRAS ELÉCT</v>
          </cell>
          <cell r="C894" t="str">
            <v>Duitama</v>
          </cell>
          <cell r="D894" t="str">
            <v>CASA 106 MANZANA 4 PUEBLITO BOYACEN</v>
          </cell>
          <cell r="F894" t="str">
            <v>ecoelci65@gmail.com</v>
          </cell>
        </row>
        <row r="895">
          <cell r="A895">
            <v>1053611534</v>
          </cell>
          <cell r="B895" t="str">
            <v>HERNANDEZ LEGALIZADO JOSE ISAIAS</v>
          </cell>
          <cell r="C895" t="str">
            <v>Paipa</v>
          </cell>
          <cell r="D895" t="str">
            <v>PAIPA</v>
          </cell>
          <cell r="F895" t="str">
            <v>jose23.jihl@gmail.com</v>
          </cell>
        </row>
        <row r="896">
          <cell r="A896">
            <v>901365667</v>
          </cell>
          <cell r="B896" t="str">
            <v>CARNIVOROS CYJ S.A.S</v>
          </cell>
          <cell r="C896" t="str">
            <v>Bogota D.C.</v>
          </cell>
          <cell r="D896" t="str">
            <v>CL 120 A 6 A 32</v>
          </cell>
          <cell r="F896" t="str">
            <v>contador@soycarnivoros.com</v>
          </cell>
        </row>
        <row r="897">
          <cell r="A897">
            <v>1053610748</v>
          </cell>
          <cell r="B897" t="str">
            <v>CASTRO ECHEVERRIA JUAN MANUEL</v>
          </cell>
          <cell r="C897" t="str">
            <v>Paipa</v>
          </cell>
          <cell r="D897" t="str">
            <v>PAIPA</v>
          </cell>
          <cell r="F897" t="str">
            <v>juan.castro.guitar@gmail.com</v>
          </cell>
        </row>
        <row r="898">
          <cell r="A898">
            <v>900520697</v>
          </cell>
          <cell r="B898" t="str">
            <v>ELPO SAS</v>
          </cell>
          <cell r="C898" t="str">
            <v>Bogota D.C.</v>
          </cell>
          <cell r="D898" t="str">
            <v>CL 24 SUR 19 B 45</v>
          </cell>
          <cell r="F898" t="str">
            <v>elposas@gmail.com</v>
          </cell>
        </row>
        <row r="899">
          <cell r="A899">
            <v>35312919</v>
          </cell>
          <cell r="B899" t="str">
            <v>RIVERA NIÑO MARIA OTILIA</v>
          </cell>
          <cell r="C899" t="str">
            <v>Paipa</v>
          </cell>
          <cell r="D899" t="str">
            <v>PAIPA</v>
          </cell>
          <cell r="F899" t="str">
            <v>renacer4@yahoo.com</v>
          </cell>
        </row>
        <row r="900">
          <cell r="A900">
            <v>40024315</v>
          </cell>
          <cell r="B900" t="str">
            <v>BECERRA ESPEJO NUBIA LELY</v>
          </cell>
          <cell r="C900" t="str">
            <v>Tunja</v>
          </cell>
          <cell r="D900" t="str">
            <v>TUNJA</v>
          </cell>
          <cell r="F900" t="str">
            <v>nubialely_55@yahoo.es</v>
          </cell>
        </row>
        <row r="901">
          <cell r="A901">
            <v>800108330</v>
          </cell>
          <cell r="B901" t="str">
            <v>SERVIPERFILES SAS</v>
          </cell>
          <cell r="C901" t="str">
            <v>Mosquera</v>
          </cell>
          <cell r="D901" t="str">
            <v>CR 5 ESTE 15 93</v>
          </cell>
          <cell r="F901" t="str">
            <v>serviperfiles@serviperfiles.com</v>
          </cell>
        </row>
        <row r="902">
          <cell r="A902">
            <v>46682966</v>
          </cell>
          <cell r="B902" t="str">
            <v>FONSECA AYALA ECNA ZULY</v>
          </cell>
          <cell r="C902" t="str">
            <v>Paipa</v>
          </cell>
          <cell r="D902" t="str">
            <v>PAIPA</v>
          </cell>
          <cell r="F902" t="str">
            <v>ecnitaz@hotmail.com</v>
          </cell>
        </row>
        <row r="903">
          <cell r="A903">
            <v>1018455487</v>
          </cell>
          <cell r="B903" t="str">
            <v>RIAÑO BARRERA DANIEL FELIPE</v>
          </cell>
          <cell r="C903" t="str">
            <v>Paipa</v>
          </cell>
          <cell r="D903" t="str">
            <v>PAIPA</v>
          </cell>
          <cell r="F903" t="str">
            <v>ingfeliperb@gmail.com</v>
          </cell>
        </row>
        <row r="904">
          <cell r="A904">
            <v>901601057</v>
          </cell>
          <cell r="B904" t="str">
            <v>NOVAPLAT SAS</v>
          </cell>
          <cell r="C904" t="str">
            <v>Paipa</v>
          </cell>
          <cell r="D904" t="str">
            <v>paip</v>
          </cell>
          <cell r="F904" t="str">
            <v>novaplatsas@gmail.com</v>
          </cell>
        </row>
        <row r="905">
          <cell r="A905">
            <v>808002973</v>
          </cell>
          <cell r="B905" t="str">
            <v>QUIMIPISCINAS QR SAS</v>
          </cell>
          <cell r="C905" t="str">
            <v>Fusagasugá</v>
          </cell>
          <cell r="D905" t="str">
            <v>CHINAUTA KM 67 VIA MELGAR</v>
          </cell>
          <cell r="F905" t="str">
            <v>comprasyventasquimipiscinas@hotmail.com</v>
          </cell>
        </row>
        <row r="906">
          <cell r="A906">
            <v>901062180</v>
          </cell>
          <cell r="B906" t="str">
            <v>EDIFICIO PUNTA DE PIEDRA</v>
          </cell>
          <cell r="C906" t="str">
            <v>Paipa</v>
          </cell>
          <cell r="D906" t="str">
            <v>PAIPA</v>
          </cell>
          <cell r="F906" t="str">
            <v>edificiopuntadepiedra@gmail.com</v>
          </cell>
        </row>
        <row r="907">
          <cell r="A907">
            <v>1053609479</v>
          </cell>
          <cell r="B907" t="str">
            <v>LOPEZ ROJAS SULMA NATALIA</v>
          </cell>
          <cell r="C907" t="str">
            <v>Paipa</v>
          </cell>
          <cell r="D907" t="str">
            <v>PAIPA</v>
          </cell>
          <cell r="F907" t="str">
            <v>snlopez08@gmail.com</v>
          </cell>
        </row>
        <row r="908">
          <cell r="A908">
            <v>1015446288</v>
          </cell>
          <cell r="B908" t="str">
            <v>MOLINA OCHOA JULIAN DAVID</v>
          </cell>
          <cell r="C908" t="str">
            <v>Paipa</v>
          </cell>
          <cell r="D908" t="str">
            <v>Paipa</v>
          </cell>
          <cell r="F908" t="str">
            <v>julimoli_94@hotmail.com</v>
          </cell>
        </row>
        <row r="909">
          <cell r="A909">
            <v>7175975</v>
          </cell>
          <cell r="B909" t="str">
            <v>GIOVANNI ROA STEVE GIOVANNI</v>
          </cell>
          <cell r="C909" t="str">
            <v>Paipa</v>
          </cell>
          <cell r="D909" t="str">
            <v>Paipa</v>
          </cell>
          <cell r="F909" t="str">
            <v>djsteve6@gmail.com</v>
          </cell>
        </row>
        <row r="910">
          <cell r="A910">
            <v>8127974</v>
          </cell>
          <cell r="B910" t="str">
            <v>GONZALEZ LONDOÑO EDILSON ANDRES</v>
          </cell>
          <cell r="C910" t="str">
            <v>Paipa</v>
          </cell>
          <cell r="D910" t="str">
            <v>Paipa</v>
          </cell>
          <cell r="F910" t="str">
            <v>edilsongonzalez@gmail.com</v>
          </cell>
        </row>
        <row r="911">
          <cell r="A911">
            <v>9524528</v>
          </cell>
          <cell r="B911" t="str">
            <v>ARÉVALO PIÑEROS WILLIAM ISAURO</v>
          </cell>
          <cell r="C911" t="str">
            <v>Paipa</v>
          </cell>
          <cell r="D911" t="str">
            <v>Paipa</v>
          </cell>
          <cell r="F911" t="str">
            <v>williamarevalonptario@gmail.com</v>
          </cell>
        </row>
        <row r="912">
          <cell r="A912">
            <v>11252585</v>
          </cell>
          <cell r="B912" t="str">
            <v>TORRES  ORLANDO RAMIREZ</v>
          </cell>
          <cell r="C912" t="str">
            <v>Paipa</v>
          </cell>
          <cell r="D912" t="str">
            <v>Paipa</v>
          </cell>
          <cell r="F912" t="str">
            <v>samuel.el.lo.0426@gmail.com</v>
          </cell>
        </row>
        <row r="913">
          <cell r="A913">
            <v>13495007</v>
          </cell>
          <cell r="B913" t="str">
            <v>ACUÑA  RODOLFO MORANTES</v>
          </cell>
          <cell r="C913" t="str">
            <v>Paipa</v>
          </cell>
          <cell r="D913" t="str">
            <v>Paipa</v>
          </cell>
          <cell r="F913" t="str">
            <v>morantesrodolfo2@gmail.com</v>
          </cell>
        </row>
        <row r="914">
          <cell r="A914">
            <v>41570093</v>
          </cell>
          <cell r="B914" t="str">
            <v>GUIO GUIO MYRIAM</v>
          </cell>
          <cell r="C914" t="str">
            <v>Paipa</v>
          </cell>
          <cell r="D914" t="str">
            <v>Paipa</v>
          </cell>
          <cell r="F914" t="str">
            <v>saenz401852@gmail.com</v>
          </cell>
        </row>
        <row r="915">
          <cell r="A915">
            <v>46371638</v>
          </cell>
          <cell r="B915" t="str">
            <v>RENDON PLAZAS DALIA JACKELINE</v>
          </cell>
          <cell r="C915" t="str">
            <v>Paipa</v>
          </cell>
          <cell r="D915" t="str">
            <v>Paipa</v>
          </cell>
          <cell r="F915" t="str">
            <v>pistacampoverde@gmail.com</v>
          </cell>
        </row>
        <row r="916">
          <cell r="A916">
            <v>46383826</v>
          </cell>
          <cell r="B916" t="str">
            <v>RODRIGUEZ ARANGUREN JULIANA CAROLINA</v>
          </cell>
          <cell r="C916" t="str">
            <v>Paipa</v>
          </cell>
          <cell r="D916" t="str">
            <v>Paipa</v>
          </cell>
          <cell r="F916" t="str">
            <v>turistica@outlook.com</v>
          </cell>
        </row>
        <row r="917">
          <cell r="A917">
            <v>46663373</v>
          </cell>
          <cell r="B917" t="str">
            <v>GUEVARA MEDINA RUBI EMILSE</v>
          </cell>
          <cell r="C917" t="str">
            <v>Paipa</v>
          </cell>
          <cell r="D917" t="str">
            <v>Paipa</v>
          </cell>
          <cell r="F917" t="str">
            <v>ruby-guevara-medina@hotmail.com</v>
          </cell>
        </row>
        <row r="918">
          <cell r="A918">
            <v>46664707</v>
          </cell>
          <cell r="B918" t="str">
            <v>CELY SOLANO MARTHA CECILIA</v>
          </cell>
          <cell r="C918" t="str">
            <v>Paipa</v>
          </cell>
          <cell r="D918" t="str">
            <v>Paipa</v>
          </cell>
          <cell r="F918" t="str">
            <v>mafepa69@gmail.com</v>
          </cell>
        </row>
        <row r="919">
          <cell r="A919">
            <v>46680933</v>
          </cell>
          <cell r="B919" t="str">
            <v>PRIETO RODRIGUEZ MAGDA ISABEL</v>
          </cell>
          <cell r="C919" t="str">
            <v>Paipa</v>
          </cell>
          <cell r="D919" t="str">
            <v>Paipa</v>
          </cell>
          <cell r="F919" t="str">
            <v>homemark2023@gmail.com</v>
          </cell>
        </row>
        <row r="920">
          <cell r="A920">
            <v>46683378</v>
          </cell>
          <cell r="B920" t="str">
            <v>RINCON SANDOVAL YURY ESPERANZA</v>
          </cell>
          <cell r="C920" t="str">
            <v>Paipa</v>
          </cell>
          <cell r="D920" t="str">
            <v>Paipa</v>
          </cell>
          <cell r="F920" t="str">
            <v>yury84_@hotmail.com</v>
          </cell>
        </row>
        <row r="921">
          <cell r="A921">
            <v>51842434</v>
          </cell>
          <cell r="B921" t="str">
            <v>AGUDELO SARRIA CLAUDIA VIRGINIA</v>
          </cell>
          <cell r="C921" t="str">
            <v>Paipa</v>
          </cell>
          <cell r="D921" t="str">
            <v>Paipa</v>
          </cell>
          <cell r="F921" t="str">
            <v>c.agudelo.sarria@gmail.com</v>
          </cell>
        </row>
        <row r="922">
          <cell r="A922">
            <v>74130854</v>
          </cell>
          <cell r="B922" t="str">
            <v>FONSECA  JOSE</v>
          </cell>
          <cell r="C922" t="str">
            <v>Paipa</v>
          </cell>
          <cell r="D922" t="str">
            <v>Paipa</v>
          </cell>
          <cell r="F922" t="str">
            <v>jose-fonseca-rodriguez1@hotmail.com</v>
          </cell>
        </row>
        <row r="923">
          <cell r="A923">
            <v>74322739</v>
          </cell>
          <cell r="B923" t="str">
            <v>RODRIGUEZ PUERTO LUIS ALEJANDRO</v>
          </cell>
          <cell r="C923" t="str">
            <v>Paipa</v>
          </cell>
          <cell r="D923" t="str">
            <v>Paipa</v>
          </cell>
          <cell r="F923" t="str">
            <v>luisarp9876@hotmail.com</v>
          </cell>
        </row>
        <row r="924">
          <cell r="A924">
            <v>74323485</v>
          </cell>
          <cell r="B924" t="str">
            <v>ESPITIA ALFONSO GERMAN HUMBERTO</v>
          </cell>
          <cell r="C924" t="str">
            <v>Paipa</v>
          </cell>
          <cell r="D924" t="str">
            <v>Paipa</v>
          </cell>
          <cell r="F924" t="str">
            <v>gerhespitial@gmail.com</v>
          </cell>
        </row>
        <row r="925">
          <cell r="A925">
            <v>74323570</v>
          </cell>
          <cell r="B925" t="str">
            <v>BRIJALDO VEGA LEONARDO ANTONIO</v>
          </cell>
          <cell r="C925" t="str">
            <v>Paipa</v>
          </cell>
          <cell r="D925" t="str">
            <v>Paipa</v>
          </cell>
          <cell r="F925" t="str">
            <v>lbrijaldo@hotmail.com</v>
          </cell>
        </row>
        <row r="926">
          <cell r="A926">
            <v>74324186</v>
          </cell>
          <cell r="B926" t="str">
            <v>MORA MATEUS WILSON RICARDO</v>
          </cell>
          <cell r="C926" t="str">
            <v>Paipa</v>
          </cell>
          <cell r="D926" t="str">
            <v>Paipa</v>
          </cell>
          <cell r="F926" t="str">
            <v>wilsonmora13@gmail.com</v>
          </cell>
        </row>
        <row r="927">
          <cell r="A927">
            <v>74359430</v>
          </cell>
          <cell r="B927" t="str">
            <v>MUÑOZ OCHOA ERNESTO YESID</v>
          </cell>
          <cell r="C927" t="str">
            <v>Paipa</v>
          </cell>
          <cell r="D927" t="str">
            <v>Paipa</v>
          </cell>
          <cell r="F927" t="str">
            <v>danielitomz@hotmail.es</v>
          </cell>
        </row>
        <row r="928">
          <cell r="A928">
            <v>74360250</v>
          </cell>
          <cell r="B928" t="str">
            <v>ROSAS PUERTO ALVARO ALEXANDER</v>
          </cell>
          <cell r="C928" t="str">
            <v>Paipa</v>
          </cell>
          <cell r="D928" t="str">
            <v>Paipa</v>
          </cell>
          <cell r="F928" t="str">
            <v>alexanderrosas2186@gmail.com</v>
          </cell>
        </row>
        <row r="929">
          <cell r="A929">
            <v>74360950</v>
          </cell>
          <cell r="B929" t="str">
            <v>AVENDANO PARRA WILSON ORLANDO</v>
          </cell>
          <cell r="C929" t="str">
            <v>Paipa</v>
          </cell>
          <cell r="D929" t="str">
            <v>Paipa</v>
          </cell>
          <cell r="F929" t="str">
            <v>wap7636@hotmail.com</v>
          </cell>
        </row>
        <row r="930">
          <cell r="A930">
            <v>74362620</v>
          </cell>
          <cell r="B930" t="str">
            <v>LOPEZ NUCHE ORLANDO ORLANDO</v>
          </cell>
          <cell r="C930" t="str">
            <v>Paipa</v>
          </cell>
          <cell r="D930" t="str">
            <v>Paipa</v>
          </cell>
          <cell r="F930" t="str">
            <v>calesorlandolopez@hotmail.com</v>
          </cell>
        </row>
        <row r="931">
          <cell r="A931">
            <v>74379167</v>
          </cell>
          <cell r="B931" t="str">
            <v>SANABRIA VILLATE ANDRES MARCELO</v>
          </cell>
          <cell r="C931" t="str">
            <v>Paipa</v>
          </cell>
          <cell r="D931" t="str">
            <v>Paipa</v>
          </cell>
          <cell r="F931" t="str">
            <v>andressanabriamvz@gmail.com</v>
          </cell>
        </row>
        <row r="932">
          <cell r="A932">
            <v>74433619</v>
          </cell>
          <cell r="B932" t="str">
            <v>COY SALAMANCA ELIECER ANTONIO</v>
          </cell>
          <cell r="C932" t="str">
            <v>Paipa</v>
          </cell>
          <cell r="D932" t="str">
            <v>Paipa</v>
          </cell>
          <cell r="F932" t="str">
            <v>delocos1006@hotmail.com</v>
          </cell>
        </row>
        <row r="933">
          <cell r="A933">
            <v>79489986</v>
          </cell>
          <cell r="B933" t="str">
            <v>GUERRERO  EMILIO QUINTERO</v>
          </cell>
          <cell r="C933" t="str">
            <v>Paipa</v>
          </cell>
          <cell r="D933" t="str">
            <v>Paipa</v>
          </cell>
          <cell r="F933" t="str">
            <v>emilito-50@hotmail.com</v>
          </cell>
        </row>
        <row r="934">
          <cell r="A934">
            <v>79504795</v>
          </cell>
          <cell r="B934" t="str">
            <v>ACOSTA FONSECA CESAR AUGUSTO</v>
          </cell>
          <cell r="C934" t="str">
            <v>Paipa</v>
          </cell>
          <cell r="D934" t="str">
            <v>Paipa</v>
          </cell>
          <cell r="F934" t="str">
            <v>cesaracosta66@gmail.com</v>
          </cell>
        </row>
        <row r="935">
          <cell r="A935">
            <v>79628851</v>
          </cell>
          <cell r="B935" t="str">
            <v>PARRA GARZON LUIS ABELARDO</v>
          </cell>
          <cell r="C935" t="str">
            <v>Paipa</v>
          </cell>
          <cell r="D935" t="str">
            <v>Paipa</v>
          </cell>
          <cell r="F935" t="str">
            <v>facturacion@montacargaslaparra.com</v>
          </cell>
        </row>
        <row r="936">
          <cell r="A936">
            <v>80074406</v>
          </cell>
          <cell r="B936" t="str">
            <v>CHICUASUQUE RAMIREZ JOSE LEONARDO</v>
          </cell>
          <cell r="C936" t="str">
            <v>Paipa</v>
          </cell>
          <cell r="D936" t="str">
            <v>Paipa</v>
          </cell>
          <cell r="F936" t="str">
            <v>melkor588@hotmail.com</v>
          </cell>
        </row>
        <row r="937">
          <cell r="A937">
            <v>80187229</v>
          </cell>
          <cell r="B937" t="str">
            <v>YOMAYUZA ROJAS DIEGO ALEXANDER</v>
          </cell>
          <cell r="C937" t="str">
            <v>Paipa</v>
          </cell>
          <cell r="D937" t="str">
            <v>Paipa</v>
          </cell>
          <cell r="F937" t="str">
            <v>alexandery25@hotmail.com</v>
          </cell>
        </row>
        <row r="938">
          <cell r="A938">
            <v>80739112</v>
          </cell>
          <cell r="B938" t="str">
            <v>BARINAS GUIO JASON ALEJANDRO</v>
          </cell>
          <cell r="C938" t="str">
            <v>Paipa</v>
          </cell>
          <cell r="D938" t="str">
            <v>Paipa</v>
          </cell>
          <cell r="F938" t="str">
            <v>alejandro.barinas@gmail.com</v>
          </cell>
        </row>
        <row r="939">
          <cell r="A939">
            <v>86072813</v>
          </cell>
          <cell r="B939" t="str">
            <v>GUTIERREZ GUTIERREZ JHON HEGEL</v>
          </cell>
          <cell r="C939" t="str">
            <v>Paipa</v>
          </cell>
          <cell r="D939" t="str">
            <v>Paipa</v>
          </cell>
          <cell r="F939" t="str">
            <v>jhgutierrezg@gmail.com</v>
          </cell>
        </row>
        <row r="940">
          <cell r="A940">
            <v>1001310734</v>
          </cell>
          <cell r="B940" t="str">
            <v>SALAZAR  JOAN</v>
          </cell>
          <cell r="C940" t="str">
            <v>Paipa</v>
          </cell>
          <cell r="D940" t="str">
            <v>Paipa</v>
          </cell>
          <cell r="F940" t="str">
            <v>joand1s.swg@gmail.com</v>
          </cell>
        </row>
        <row r="941">
          <cell r="A941">
            <v>1002538880</v>
          </cell>
          <cell r="B941" t="str">
            <v>ESTEPA FONSECA FRANCISCO JAVIER</v>
          </cell>
          <cell r="C941" t="str">
            <v>Paipa</v>
          </cell>
          <cell r="D941" t="str">
            <v>Paipa</v>
          </cell>
          <cell r="F941" t="str">
            <v>javierestepa07@gmail.com</v>
          </cell>
        </row>
        <row r="942">
          <cell r="A942">
            <v>1013606806</v>
          </cell>
          <cell r="B942" t="str">
            <v>VELANDIA  MICHAEL BALLEN</v>
          </cell>
          <cell r="C942" t="str">
            <v>Paipa</v>
          </cell>
          <cell r="D942" t="str">
            <v>Paipa</v>
          </cell>
          <cell r="F942" t="str">
            <v>ballenmichael1@gmail.com</v>
          </cell>
        </row>
        <row r="943">
          <cell r="A943">
            <v>1026264513</v>
          </cell>
          <cell r="B943" t="str">
            <v>DIAZ PEREZ ANGELICA VANNESA</v>
          </cell>
          <cell r="C943" t="str">
            <v>Paipa</v>
          </cell>
          <cell r="D943" t="str">
            <v>Paipa</v>
          </cell>
          <cell r="F943" t="str">
            <v>vannediazp@gmail.com</v>
          </cell>
        </row>
        <row r="944">
          <cell r="A944">
            <v>1049612417</v>
          </cell>
          <cell r="B944" t="str">
            <v>CARDENAS SORACA NANCY ESPERANZA</v>
          </cell>
          <cell r="C944" t="str">
            <v>Paipa</v>
          </cell>
          <cell r="D944" t="str">
            <v>Paipa</v>
          </cell>
          <cell r="F944" t="str">
            <v>nancyesperanza186@gmal.com</v>
          </cell>
        </row>
        <row r="945">
          <cell r="A945">
            <v>1049640086</v>
          </cell>
          <cell r="B945" t="str">
            <v>GUIO TORRES YARDIN AURELIO</v>
          </cell>
          <cell r="C945" t="str">
            <v>Paipa</v>
          </cell>
          <cell r="D945" t="str">
            <v>Paipa</v>
          </cell>
          <cell r="F945" t="str">
            <v>yardin3010@hotmail.com</v>
          </cell>
        </row>
        <row r="946">
          <cell r="A946">
            <v>1052392621</v>
          </cell>
          <cell r="B946" t="str">
            <v>BLANCO  JUAN</v>
          </cell>
          <cell r="C946" t="str">
            <v>Paipa</v>
          </cell>
          <cell r="D946" t="str">
            <v>Paipa</v>
          </cell>
          <cell r="F946" t="str">
            <v>aquileoblancomartinez@gmail.com</v>
          </cell>
        </row>
        <row r="947">
          <cell r="A947">
            <v>1053604690</v>
          </cell>
          <cell r="B947" t="str">
            <v>RIVERA FONSECA JULIAN BERNARDO</v>
          </cell>
          <cell r="C947" t="str">
            <v>Paipa</v>
          </cell>
          <cell r="D947" t="str">
            <v>Paipa</v>
          </cell>
          <cell r="F947" t="str">
            <v>julianrivera690@gmail.com</v>
          </cell>
        </row>
        <row r="948">
          <cell r="A948">
            <v>1053608137</v>
          </cell>
          <cell r="B948" t="str">
            <v>VARGAS  LEONARDO</v>
          </cell>
          <cell r="C948" t="str">
            <v>Paipa</v>
          </cell>
          <cell r="D948" t="str">
            <v>Paipa</v>
          </cell>
          <cell r="F948" t="str">
            <v>levix48@gmail.com</v>
          </cell>
        </row>
        <row r="949">
          <cell r="A949">
            <v>1053608701</v>
          </cell>
          <cell r="B949" t="str">
            <v>CHAPARRO RUIZ MANUEL ALEJANDRO</v>
          </cell>
          <cell r="C949" t="str">
            <v>Paipa</v>
          </cell>
          <cell r="D949" t="str">
            <v>Paipa</v>
          </cell>
          <cell r="F949" t="str">
            <v>chaparroruizmanuelalejandro@gmail.com</v>
          </cell>
        </row>
        <row r="950">
          <cell r="A950">
            <v>1053608962</v>
          </cell>
          <cell r="B950" t="str">
            <v>SANABRIA BUITRAGO CARLOS HUMBERTO</v>
          </cell>
          <cell r="C950" t="str">
            <v>Paipa</v>
          </cell>
          <cell r="D950" t="str">
            <v>Paipa</v>
          </cell>
          <cell r="F950" t="str">
            <v>carloshum09z@gmail.com</v>
          </cell>
        </row>
        <row r="951">
          <cell r="A951">
            <v>1053611770</v>
          </cell>
          <cell r="B951" t="str">
            <v>CAMARGO  WILSON</v>
          </cell>
          <cell r="C951" t="str">
            <v>Paipa</v>
          </cell>
          <cell r="D951" t="str">
            <v>Paipa</v>
          </cell>
          <cell r="F951" t="str">
            <v>wiaucaro@gmail.com</v>
          </cell>
        </row>
        <row r="952">
          <cell r="A952">
            <v>800022076</v>
          </cell>
          <cell r="B952" t="str">
            <v>CORPORACIÓN EDUCATIVA INDOAMÉRICANA</v>
          </cell>
          <cell r="C952" t="str">
            <v>Paipa</v>
          </cell>
          <cell r="D952" t="str">
            <v>Paipa</v>
          </cell>
          <cell r="F952" t="str">
            <v>jserna@indoamericana.edu.co</v>
          </cell>
        </row>
        <row r="953">
          <cell r="A953">
            <v>800144794</v>
          </cell>
          <cell r="B953" t="str">
            <v>MERCADEO DE PRODUCTOS VETERIONAROS</v>
          </cell>
          <cell r="C953" t="str">
            <v>Paipa</v>
          </cell>
          <cell r="D953" t="str">
            <v>Paipa</v>
          </cell>
          <cell r="F953" t="str">
            <v>administrativa@mercavet.com.co</v>
          </cell>
        </row>
        <row r="954">
          <cell r="A954">
            <v>801002903</v>
          </cell>
          <cell r="B954" t="str">
            <v>FUNDAPANACA</v>
          </cell>
          <cell r="C954" t="str">
            <v>Paipa</v>
          </cell>
          <cell r="D954" t="str">
            <v>Paipa</v>
          </cell>
          <cell r="F954" t="str">
            <v>fundapanaca@panaca.co</v>
          </cell>
        </row>
        <row r="955">
          <cell r="A955">
            <v>830113599</v>
          </cell>
          <cell r="B955" t="str">
            <v>INVERPROGRESO S.A.S</v>
          </cell>
          <cell r="C955" t="str">
            <v>Paipa</v>
          </cell>
          <cell r="D955" t="str">
            <v>Paipa</v>
          </cell>
          <cell r="F955" t="str">
            <v>inverprogreso@olcsal.com</v>
          </cell>
        </row>
        <row r="956">
          <cell r="A956">
            <v>830513773</v>
          </cell>
          <cell r="B956" t="str">
            <v>APPLUS NORCONTROL COLOMBIA LTD</v>
          </cell>
          <cell r="C956" t="str">
            <v>Paipa</v>
          </cell>
          <cell r="D956" t="str">
            <v>Paipa</v>
          </cell>
          <cell r="F956" t="str">
            <v>zully.amaris@applus.com</v>
          </cell>
        </row>
        <row r="957">
          <cell r="A957">
            <v>832002451</v>
          </cell>
          <cell r="B957" t="str">
            <v>UNIMINAS SAS</v>
          </cell>
          <cell r="C957" t="str">
            <v>Paipa</v>
          </cell>
          <cell r="D957" t="str">
            <v>Paipa</v>
          </cell>
          <cell r="F957" t="str">
            <v>recepcion.facturas@uniminas.com.co</v>
          </cell>
        </row>
        <row r="958">
          <cell r="A958">
            <v>860003563</v>
          </cell>
          <cell r="B958" t="str">
            <v>HITACHI ENERGY COLOMBIA</v>
          </cell>
          <cell r="C958" t="str">
            <v>Paipa</v>
          </cell>
          <cell r="D958" t="str">
            <v>Paipa</v>
          </cell>
          <cell r="F958" t="str">
            <v>diego.pulido@hitachienergy.com</v>
          </cell>
        </row>
        <row r="959">
          <cell r="A959">
            <v>890328485</v>
          </cell>
          <cell r="B959" t="str">
            <v>PRODUCTOS DE CAUCHO Y LONA SAS</v>
          </cell>
          <cell r="C959" t="str">
            <v>Paipa</v>
          </cell>
          <cell r="D959" t="str">
            <v>Paipa</v>
          </cell>
          <cell r="F959" t="str">
            <v>facturacionelectronica@pcl.com.co</v>
          </cell>
        </row>
        <row r="960">
          <cell r="A960">
            <v>890922586</v>
          </cell>
          <cell r="B960" t="str">
            <v>TEXCOMERCIAL TEXCO SAS</v>
          </cell>
          <cell r="C960" t="str">
            <v>Paipa</v>
          </cell>
          <cell r="D960" t="str">
            <v>Paipa</v>
          </cell>
          <cell r="F960" t="str">
            <v>proveedorestexco@texcomercial.com.co</v>
          </cell>
        </row>
        <row r="961">
          <cell r="A961">
            <v>900152304</v>
          </cell>
          <cell r="B961" t="str">
            <v>INGAUTIN DE COLOMBIA SAS</v>
          </cell>
          <cell r="C961" t="str">
            <v>Paipa</v>
          </cell>
          <cell r="D961" t="str">
            <v>Paipa</v>
          </cell>
          <cell r="F961" t="str">
            <v>contabilidad@ingautin.com.co</v>
          </cell>
        </row>
        <row r="962">
          <cell r="A962">
            <v>900307417</v>
          </cell>
          <cell r="B962" t="str">
            <v>SA</v>
          </cell>
          <cell r="C962" t="str">
            <v>Paipa</v>
          </cell>
          <cell r="D962" t="str">
            <v>Paipa</v>
          </cell>
          <cell r="F962" t="str">
            <v>ortoimagen@hotmail.com</v>
          </cell>
        </row>
        <row r="963">
          <cell r="A963">
            <v>900324021</v>
          </cell>
          <cell r="B963" t="str">
            <v>ECOSERVICIOS DE OCCIDENTE SAS ESP</v>
          </cell>
          <cell r="C963" t="str">
            <v>Paipa</v>
          </cell>
          <cell r="D963" t="str">
            <v>Paipa</v>
          </cell>
          <cell r="F963" t="str">
            <v>operaciones@ecoserviciosdeoccidente.com</v>
          </cell>
        </row>
        <row r="964">
          <cell r="A964">
            <v>900449016</v>
          </cell>
          <cell r="B964" t="str">
            <v>PLUMA BLANCA CE</v>
          </cell>
          <cell r="C964" t="str">
            <v>Paipa</v>
          </cell>
          <cell r="D964" t="str">
            <v>Paipa</v>
          </cell>
          <cell r="F964" t="str">
            <v>comercialycompras@plumablancace.com</v>
          </cell>
        </row>
        <row r="965">
          <cell r="A965">
            <v>900453256</v>
          </cell>
          <cell r="B965" t="str">
            <v>PIXEL M E</v>
          </cell>
          <cell r="C965" t="str">
            <v>Paipa</v>
          </cell>
          <cell r="D965" t="str">
            <v>Paipa</v>
          </cell>
          <cell r="F965" t="str">
            <v>facturacionpixel@gmail.com</v>
          </cell>
        </row>
        <row r="966">
          <cell r="A966">
            <v>900813668</v>
          </cell>
          <cell r="B966" t="str">
            <v>AMERICANA DE TECNOLOGÍA Y COMUNICAC</v>
          </cell>
          <cell r="C966" t="str">
            <v>Paipa</v>
          </cell>
          <cell r="D966" t="str">
            <v>Paipa</v>
          </cell>
          <cell r="F966" t="str">
            <v>facturas.amtec@yahoo.com</v>
          </cell>
        </row>
        <row r="967">
          <cell r="A967">
            <v>900928517</v>
          </cell>
          <cell r="B967" t="str">
            <v>TRASNPORTE LOGISTICA DE PASAJES Y S</v>
          </cell>
          <cell r="C967" t="str">
            <v>Paipa</v>
          </cell>
          <cell r="D967" t="str">
            <v>Paipa</v>
          </cell>
          <cell r="F967" t="str">
            <v>facturacion@transpaservic.com</v>
          </cell>
        </row>
        <row r="968">
          <cell r="A968">
            <v>900931529</v>
          </cell>
          <cell r="B968" t="str">
            <v>IAF INGENIERIA SAS</v>
          </cell>
          <cell r="C968" t="str">
            <v>Paipa</v>
          </cell>
          <cell r="D968" t="str">
            <v>Paipa</v>
          </cell>
          <cell r="F968" t="str">
            <v>antonia@hymasesores.com</v>
          </cell>
        </row>
        <row r="969">
          <cell r="A969">
            <v>901237448</v>
          </cell>
          <cell r="B969" t="str">
            <v>IMMC CLAVIJO SAS</v>
          </cell>
          <cell r="C969" t="str">
            <v>Paipa</v>
          </cell>
          <cell r="D969" t="str">
            <v>Paipa</v>
          </cell>
          <cell r="F969" t="str">
            <v>facturacionimmc.clavijo@gmail.com</v>
          </cell>
        </row>
        <row r="970">
          <cell r="A970">
            <v>901243210</v>
          </cell>
          <cell r="B970" t="str">
            <v>911 EMERGENCIAS SAS</v>
          </cell>
          <cell r="C970" t="str">
            <v>Paipa</v>
          </cell>
          <cell r="D970" t="str">
            <v>Paipa</v>
          </cell>
          <cell r="F970" t="str">
            <v>ing.camilo19@gmail.com</v>
          </cell>
        </row>
        <row r="971">
          <cell r="A971">
            <v>901269307</v>
          </cell>
          <cell r="B971" t="str">
            <v>AROMÁTICAS Y ESPECIAS YERBASANTA</v>
          </cell>
          <cell r="C971" t="str">
            <v>Paipa</v>
          </cell>
          <cell r="D971" t="str">
            <v>Paipa</v>
          </cell>
          <cell r="F971" t="str">
            <v>dpcontabilidad.yerbasanta@gmail.com</v>
          </cell>
        </row>
        <row r="972">
          <cell r="A972">
            <v>901385536</v>
          </cell>
          <cell r="B972" t="str">
            <v>GROUP SALCAR SAS ZOMAC</v>
          </cell>
          <cell r="C972" t="str">
            <v>Paipa</v>
          </cell>
          <cell r="D972" t="str">
            <v>Paipa</v>
          </cell>
          <cell r="F972" t="str">
            <v>groupsalcarsas@gmail.com</v>
          </cell>
        </row>
        <row r="973">
          <cell r="A973">
            <v>901440334</v>
          </cell>
          <cell r="B973" t="str">
            <v>RESPIL SAS</v>
          </cell>
          <cell r="C973" t="str">
            <v>Paipa</v>
          </cell>
          <cell r="D973" t="str">
            <v>Paipa</v>
          </cell>
          <cell r="F973" t="str">
            <v>respilsas@gmail.com</v>
          </cell>
        </row>
        <row r="974">
          <cell r="A974">
            <v>901511836</v>
          </cell>
          <cell r="B974" t="str">
            <v>CONSTRUCTORA AMAYA SAS</v>
          </cell>
          <cell r="C974" t="str">
            <v>Paipa</v>
          </cell>
          <cell r="D974" t="str">
            <v>Paipa</v>
          </cell>
          <cell r="F974" t="str">
            <v>andres.trujillo@amavia.com.co</v>
          </cell>
        </row>
        <row r="975">
          <cell r="A975">
            <v>901562092</v>
          </cell>
          <cell r="B975" t="str">
            <v>CAMPEON CENTRO AGROPECUARIO SAS</v>
          </cell>
          <cell r="C975" t="str">
            <v>Paipa</v>
          </cell>
          <cell r="D975" t="str">
            <v>Paipa</v>
          </cell>
          <cell r="F975" t="str">
            <v>facturacion@campeonsas.co</v>
          </cell>
        </row>
        <row r="976">
          <cell r="A976">
            <v>901562217</v>
          </cell>
          <cell r="B976" t="str">
            <v>FACTORES INTEGRALES SAS</v>
          </cell>
          <cell r="C976" t="str">
            <v>Paipa</v>
          </cell>
          <cell r="D976" t="str">
            <v>Paipa</v>
          </cell>
          <cell r="F976" t="str">
            <v>factoresintegralessas@gmail.com</v>
          </cell>
        </row>
        <row r="977">
          <cell r="A977">
            <v>901563214</v>
          </cell>
          <cell r="B977" t="str">
            <v>RGLOGISTICS SAS</v>
          </cell>
          <cell r="C977" t="str">
            <v>Paipa</v>
          </cell>
          <cell r="D977" t="str">
            <v>Paipa</v>
          </cell>
          <cell r="F977" t="str">
            <v>info@rglogisticssas.com</v>
          </cell>
        </row>
        <row r="978">
          <cell r="A978">
            <v>901581523</v>
          </cell>
          <cell r="B978" t="str">
            <v>SALAZAR ARIAS COMPANY S.A.S</v>
          </cell>
          <cell r="C978" t="str">
            <v>Paipa</v>
          </cell>
          <cell r="D978" t="str">
            <v>Paipa</v>
          </cell>
          <cell r="F978" t="str">
            <v>salazarariassas@gmail.com</v>
          </cell>
        </row>
        <row r="979">
          <cell r="A979">
            <v>901700644</v>
          </cell>
          <cell r="B979" t="str">
            <v>GESSTA CONSULTORÍA SAS</v>
          </cell>
          <cell r="C979" t="str">
            <v>Paipa</v>
          </cell>
          <cell r="D979" t="str">
            <v>Paipa</v>
          </cell>
          <cell r="F979" t="str">
            <v>gestaconsultoria@gmail.com</v>
          </cell>
        </row>
        <row r="980">
          <cell r="A980">
            <v>901769197</v>
          </cell>
          <cell r="B980" t="str">
            <v>ETHICAL HACKING SERVICES</v>
          </cell>
          <cell r="C980" t="str">
            <v>Paipa</v>
          </cell>
          <cell r="D980" t="str">
            <v>Paipa</v>
          </cell>
          <cell r="F980" t="str">
            <v>administrativo@ehackingservices.com.co</v>
          </cell>
        </row>
        <row r="981">
          <cell r="A981">
            <v>901787398</v>
          </cell>
          <cell r="B981" t="str">
            <v>INVERSIONES MEFL SAS</v>
          </cell>
          <cell r="C981" t="str">
            <v>Paipa</v>
          </cell>
          <cell r="D981" t="str">
            <v>Paipa</v>
          </cell>
          <cell r="F981" t="str">
            <v>miguelefl1052@hotmail.com</v>
          </cell>
        </row>
        <row r="982">
          <cell r="A982">
            <v>901880275</v>
          </cell>
          <cell r="B982" t="str">
            <v>SMART SPHERE SAS</v>
          </cell>
          <cell r="C982" t="str">
            <v>Paipa</v>
          </cell>
          <cell r="D982" t="str">
            <v>Paipa</v>
          </cell>
          <cell r="F982" t="str">
            <v>smartspheresas@gmail.com</v>
          </cell>
        </row>
        <row r="983">
          <cell r="A983">
            <v>1053609221</v>
          </cell>
          <cell r="B983" t="str">
            <v>ARRUBLA VARGAS INGRID VANESSA</v>
          </cell>
          <cell r="C983" t="str">
            <v>Paipa</v>
          </cell>
          <cell r="D983" t="str">
            <v>CR 22 25 47</v>
          </cell>
          <cell r="F983" t="str">
            <v>vanejh-27@hotmail.com</v>
          </cell>
        </row>
        <row r="984">
          <cell r="A984">
            <v>900360580</v>
          </cell>
          <cell r="B984" t="str">
            <v>COMERZIALIZADORA LA ESTACIOPN DOMININT S SAS</v>
          </cell>
          <cell r="C984" t="str">
            <v>Bogota D.C.</v>
          </cell>
          <cell r="D984" t="str">
            <v>CR 18 12 12</v>
          </cell>
          <cell r="F984" t="str">
            <v>colombiafacturacionesestaciondominints@gmail.com</v>
          </cell>
        </row>
        <row r="985">
          <cell r="A985">
            <v>7226847</v>
          </cell>
          <cell r="B985" t="str">
            <v>VELANDIA CELY LUIS</v>
          </cell>
          <cell r="C985" t="str">
            <v>Paipa</v>
          </cell>
          <cell r="D985" t="str">
            <v>CLLE 9 19-15</v>
          </cell>
          <cell r="F985" t="str">
            <v>centraldebaterias4@gmail.com</v>
          </cell>
        </row>
        <row r="986">
          <cell r="A986">
            <v>910422</v>
          </cell>
          <cell r="B986" t="str">
            <v>PARRA BENITEZ JAIME SEBASTIAN</v>
          </cell>
          <cell r="C986" t="str">
            <v>Paipa</v>
          </cell>
          <cell r="D986" t="str">
            <v>Paipa</v>
          </cell>
          <cell r="F986" t="str">
            <v>parra0408@hotmail.com</v>
          </cell>
        </row>
        <row r="987">
          <cell r="A987">
            <v>3438560</v>
          </cell>
          <cell r="B987" t="str">
            <v>BALAGUERA RIVERA LUIS FERNANDO</v>
          </cell>
          <cell r="C987" t="str">
            <v>Paipa</v>
          </cell>
          <cell r="D987" t="str">
            <v>Paipa</v>
          </cell>
          <cell r="F987" t="str">
            <v>rbl.constructora.sas2020@gmail.com</v>
          </cell>
        </row>
        <row r="988">
          <cell r="A988">
            <v>4191383</v>
          </cell>
          <cell r="B988" t="str">
            <v>BAYONA ALBA ALVARO LUZBIN</v>
          </cell>
          <cell r="C988" t="str">
            <v>Paipa</v>
          </cell>
          <cell r="D988" t="str">
            <v>Paipa</v>
          </cell>
          <cell r="F988" t="str">
            <v>dromevet1@yahoo.es</v>
          </cell>
        </row>
        <row r="989">
          <cell r="A989">
            <v>4192520</v>
          </cell>
          <cell r="B989" t="str">
            <v>RODRIGUEZ ZANGUÑA JOSE LUIS</v>
          </cell>
          <cell r="C989" t="str">
            <v>Paipa</v>
          </cell>
          <cell r="D989" t="str">
            <v>Paipa</v>
          </cell>
          <cell r="F989" t="str">
            <v>joseluro520@gmail.com</v>
          </cell>
        </row>
        <row r="990">
          <cell r="A990">
            <v>4209065</v>
          </cell>
          <cell r="B990" t="str">
            <v>MANRIQUE MONTOYA EDISON JAVIER</v>
          </cell>
          <cell r="C990" t="str">
            <v>Paipa</v>
          </cell>
          <cell r="D990" t="str">
            <v>Paipa</v>
          </cell>
          <cell r="F990" t="str">
            <v>edisonjaviermanrique15@hotmail.com</v>
          </cell>
        </row>
        <row r="991">
          <cell r="A991">
            <v>4234024</v>
          </cell>
          <cell r="B991" t="str">
            <v>ALFONSO HERNÁNDEZ JOSÉ MARIA</v>
          </cell>
          <cell r="C991" t="str">
            <v>Paipa</v>
          </cell>
          <cell r="D991" t="str">
            <v>Paipa</v>
          </cell>
          <cell r="F991" t="str">
            <v>josemariahernandez0202@gmail.com</v>
          </cell>
        </row>
        <row r="992">
          <cell r="A992">
            <v>7175245</v>
          </cell>
          <cell r="B992" t="str">
            <v>RUGE RODRIGUEZ OSCAR EDUARDO</v>
          </cell>
          <cell r="C992" t="str">
            <v>Paipa</v>
          </cell>
          <cell r="D992" t="str">
            <v>Paipa</v>
          </cell>
          <cell r="F992" t="str">
            <v>iruge3368@gmail.com</v>
          </cell>
        </row>
        <row r="993">
          <cell r="A993">
            <v>7175528</v>
          </cell>
          <cell r="B993" t="str">
            <v>GUTIERREZ  HUMBERTO CARLOS</v>
          </cell>
          <cell r="C993" t="str">
            <v>Paipa</v>
          </cell>
          <cell r="D993" t="str">
            <v>Paipa</v>
          </cell>
          <cell r="F993" t="str">
            <v>revisoriafiscalhcg@gmail.com</v>
          </cell>
        </row>
        <row r="994">
          <cell r="A994">
            <v>7177080</v>
          </cell>
          <cell r="B994" t="str">
            <v>CASTELLANOS CASTRO JUAN PABLO</v>
          </cell>
          <cell r="C994" t="str">
            <v>Paipa</v>
          </cell>
          <cell r="D994" t="str">
            <v>Paipa</v>
          </cell>
          <cell r="F994" t="str">
            <v>juano06saime@hotmail.com</v>
          </cell>
        </row>
        <row r="995">
          <cell r="A995">
            <v>7188325</v>
          </cell>
          <cell r="B995" t="str">
            <v>BELLO PEREZ OSCAR JAVIER</v>
          </cell>
          <cell r="C995" t="str">
            <v>Paipa</v>
          </cell>
          <cell r="D995" t="str">
            <v>Paipa</v>
          </cell>
          <cell r="F995" t="str">
            <v>oscarbello84@gmail.com</v>
          </cell>
        </row>
        <row r="996">
          <cell r="A996">
            <v>13906499</v>
          </cell>
          <cell r="B996" t="str">
            <v>PEÑA  CLEMENTE RAMIREZ</v>
          </cell>
          <cell r="C996" t="str">
            <v>Paipa</v>
          </cell>
          <cell r="D996" t="str">
            <v>Paipa</v>
          </cell>
          <cell r="F996" t="str">
            <v>ramirezclemente@gmail.com</v>
          </cell>
        </row>
        <row r="997">
          <cell r="A997">
            <v>1053612319</v>
          </cell>
          <cell r="B997" t="str">
            <v>ALBA RODRIGUEZ MARIA DEL CARMEN</v>
          </cell>
          <cell r="C997" t="str">
            <v>Paipa</v>
          </cell>
          <cell r="D997" t="str">
            <v>CALLE 21 N°24A-09</v>
          </cell>
          <cell r="F997" t="str">
            <v>malba0595@gmail.com</v>
          </cell>
        </row>
        <row r="998">
          <cell r="A998">
            <v>3250856</v>
          </cell>
          <cell r="B998" t="str">
            <v>VARGAS  DUARGEL VILLALBA</v>
          </cell>
          <cell r="C998" t="str">
            <v>Paipa</v>
          </cell>
          <cell r="D998" t="str">
            <v>Paipa</v>
          </cell>
          <cell r="F998" t="str">
            <v>fab.ideamos@gmail.com</v>
          </cell>
        </row>
        <row r="999">
          <cell r="A999">
            <v>6770995</v>
          </cell>
          <cell r="B999" t="str">
            <v>TARAZONA DIAZ ALVARO JOHN</v>
          </cell>
          <cell r="C999" t="str">
            <v>Paipa</v>
          </cell>
          <cell r="D999" t="str">
            <v>Paipa</v>
          </cell>
          <cell r="F999" t="str">
            <v>tarazonadiaz@gmail.com</v>
          </cell>
        </row>
        <row r="1000">
          <cell r="A1000">
            <v>7170774</v>
          </cell>
          <cell r="B1000" t="str">
            <v>VARGAS SOSA JOSE ALFREDO</v>
          </cell>
          <cell r="C1000" t="str">
            <v>Paipa</v>
          </cell>
          <cell r="D1000" t="str">
            <v>Paipa</v>
          </cell>
          <cell r="F1000" t="str">
            <v>admonvarsan@gmail.com</v>
          </cell>
        </row>
        <row r="1001">
          <cell r="A1001">
            <v>7224288</v>
          </cell>
          <cell r="B1001" t="str">
            <v>CARDENAS CASTRO JULIO HUMBERTO</v>
          </cell>
          <cell r="C1001" t="str">
            <v>Paipa</v>
          </cell>
          <cell r="D1001" t="str">
            <v>Paipa</v>
          </cell>
          <cell r="F1001" t="str">
            <v>juliocolanta@yahoo.es</v>
          </cell>
        </row>
        <row r="1002">
          <cell r="A1002">
            <v>7227781</v>
          </cell>
          <cell r="B1002" t="str">
            <v>RAMIREZ  JEMERSON</v>
          </cell>
          <cell r="C1002" t="str">
            <v>Paipa</v>
          </cell>
          <cell r="D1002" t="str">
            <v>Paipa</v>
          </cell>
          <cell r="F1002" t="str">
            <v>ramirezjemerson@gmail.com</v>
          </cell>
        </row>
        <row r="1003">
          <cell r="A1003">
            <v>9434264</v>
          </cell>
          <cell r="B1003" t="str">
            <v>GAITAN SILVA LUÍS ALBERTO</v>
          </cell>
          <cell r="C1003" t="str">
            <v>Paipa</v>
          </cell>
          <cell r="D1003" t="str">
            <v>Paipa</v>
          </cell>
          <cell r="F1003" t="str">
            <v>luisgaitan9507@gmail.com</v>
          </cell>
        </row>
        <row r="1004">
          <cell r="A1004">
            <v>13171097</v>
          </cell>
          <cell r="B1004" t="str">
            <v>SANCHEZ  WILSON BENITES</v>
          </cell>
          <cell r="C1004" t="str">
            <v>Paipa</v>
          </cell>
          <cell r="D1004" t="str">
            <v>Paipa</v>
          </cell>
          <cell r="F1004" t="str">
            <v>wb-ingenieria@hotmail.com</v>
          </cell>
        </row>
        <row r="1005">
          <cell r="A1005">
            <v>13700545</v>
          </cell>
          <cell r="B1005" t="str">
            <v>DIAZRIOS RIOS CELSOLUIS LUIS</v>
          </cell>
          <cell r="C1005" t="str">
            <v>Paipa</v>
          </cell>
          <cell r="D1005" t="str">
            <v>Paipa</v>
          </cell>
          <cell r="F1005" t="str">
            <v>celsodiaz66@gmail.com</v>
          </cell>
        </row>
        <row r="1006">
          <cell r="A1006">
            <v>19266464</v>
          </cell>
          <cell r="B1006" t="str">
            <v>MOLANO SANCHEZ DARIO DE LOS REYES</v>
          </cell>
          <cell r="C1006" t="str">
            <v>Paipa</v>
          </cell>
          <cell r="D1006" t="str">
            <v>Paipa</v>
          </cell>
          <cell r="F1006" t="str">
            <v>dmolanos@hotmail.com</v>
          </cell>
        </row>
        <row r="1007">
          <cell r="A1007">
            <v>23855607</v>
          </cell>
          <cell r="B1007" t="str">
            <v>ALVARADO NIÑO YAMILE EDELMIRA</v>
          </cell>
          <cell r="C1007" t="str">
            <v>Paipa</v>
          </cell>
          <cell r="D1007" t="str">
            <v>Paipa</v>
          </cell>
          <cell r="F1007" t="str">
            <v>consul_empresarial@yahoo.es</v>
          </cell>
        </row>
        <row r="1008">
          <cell r="A1008">
            <v>23857349</v>
          </cell>
          <cell r="B1008" t="str">
            <v>BONILLA PATARROYO MARIA EUGENIA</v>
          </cell>
          <cell r="C1008" t="str">
            <v>Paipa</v>
          </cell>
          <cell r="D1008" t="str">
            <v>Paipa</v>
          </cell>
          <cell r="F1008" t="str">
            <v>mariaeubonilla@hotmail.com</v>
          </cell>
        </row>
        <row r="1009">
          <cell r="A1009">
            <v>30275855</v>
          </cell>
          <cell r="B1009" t="str">
            <v>JARAMILLO  ALBA</v>
          </cell>
          <cell r="C1009" t="str">
            <v>Paipa</v>
          </cell>
          <cell r="D1009" t="str">
            <v>Paipa</v>
          </cell>
          <cell r="F1009" t="str">
            <v>albalujapa@yahoo.es</v>
          </cell>
        </row>
        <row r="1010">
          <cell r="A1010">
            <v>40020048</v>
          </cell>
          <cell r="B1010" t="str">
            <v>LEAL BLANCO ALBA LUCIA</v>
          </cell>
          <cell r="C1010" t="str">
            <v>Paipa</v>
          </cell>
          <cell r="D1010" t="str">
            <v>Paipa</v>
          </cell>
          <cell r="F1010" t="str">
            <v>albalucialeal@gmail.com</v>
          </cell>
        </row>
        <row r="1011">
          <cell r="A1011">
            <v>46669470</v>
          </cell>
          <cell r="B1011" t="str">
            <v>LARROTTA RODRIGUEZ SANDRA ZULIETH</v>
          </cell>
          <cell r="C1011" t="str">
            <v>Paipa</v>
          </cell>
          <cell r="D1011" t="str">
            <v>Paipa</v>
          </cell>
          <cell r="F1011" t="str">
            <v>sandralarotta@hotmail.com</v>
          </cell>
        </row>
        <row r="1012">
          <cell r="A1012">
            <v>46674497</v>
          </cell>
          <cell r="B1012" t="str">
            <v>ARCHILA CAMARGO NUBIA YANETH</v>
          </cell>
          <cell r="C1012" t="str">
            <v>Paipa</v>
          </cell>
          <cell r="D1012" t="str">
            <v>Paipa</v>
          </cell>
          <cell r="F1012" t="str">
            <v>nubisarchila@gmail.com</v>
          </cell>
        </row>
        <row r="1013">
          <cell r="A1013">
            <v>47438769</v>
          </cell>
          <cell r="B1013" t="str">
            <v>CARDENAS FUENTES YASMIN YASMIN</v>
          </cell>
          <cell r="C1013" t="str">
            <v>Paipa</v>
          </cell>
          <cell r="D1013" t="str">
            <v>Paipa</v>
          </cell>
          <cell r="F1013" t="str">
            <v>jasmincardenas962@gmail.com</v>
          </cell>
        </row>
        <row r="1014">
          <cell r="A1014">
            <v>51590334</v>
          </cell>
          <cell r="B1014" t="str">
            <v>CAMACHO  BERTHILDA CIFUENTES</v>
          </cell>
          <cell r="C1014" t="str">
            <v>Paipa</v>
          </cell>
          <cell r="D1014" t="str">
            <v>Paipa</v>
          </cell>
          <cell r="F1014" t="str">
            <v>bethicifu@gmail.com</v>
          </cell>
        </row>
        <row r="1015">
          <cell r="A1015">
            <v>51594080</v>
          </cell>
          <cell r="B1015" t="str">
            <v>ARCHILA GOMEZ CLAUDIA JEANNETTE</v>
          </cell>
          <cell r="C1015" t="str">
            <v>Paipa</v>
          </cell>
          <cell r="D1015" t="str">
            <v>Paipa</v>
          </cell>
          <cell r="F1015" t="str">
            <v>cjarchila@hotmail.com</v>
          </cell>
        </row>
        <row r="1016">
          <cell r="A1016">
            <v>51836730</v>
          </cell>
          <cell r="B1016" t="str">
            <v>HURTADO  BERENICE PATIÑO</v>
          </cell>
          <cell r="C1016" t="str">
            <v>Paipa</v>
          </cell>
          <cell r="D1016" t="str">
            <v>Paipa</v>
          </cell>
          <cell r="F1016" t="str">
            <v>berephurtado@hotmail.com</v>
          </cell>
        </row>
        <row r="1017">
          <cell r="A1017">
            <v>51864389</v>
          </cell>
          <cell r="B1017" t="str">
            <v>GRISALES BELTRAN LUZ DARY</v>
          </cell>
          <cell r="C1017" t="str">
            <v>Paipa</v>
          </cell>
          <cell r="D1017" t="str">
            <v>Paipa</v>
          </cell>
          <cell r="F1017" t="str">
            <v>luzdagb30@gmail.com</v>
          </cell>
        </row>
        <row r="1018">
          <cell r="A1018">
            <v>63296937</v>
          </cell>
          <cell r="B1018" t="str">
            <v>SANDOVAL  OFELIA CAMACHO</v>
          </cell>
          <cell r="C1018" t="str">
            <v>Paipa</v>
          </cell>
          <cell r="D1018" t="str">
            <v>Paipa</v>
          </cell>
          <cell r="F1018" t="str">
            <v>ocasa19@yahoo.es</v>
          </cell>
        </row>
        <row r="1019">
          <cell r="A1019">
            <v>74183798</v>
          </cell>
          <cell r="B1019" t="str">
            <v>PAMPLONA TAMAYO WILNER SAUL</v>
          </cell>
          <cell r="C1019" t="str">
            <v>Paipa</v>
          </cell>
          <cell r="D1019" t="str">
            <v>Paipa</v>
          </cell>
          <cell r="F1019" t="str">
            <v>wisapata@gmail.com</v>
          </cell>
        </row>
        <row r="1020">
          <cell r="A1020">
            <v>74323466</v>
          </cell>
          <cell r="B1020" t="str">
            <v>ALBA BENAVIDES LUIS ALFONSO</v>
          </cell>
          <cell r="C1020" t="str">
            <v>Paipa</v>
          </cell>
          <cell r="D1020" t="str">
            <v>Paipa</v>
          </cell>
          <cell r="F1020" t="str">
            <v>albabenavidesluisalfonso@gmail.com</v>
          </cell>
        </row>
        <row r="1021">
          <cell r="A1021">
            <v>74334163</v>
          </cell>
          <cell r="B1021" t="str">
            <v>AVILA FONSECA JOSE FABIAN</v>
          </cell>
          <cell r="C1021" t="str">
            <v>Paipa</v>
          </cell>
          <cell r="D1021" t="str">
            <v>Paipa</v>
          </cell>
          <cell r="F1021" t="str">
            <v>ligiaimelda77@gmail.com</v>
          </cell>
        </row>
        <row r="1022">
          <cell r="A1022">
            <v>901162983</v>
          </cell>
          <cell r="B1022" t="str">
            <v>REINA MARIA IPS SAS</v>
          </cell>
          <cell r="C1022" t="str">
            <v>Duitama</v>
          </cell>
          <cell r="D1022" t="str">
            <v>CR 16 14-54</v>
          </cell>
          <cell r="F1022" t="str">
            <v>reinamariaips206@gmail.com</v>
          </cell>
        </row>
        <row r="1023">
          <cell r="A1023">
            <v>74380529</v>
          </cell>
          <cell r="B1023" t="str">
            <v>GARAVITO ROMERO FERNANDO FERNANDO</v>
          </cell>
          <cell r="C1023" t="str">
            <v>Paipa</v>
          </cell>
          <cell r="D1023" t="str">
            <v>Paipa</v>
          </cell>
          <cell r="F1023" t="str">
            <v>fe.cecolcea@gmail.com</v>
          </cell>
        </row>
        <row r="1024">
          <cell r="A1024">
            <v>79309758</v>
          </cell>
          <cell r="B1024" t="str">
            <v>CARDENAS NOVA ANTONIO ANTONIO</v>
          </cell>
          <cell r="C1024" t="str">
            <v>Paipa</v>
          </cell>
          <cell r="D1024" t="str">
            <v>Paipa</v>
          </cell>
          <cell r="F1024" t="str">
            <v>contabilidad@antoniopeluquerias.com</v>
          </cell>
        </row>
        <row r="1025">
          <cell r="A1025">
            <v>79383149</v>
          </cell>
          <cell r="B1025" t="str">
            <v>LOPEZ ROJAS CARLOS YESID</v>
          </cell>
          <cell r="C1025" t="str">
            <v>Paipa</v>
          </cell>
          <cell r="D1025" t="str">
            <v>Paipa</v>
          </cell>
          <cell r="F1025" t="str">
            <v>profecarloslpz@gmail.com</v>
          </cell>
        </row>
        <row r="1026">
          <cell r="A1026">
            <v>79580293</v>
          </cell>
          <cell r="B1026" t="str">
            <v>GARAVITO  JOSÉ EMILIO</v>
          </cell>
          <cell r="C1026" t="str">
            <v>Paipa</v>
          </cell>
          <cell r="D1026" t="str">
            <v>Paipa</v>
          </cell>
          <cell r="F1026" t="str">
            <v>jose.egaravito@gmail.com</v>
          </cell>
        </row>
        <row r="1027">
          <cell r="A1027">
            <v>80216856</v>
          </cell>
          <cell r="B1027" t="str">
            <v>FLOREZ CORSO DIEGO FERNANDO</v>
          </cell>
          <cell r="C1027" t="str">
            <v>Paipa</v>
          </cell>
          <cell r="D1027" t="str">
            <v>Paipa</v>
          </cell>
          <cell r="F1027" t="str">
            <v>diegoflorezc@gmail.com</v>
          </cell>
        </row>
        <row r="1028">
          <cell r="A1028">
            <v>80498472</v>
          </cell>
          <cell r="B1028" t="str">
            <v>QUEVEDO CRUZ HAWER ANDRES</v>
          </cell>
          <cell r="C1028" t="str">
            <v>Paipa</v>
          </cell>
          <cell r="D1028" t="str">
            <v>Paipa</v>
          </cell>
          <cell r="F1028" t="str">
            <v>hawars@hotmail.com</v>
          </cell>
        </row>
        <row r="1029">
          <cell r="A1029">
            <v>80819674</v>
          </cell>
          <cell r="B1029" t="str">
            <v>OBREGON GUEVARA GIOVANNY ANDRES</v>
          </cell>
          <cell r="C1029" t="str">
            <v>Paipa</v>
          </cell>
          <cell r="D1029" t="str">
            <v>Paipa</v>
          </cell>
          <cell r="F1029" t="str">
            <v>giovanny3186@gmail.com</v>
          </cell>
        </row>
        <row r="1030">
          <cell r="A1030">
            <v>86011792</v>
          </cell>
          <cell r="B1030" t="str">
            <v>CUTIVA VILLADA EDWIN ANDRES</v>
          </cell>
          <cell r="C1030" t="str">
            <v>Paipa</v>
          </cell>
          <cell r="D1030" t="str">
            <v>Paipa</v>
          </cell>
          <cell r="F1030" t="str">
            <v>ecutiva@hotmail.com</v>
          </cell>
        </row>
        <row r="1031">
          <cell r="A1031">
            <v>88032835</v>
          </cell>
          <cell r="B1031" t="str">
            <v>RINCON  OBANDO TARAZONA</v>
          </cell>
          <cell r="C1031" t="str">
            <v>Paipa</v>
          </cell>
          <cell r="D1031" t="str">
            <v>Paipa</v>
          </cell>
          <cell r="F1031" t="str">
            <v>obandotari@gmail.com</v>
          </cell>
        </row>
        <row r="1032">
          <cell r="A1032">
            <v>91421246</v>
          </cell>
          <cell r="B1032" t="str">
            <v>ALEMAN  ALEX</v>
          </cell>
          <cell r="C1032" t="str">
            <v>Paipa</v>
          </cell>
          <cell r="D1032" t="str">
            <v>Paipa</v>
          </cell>
          <cell r="F1032" t="str">
            <v>aaleman63@yahoo.ca</v>
          </cell>
        </row>
        <row r="1033">
          <cell r="A1033">
            <v>1002458327</v>
          </cell>
          <cell r="B1033" t="str">
            <v>VARGAS CONTRERAS WILMER JESUS</v>
          </cell>
          <cell r="C1033" t="str">
            <v>Paipa</v>
          </cell>
          <cell r="D1033" t="str">
            <v>Paipa</v>
          </cell>
          <cell r="F1033" t="str">
            <v>wilmerjesusvargascontreras@gmail.com</v>
          </cell>
        </row>
        <row r="1034">
          <cell r="A1034">
            <v>1015392785</v>
          </cell>
          <cell r="B1034" t="str">
            <v>TRIANA CHACON DIDIER ADOLFO</v>
          </cell>
          <cell r="C1034" t="str">
            <v>Paipa</v>
          </cell>
          <cell r="D1034" t="str">
            <v>Paipa</v>
          </cell>
          <cell r="F1034" t="str">
            <v>ditrianaca@hotmail.com</v>
          </cell>
        </row>
        <row r="1035">
          <cell r="A1035">
            <v>1023950757</v>
          </cell>
          <cell r="B1035" t="str">
            <v>REINA PAIPA ANDRES ESTIVEN</v>
          </cell>
          <cell r="C1035" t="str">
            <v>Paipa</v>
          </cell>
          <cell r="D1035" t="str">
            <v>Paipa</v>
          </cell>
          <cell r="F1035" t="str">
            <v>dis.arquitectonico.col@gmail.com</v>
          </cell>
        </row>
        <row r="1036">
          <cell r="A1036">
            <v>1037586095</v>
          </cell>
          <cell r="B1036" t="str">
            <v>ROJAS QUESADA VICTOR MAURICIO</v>
          </cell>
          <cell r="C1036" t="str">
            <v>Paipa</v>
          </cell>
          <cell r="D1036" t="str">
            <v>Paipa</v>
          </cell>
          <cell r="F1036" t="str">
            <v>vimaro198823@gmail.com</v>
          </cell>
        </row>
        <row r="1037">
          <cell r="A1037">
            <v>1049634662</v>
          </cell>
          <cell r="B1037" t="str">
            <v>BUITRAGO RODRIGUEZ FABER MARTIN</v>
          </cell>
          <cell r="C1037" t="str">
            <v>Paipa</v>
          </cell>
          <cell r="D1037" t="str">
            <v>Paipa</v>
          </cell>
          <cell r="F1037" t="str">
            <v>fabermartin93@gmail.com</v>
          </cell>
        </row>
        <row r="1038">
          <cell r="A1038">
            <v>800256769</v>
          </cell>
          <cell r="B1038" t="str">
            <v>PATRIMONIOS AUTONOMOS FIDUCIARIA CORFICOLOMBIANA S A</v>
          </cell>
          <cell r="C1038" t="str">
            <v>Bogota D.C.</v>
          </cell>
          <cell r="D1038" t="str">
            <v>BOGOTA</v>
          </cell>
          <cell r="F1038" t="str">
            <v>masivos.fiduciaria@fiduciariacorficolombiana.com</v>
          </cell>
        </row>
        <row r="1039">
          <cell r="A1039">
            <v>79748756</v>
          </cell>
          <cell r="B1039" t="str">
            <v>OCAMPO GIRALDO WILLIAM ALBERTO</v>
          </cell>
          <cell r="C1039" t="str">
            <v>Bogota D.C.</v>
          </cell>
          <cell r="D1039" t="str">
            <v>AVDA JIMENEZ N 9 59 LC 12</v>
          </cell>
        </row>
        <row r="1040">
          <cell r="A1040">
            <v>900957087</v>
          </cell>
          <cell r="B1040" t="str">
            <v>LR INGENERIAS SAS</v>
          </cell>
          <cell r="C1040" t="str">
            <v>Paipa</v>
          </cell>
          <cell r="D1040" t="str">
            <v>CALLE 12 NJ 2-49</v>
          </cell>
          <cell r="F1040" t="str">
            <v>contabilidadlringenierias@hotmail.com</v>
          </cell>
        </row>
        <row r="1041">
          <cell r="A1041">
            <v>900593057</v>
          </cell>
          <cell r="B1041" t="str">
            <v>CREAR Y PROYECTAR</v>
          </cell>
          <cell r="C1041" t="str">
            <v>Duitama</v>
          </cell>
          <cell r="D1041" t="str">
            <v>CARRERA 74A N 51A-85</v>
          </cell>
          <cell r="F1041" t="str">
            <v>crearyproyectaringenieria@gmail.com</v>
          </cell>
        </row>
        <row r="1042">
          <cell r="A1042">
            <v>7708364</v>
          </cell>
          <cell r="B1042" t="str">
            <v>JAVIER BARRERA</v>
          </cell>
          <cell r="C1042" t="str">
            <v>Duitama</v>
          </cell>
          <cell r="D1042" t="str">
            <v>SANTA ROSA</v>
          </cell>
          <cell r="F1042" t="str">
            <v>javierbarreracely24@gmail.com</v>
          </cell>
        </row>
        <row r="1043">
          <cell r="A1043">
            <v>74365730</v>
          </cell>
          <cell r="B1043" t="str">
            <v>DALLOS MANRIQUE CAMPO ANIBAL</v>
          </cell>
          <cell r="C1043" t="str">
            <v>Paipa</v>
          </cell>
          <cell r="D1043" t="str">
            <v>VERREDA LLANO GRANDE</v>
          </cell>
        </row>
        <row r="1044">
          <cell r="A1044">
            <v>901352984</v>
          </cell>
          <cell r="B1044" t="str">
            <v>SOLUCIONES EN LUBRICACION SAS</v>
          </cell>
          <cell r="C1044" t="str">
            <v>Bogota D.C.</v>
          </cell>
          <cell r="D1044" t="str">
            <v>CL 31 SUR 50 A 15</v>
          </cell>
          <cell r="F1044" t="str">
            <v>solubsas@gmail.com</v>
          </cell>
        </row>
        <row r="1045">
          <cell r="A1045">
            <v>79442906</v>
          </cell>
          <cell r="B1045" t="str">
            <v>LÓPEZ BOLIVAR ANTONIO ANTONIO</v>
          </cell>
          <cell r="C1045" t="str">
            <v>Paipa</v>
          </cell>
          <cell r="D1045" t="str">
            <v>Paipa</v>
          </cell>
          <cell r="F1045" t="str">
            <v>j.antoniolb@hotmail.com</v>
          </cell>
        </row>
        <row r="1046">
          <cell r="A1046">
            <v>20064874</v>
          </cell>
          <cell r="B1046" t="str">
            <v>LÓPEZ  DE VILLAMIL HILDA DEL CARMEN</v>
          </cell>
          <cell r="C1046" t="str">
            <v>Paipa</v>
          </cell>
          <cell r="D1046" t="str">
            <v>Paipa</v>
          </cell>
          <cell r="F1046" t="str">
            <v>lizvillamil77@hotmail.com</v>
          </cell>
        </row>
        <row r="1047">
          <cell r="A1047">
            <v>74359597</v>
          </cell>
          <cell r="B1047" t="str">
            <v>GARCIA  SEGUNDO</v>
          </cell>
          <cell r="C1047" t="str">
            <v>Paipa</v>
          </cell>
          <cell r="D1047" t="str">
            <v>Paipa</v>
          </cell>
          <cell r="F1047" t="str">
            <v>euclidesgl@hotmail.com</v>
          </cell>
        </row>
        <row r="1048">
          <cell r="A1048">
            <v>23856732</v>
          </cell>
          <cell r="B1048" t="str">
            <v>FONSECA CORONADO MARIA TRANSITO</v>
          </cell>
          <cell r="C1048" t="str">
            <v>Paipa</v>
          </cell>
          <cell r="D1048" t="str">
            <v>Paipa</v>
          </cell>
          <cell r="F1048" t="str">
            <v>maria.fonsecacoronado68@gmail.com</v>
          </cell>
        </row>
        <row r="1049">
          <cell r="A1049">
            <v>74130573</v>
          </cell>
          <cell r="B1049" t="str">
            <v>OCHOA SANABRIA GEOVANNY</v>
          </cell>
          <cell r="C1049" t="str">
            <v>Paipa</v>
          </cell>
          <cell r="D1049" t="str">
            <v>Paipa</v>
          </cell>
          <cell r="F1049" t="str">
            <v>geocsa@hotmail.com</v>
          </cell>
        </row>
        <row r="1050">
          <cell r="A1050">
            <v>900349841</v>
          </cell>
          <cell r="B1050" t="str">
            <v>TECNOLOGÍAS SINERGIA SAS</v>
          </cell>
          <cell r="C1050" t="str">
            <v>Paipa</v>
          </cell>
          <cell r="D1050" t="str">
            <v>Paipa</v>
          </cell>
          <cell r="F1050" t="str">
            <v>contador@sinergiaonline.com</v>
          </cell>
        </row>
        <row r="1051">
          <cell r="A1051">
            <v>74323291</v>
          </cell>
          <cell r="B1051" t="str">
            <v>PEDRAZA BRIJALDO JULIO HERNANDO</v>
          </cell>
          <cell r="C1051" t="str">
            <v>Paipa</v>
          </cell>
          <cell r="D1051" t="str">
            <v>Paipa</v>
          </cell>
          <cell r="F1051" t="str">
            <v>pjuliohernando@gmail.com</v>
          </cell>
        </row>
        <row r="1052">
          <cell r="A1052">
            <v>7180482</v>
          </cell>
          <cell r="B1052" t="str">
            <v>MORA GARCIA WILSON FREDY</v>
          </cell>
          <cell r="C1052" t="str">
            <v>Paipa</v>
          </cell>
          <cell r="D1052" t="str">
            <v>Paipa</v>
          </cell>
          <cell r="F1052" t="str">
            <v>moratto.bistro@gmail.com</v>
          </cell>
        </row>
        <row r="1053">
          <cell r="A1053">
            <v>901187329</v>
          </cell>
          <cell r="B1053" t="str">
            <v>CLINICAL SOLUTIONS ASESORES S.A.S</v>
          </cell>
          <cell r="C1053" t="str">
            <v>Paipa</v>
          </cell>
          <cell r="D1053" t="str">
            <v>Paipa</v>
          </cell>
          <cell r="F1053" t="str">
            <v>facturacioncs@recepcion.alegra.com</v>
          </cell>
        </row>
        <row r="1054">
          <cell r="A1054">
            <v>900756221</v>
          </cell>
          <cell r="B1054" t="str">
            <v>CAMACHO ESTUDIO DE ARQUITECTURA SAS</v>
          </cell>
          <cell r="C1054" t="str">
            <v>Paipa</v>
          </cell>
          <cell r="D1054" t="str">
            <v>Paipa</v>
          </cell>
          <cell r="F1054" t="str">
            <v>camacho.arquitectura@gmail.com</v>
          </cell>
        </row>
        <row r="1055">
          <cell r="A1055">
            <v>900324992</v>
          </cell>
          <cell r="B1055" t="str">
            <v>MOCIÓN SAS</v>
          </cell>
          <cell r="C1055" t="str">
            <v>Paipa</v>
          </cell>
          <cell r="D1055" t="str">
            <v>Paipa</v>
          </cell>
          <cell r="F1055" t="str">
            <v>contabilidad@mocion.com.co</v>
          </cell>
        </row>
        <row r="1056">
          <cell r="A1056">
            <v>23322338</v>
          </cell>
          <cell r="B1056" t="str">
            <v>DANUR PEREA DE ROJAS LUZ MAGDA</v>
          </cell>
          <cell r="C1056" t="str">
            <v>Paipa</v>
          </cell>
          <cell r="D1056" t="str">
            <v>Paipa</v>
          </cell>
          <cell r="F1056" t="str">
            <v>arojascalderon@gmail.com</v>
          </cell>
        </row>
        <row r="1057">
          <cell r="A1057">
            <v>1052391988</v>
          </cell>
          <cell r="B1057" t="str">
            <v>PIZA CASTILLO ANGELO ANTONIO</v>
          </cell>
          <cell r="C1057" t="str">
            <v>Paipa</v>
          </cell>
          <cell r="D1057" t="str">
            <v>Paipa</v>
          </cell>
          <cell r="F1057" t="str">
            <v>angelopizac@hotmail.es</v>
          </cell>
        </row>
        <row r="1058">
          <cell r="A1058">
            <v>900374721</v>
          </cell>
          <cell r="B1058" t="str">
            <v>MDC MOVILES DE CARGA SAS</v>
          </cell>
          <cell r="C1058" t="str">
            <v>Paipa</v>
          </cell>
          <cell r="D1058" t="str">
            <v>Paipa</v>
          </cell>
          <cell r="F1058" t="str">
            <v>mdcmovilesdecarga@gmail.com</v>
          </cell>
        </row>
        <row r="1059">
          <cell r="A1059">
            <v>900319291</v>
          </cell>
          <cell r="B1059" t="str">
            <v>ASOPAGOS SA</v>
          </cell>
          <cell r="C1059" t="str">
            <v>Bogota D.C.</v>
          </cell>
          <cell r="D1059" t="str">
            <v>CLL 66 7 18</v>
          </cell>
          <cell r="F1059" t="str">
            <v>asopagos@asopagos.com</v>
          </cell>
        </row>
        <row r="1060">
          <cell r="A1060">
            <v>74360610</v>
          </cell>
          <cell r="B1060" t="str">
            <v>FARFAN ORTIZ ALEJANDRO ARTURO</v>
          </cell>
          <cell r="C1060" t="str">
            <v>Paipa</v>
          </cell>
          <cell r="D1060" t="str">
            <v>CR 22 N 22 79</v>
          </cell>
          <cell r="F1060" t="str">
            <v>turistica@otlook.com</v>
          </cell>
        </row>
        <row r="1061">
          <cell r="A1061">
            <v>826001095</v>
          </cell>
          <cell r="B1061" t="str">
            <v>CONSTRUCCIONES Y MONTAJES ELÉCTRICO</v>
          </cell>
          <cell r="C1061" t="str">
            <v>Paipa</v>
          </cell>
          <cell r="D1061" t="str">
            <v>Paipa</v>
          </cell>
          <cell r="F1061" t="str">
            <v>constmontmoreno@yahoo.es</v>
          </cell>
        </row>
        <row r="1062">
          <cell r="A1062">
            <v>901749037</v>
          </cell>
          <cell r="B1062" t="str">
            <v>HERMANOS PP SAS</v>
          </cell>
          <cell r="C1062" t="str">
            <v>Paipa</v>
          </cell>
          <cell r="D1062" t="str">
            <v>Paipa</v>
          </cell>
          <cell r="F1062" t="str">
            <v>mercadocardozo@gmail.com</v>
          </cell>
        </row>
        <row r="1063">
          <cell r="A1063">
            <v>901836998</v>
          </cell>
          <cell r="B1063" t="str">
            <v>TEAM VILLA DEL ROSARIO BMX</v>
          </cell>
          <cell r="C1063" t="str">
            <v>Paipa</v>
          </cell>
          <cell r="D1063" t="str">
            <v>Paipa</v>
          </cell>
          <cell r="F1063" t="str">
            <v>teamvilladelrosariobmx@gmail.com</v>
          </cell>
        </row>
        <row r="1064">
          <cell r="A1064">
            <v>804011804</v>
          </cell>
          <cell r="B1064" t="str">
            <v>COPOWER LTDA</v>
          </cell>
          <cell r="C1064" t="str">
            <v>Paipa</v>
          </cell>
          <cell r="D1064" t="str">
            <v>Paipa</v>
          </cell>
          <cell r="F1064" t="str">
            <v>facturacionelectronica@copower.com.co</v>
          </cell>
        </row>
        <row r="1065">
          <cell r="A1065">
            <v>826002881</v>
          </cell>
          <cell r="B1065" t="str">
            <v>TRANSPORTES BENAVIDES SAS EN REESTR</v>
          </cell>
          <cell r="C1065" t="str">
            <v>Paipa</v>
          </cell>
          <cell r="D1065" t="str">
            <v>Paipa</v>
          </cell>
          <cell r="F1065" t="str">
            <v>contabilidad@transbenavides.com.co</v>
          </cell>
        </row>
        <row r="1066">
          <cell r="A1066">
            <v>900559782</v>
          </cell>
          <cell r="B1066" t="str">
            <v>INVERSIONES NEW OLEANS INTERNATIONA</v>
          </cell>
          <cell r="C1066" t="str">
            <v>Paipa</v>
          </cell>
          <cell r="D1066" t="str">
            <v>Paipa</v>
          </cell>
          <cell r="F1066" t="str">
            <v>trigoscontabilidad@gmail.com</v>
          </cell>
        </row>
        <row r="1067">
          <cell r="A1067">
            <v>901102011</v>
          </cell>
          <cell r="B1067" t="str">
            <v>LEONARDO PACHECO SAS</v>
          </cell>
          <cell r="C1067" t="str">
            <v>Paipa</v>
          </cell>
          <cell r="D1067" t="str">
            <v>Paipa</v>
          </cell>
          <cell r="F1067" t="str">
            <v>ivanleonardopacheco@gmail.com</v>
          </cell>
        </row>
        <row r="1068">
          <cell r="A1068">
            <v>901710303</v>
          </cell>
          <cell r="B1068" t="str">
            <v>LEAF LABS</v>
          </cell>
          <cell r="C1068" t="str">
            <v>Paipa</v>
          </cell>
          <cell r="D1068" t="str">
            <v>Paipa</v>
          </cell>
          <cell r="F1068" t="str">
            <v>sebastian.roa@live.com</v>
          </cell>
        </row>
        <row r="1069">
          <cell r="A1069">
            <v>901523946</v>
          </cell>
          <cell r="B1069" t="str">
            <v>INGENIERÍA Y CONSTRUCCIÓN GREENSOLU</v>
          </cell>
          <cell r="C1069" t="str">
            <v>Paipa</v>
          </cell>
          <cell r="D1069" t="str">
            <v>Paipa</v>
          </cell>
          <cell r="F1069" t="str">
            <v>greensolutionsas01@gmail.com</v>
          </cell>
        </row>
        <row r="1070">
          <cell r="A1070">
            <v>901587894</v>
          </cell>
          <cell r="B1070" t="str">
            <v>IDEARK DISEÑO CONSULTORIA Y CONSTRU</v>
          </cell>
          <cell r="C1070" t="str">
            <v>Paipa</v>
          </cell>
          <cell r="D1070" t="str">
            <v>Paipa</v>
          </cell>
          <cell r="F1070" t="str">
            <v>ideark01ideark@gmail.com</v>
          </cell>
        </row>
        <row r="1071">
          <cell r="A1071">
            <v>860501968</v>
          </cell>
          <cell r="B1071" t="str">
            <v>VILLEGAS Y VILLEGAS IVEGAS SAS</v>
          </cell>
          <cell r="C1071" t="str">
            <v>Paipa</v>
          </cell>
          <cell r="D1071" t="str">
            <v>Paipa</v>
          </cell>
          <cell r="F1071" t="str">
            <v>contador@ivegas.com.co</v>
          </cell>
        </row>
        <row r="1072">
          <cell r="A1072">
            <v>901769795</v>
          </cell>
          <cell r="B1072" t="str">
            <v>KYMAD REDES ELECTRICAS SAS</v>
          </cell>
          <cell r="C1072" t="str">
            <v>Paipa</v>
          </cell>
          <cell r="D1072" t="str">
            <v>Paipa</v>
          </cell>
          <cell r="F1072" t="str">
            <v>kymad432sas@gmail.com</v>
          </cell>
        </row>
        <row r="1073">
          <cell r="A1073">
            <v>901635085</v>
          </cell>
          <cell r="B1073" t="str">
            <v>SIN REPORTES Y SOLUCIONES SAS</v>
          </cell>
          <cell r="C1073" t="str">
            <v>Paipa</v>
          </cell>
          <cell r="D1073" t="str">
            <v>Paipa</v>
          </cell>
          <cell r="F1073" t="str">
            <v>sinreportessas@hotmail.com</v>
          </cell>
        </row>
        <row r="1074">
          <cell r="A1074">
            <v>900698034</v>
          </cell>
          <cell r="B1074" t="str">
            <v>SEINTMA SAS</v>
          </cell>
          <cell r="C1074" t="str">
            <v>Paipa</v>
          </cell>
          <cell r="D1074" t="str">
            <v>Paipa</v>
          </cell>
          <cell r="F1074" t="str">
            <v>facturacion@seintma.com</v>
          </cell>
        </row>
        <row r="1075">
          <cell r="A1075">
            <v>900236840</v>
          </cell>
          <cell r="B1075" t="str">
            <v>CONSTRUCTORA AMAVIA</v>
          </cell>
          <cell r="C1075" t="str">
            <v>Paipa</v>
          </cell>
          <cell r="D1075" t="str">
            <v>Paipa</v>
          </cell>
          <cell r="F1075" t="str">
            <v>contabilidad@amavia.com.co</v>
          </cell>
        </row>
        <row r="1076">
          <cell r="A1076">
            <v>900527827</v>
          </cell>
          <cell r="B1076" t="str">
            <v>SIMMO INGENIEROS SAS</v>
          </cell>
          <cell r="C1076" t="str">
            <v>Paipa</v>
          </cell>
          <cell r="D1076" t="str">
            <v>Paipa</v>
          </cell>
          <cell r="F1076" t="str">
            <v>johanamacana@hotmail.com</v>
          </cell>
        </row>
        <row r="1077">
          <cell r="A1077">
            <v>900565420</v>
          </cell>
          <cell r="B1077" t="str">
            <v>NUTRIR AGENTE COMERCIAL SAS BIC</v>
          </cell>
          <cell r="C1077" t="str">
            <v>Paipa</v>
          </cell>
          <cell r="D1077" t="str">
            <v>Paipa</v>
          </cell>
          <cell r="F1077" t="str">
            <v>nutrirac@hotmail.com</v>
          </cell>
        </row>
        <row r="1078">
          <cell r="A1078">
            <v>826003764</v>
          </cell>
          <cell r="B1078" t="str">
            <v>OUTSOURCING ORIENTE SAS</v>
          </cell>
          <cell r="C1078" t="str">
            <v>Paipa</v>
          </cell>
          <cell r="D1078" t="str">
            <v>Paipa</v>
          </cell>
          <cell r="F1078" t="str">
            <v>outsourcingorientesas764@gmail.com</v>
          </cell>
        </row>
        <row r="1079">
          <cell r="A1079">
            <v>900624096</v>
          </cell>
          <cell r="B1079" t="str">
            <v>TRADECORP COLOMBIA SAS</v>
          </cell>
          <cell r="C1079" t="str">
            <v>Paipa</v>
          </cell>
          <cell r="D1079" t="str">
            <v>Paipa</v>
          </cell>
          <cell r="F1079" t="str">
            <v>karen.martinez@rovensanext.com</v>
          </cell>
        </row>
        <row r="1080">
          <cell r="A1080">
            <v>37746243</v>
          </cell>
          <cell r="B1080" t="str">
            <v>GARCIA  MAGALY MONTAGUT</v>
          </cell>
          <cell r="C1080" t="str">
            <v>Paipa</v>
          </cell>
          <cell r="D1080" t="str">
            <v>Paipa</v>
          </cell>
          <cell r="F1080" t="str">
            <v>magalymontagut@hotmail.com</v>
          </cell>
        </row>
        <row r="1081">
          <cell r="A1081">
            <v>7222318</v>
          </cell>
          <cell r="B1081" t="str">
            <v>LIZARAZO RINCON GERMAN URIEL</v>
          </cell>
          <cell r="C1081" t="str">
            <v>Paipa</v>
          </cell>
          <cell r="D1081" t="str">
            <v>Paipa</v>
          </cell>
          <cell r="F1081" t="str">
            <v>germanlizarazo@hotmail.com</v>
          </cell>
        </row>
        <row r="1082">
          <cell r="A1082">
            <v>80399123</v>
          </cell>
          <cell r="B1082" t="str">
            <v>ORTEGA CASTAÑEDA SERGIO ENRIQUE</v>
          </cell>
          <cell r="C1082" t="str">
            <v>Paipa</v>
          </cell>
          <cell r="D1082" t="str">
            <v>Paipa</v>
          </cell>
          <cell r="F1082" t="str">
            <v>tallerdearteintegralso@gmail.com</v>
          </cell>
        </row>
        <row r="1083">
          <cell r="A1083">
            <v>1057588107</v>
          </cell>
          <cell r="B1083" t="str">
            <v>ESPINEL LOPEZ JULIAN GERARDO</v>
          </cell>
          <cell r="C1083" t="str">
            <v>Paipa</v>
          </cell>
          <cell r="D1083" t="str">
            <v>Paipa</v>
          </cell>
          <cell r="F1083" t="str">
            <v>julianespinel07@gmail.com</v>
          </cell>
        </row>
        <row r="1084">
          <cell r="A1084">
            <v>5967789</v>
          </cell>
          <cell r="B1084" t="str">
            <v>LOZANO  TITO GARATEJO</v>
          </cell>
          <cell r="C1084" t="str">
            <v>Paipa</v>
          </cell>
          <cell r="D1084" t="str">
            <v>Paipa</v>
          </cell>
          <cell r="F1084" t="str">
            <v>garatejotito1959@gmail.com</v>
          </cell>
        </row>
        <row r="1085">
          <cell r="A1085">
            <v>23914412</v>
          </cell>
          <cell r="B1085" t="str">
            <v>AVELLANEDA MOSQUERA DIANA PATRICIA</v>
          </cell>
          <cell r="C1085" t="str">
            <v>Paipa</v>
          </cell>
          <cell r="D1085" t="str">
            <v>Paipa</v>
          </cell>
          <cell r="F1085" t="str">
            <v>dianis2790@hotmail.com</v>
          </cell>
        </row>
        <row r="1086">
          <cell r="A1086">
            <v>1053607233</v>
          </cell>
          <cell r="B1086" t="str">
            <v>CAMARGO SÁNCHEZ YEISON FABIAN</v>
          </cell>
          <cell r="C1086" t="str">
            <v>Paipa</v>
          </cell>
          <cell r="D1086" t="str">
            <v>Paipa</v>
          </cell>
          <cell r="F1086" t="str">
            <v>yeisonfcamargo@hotmail.com</v>
          </cell>
        </row>
        <row r="1087">
          <cell r="A1087">
            <v>74360586</v>
          </cell>
          <cell r="B1087" t="str">
            <v>MATEUS PULIDO NESTOR EMILIO</v>
          </cell>
          <cell r="C1087" t="str">
            <v>Paipa</v>
          </cell>
          <cell r="D1087" t="str">
            <v>Paipa</v>
          </cell>
          <cell r="F1087" t="str">
            <v>nestormateus1979@hotmail.com</v>
          </cell>
        </row>
        <row r="1088">
          <cell r="A1088">
            <v>74323615</v>
          </cell>
          <cell r="B1088" t="str">
            <v>ROJAS GONZALES JUAN</v>
          </cell>
          <cell r="C1088" t="str">
            <v>Paipa</v>
          </cell>
          <cell r="D1088" t="str">
            <v>Paipa</v>
          </cell>
          <cell r="F1088" t="str">
            <v>inmobiliariajjrojas@yahoo.com</v>
          </cell>
        </row>
        <row r="1089">
          <cell r="A1089">
            <v>74130919</v>
          </cell>
          <cell r="B1089" t="str">
            <v>DÍAZ DIAZ LUIS ALEJANDRO</v>
          </cell>
          <cell r="C1089" t="str">
            <v>Paipa</v>
          </cell>
          <cell r="D1089" t="str">
            <v>Paipa</v>
          </cell>
          <cell r="F1089" t="str">
            <v>ladd83@hotmail.com</v>
          </cell>
        </row>
        <row r="1090">
          <cell r="A1090">
            <v>7220013</v>
          </cell>
          <cell r="B1090" t="str">
            <v>BARRERA  HENRY GUIO</v>
          </cell>
          <cell r="C1090" t="str">
            <v>Paipa</v>
          </cell>
          <cell r="D1090" t="str">
            <v>Paipa</v>
          </cell>
          <cell r="F1090" t="str">
            <v>henryguiobarrera@gmail.com</v>
          </cell>
        </row>
        <row r="1091">
          <cell r="A1091">
            <v>74372907</v>
          </cell>
          <cell r="B1091" t="str">
            <v>ESTUPIÑAN ALARCON CARLOS YOOVANY</v>
          </cell>
          <cell r="C1091" t="str">
            <v>Paipa</v>
          </cell>
          <cell r="D1091" t="str">
            <v>Paipa</v>
          </cell>
          <cell r="F1091" t="str">
            <v>yovi7ea@gmail.com</v>
          </cell>
        </row>
        <row r="1092">
          <cell r="A1092">
            <v>74321935</v>
          </cell>
          <cell r="B1092" t="str">
            <v>RINCÓN ARISMENDI VICTOR JULIO</v>
          </cell>
          <cell r="C1092" t="str">
            <v>Paipa</v>
          </cell>
          <cell r="D1092" t="str">
            <v>Paipa</v>
          </cell>
          <cell r="F1092" t="str">
            <v>victorjulioariz@gmail.com</v>
          </cell>
        </row>
        <row r="1093">
          <cell r="A1093">
            <v>4265586</v>
          </cell>
          <cell r="B1093" t="str">
            <v>PANCHE  ALEXANDER GONZÁLEZ</v>
          </cell>
          <cell r="C1093" t="str">
            <v>Paipa</v>
          </cell>
          <cell r="D1093" t="str">
            <v>Paipa</v>
          </cell>
          <cell r="F1093" t="str">
            <v>panche109@gmail.com</v>
          </cell>
        </row>
        <row r="1094">
          <cell r="A1094">
            <v>53041717</v>
          </cell>
          <cell r="B1094" t="str">
            <v>BOBADILLA HERNANDEZ SAIDY SIRLEY</v>
          </cell>
          <cell r="C1094" t="str">
            <v>Paipa</v>
          </cell>
          <cell r="D1094" t="str">
            <v>Paipa</v>
          </cell>
          <cell r="F1094" t="str">
            <v>saidybobadilla85@gmail.com</v>
          </cell>
        </row>
        <row r="1095">
          <cell r="A1095">
            <v>11229947</v>
          </cell>
          <cell r="B1095" t="str">
            <v>TERREROS PARDO OSCAR JAVIER</v>
          </cell>
          <cell r="C1095" t="str">
            <v>Paipa</v>
          </cell>
          <cell r="D1095" t="str">
            <v>Paipa</v>
          </cell>
          <cell r="F1095" t="str">
            <v>oscar.terreros@gmail.com</v>
          </cell>
        </row>
        <row r="1096">
          <cell r="A1096">
            <v>80180625</v>
          </cell>
          <cell r="B1096" t="str">
            <v>CLAVIJO  FELIPE ROA</v>
          </cell>
          <cell r="C1096" t="str">
            <v>Paipa</v>
          </cell>
          <cell r="D1096" t="str">
            <v>Paipa</v>
          </cell>
          <cell r="F1096" t="str">
            <v>feliperoaclavijo@gmail.com</v>
          </cell>
        </row>
        <row r="1097">
          <cell r="A1097">
            <v>1053610376</v>
          </cell>
          <cell r="B1097" t="str">
            <v>PEDRAZA PEDRAZA JUAN CARLOS</v>
          </cell>
          <cell r="C1097" t="str">
            <v>Paipa</v>
          </cell>
          <cell r="D1097" t="str">
            <v>Paipa</v>
          </cell>
          <cell r="F1097" t="str">
            <v>pedraza.juan.carlos@hotmail.com</v>
          </cell>
        </row>
        <row r="1098">
          <cell r="A1098">
            <v>40023869</v>
          </cell>
          <cell r="B1098" t="str">
            <v>VELA PULIDO CLARA INES</v>
          </cell>
          <cell r="C1098" t="str">
            <v>Paipa</v>
          </cell>
          <cell r="D1098" t="str">
            <v>Paipa</v>
          </cell>
          <cell r="F1098" t="str">
            <v>claravela830@gmail.com</v>
          </cell>
        </row>
        <row r="1099">
          <cell r="A1099">
            <v>79563476</v>
          </cell>
          <cell r="B1099" t="str">
            <v>PATIÑO  DENILSON SANABRIA</v>
          </cell>
          <cell r="C1099" t="str">
            <v>Paipa</v>
          </cell>
          <cell r="D1099" t="str">
            <v>Paipa</v>
          </cell>
          <cell r="F1099" t="str">
            <v>denilson71@hotmail.es</v>
          </cell>
        </row>
        <row r="1100">
          <cell r="A1100">
            <v>51858648</v>
          </cell>
          <cell r="B1100" t="str">
            <v>GALVIS  SANDRA PATRICIA</v>
          </cell>
          <cell r="C1100" t="str">
            <v>Paipa</v>
          </cell>
          <cell r="D1100" t="str">
            <v>Paipa</v>
          </cell>
          <cell r="F1100" t="str">
            <v>aromasdelalma7@hotmail.com</v>
          </cell>
        </row>
        <row r="1101">
          <cell r="A1101">
            <v>891409006</v>
          </cell>
          <cell r="B1101" t="str">
            <v>GERMAN GAVIRIASAS DISTRIMOTOS</v>
          </cell>
          <cell r="C1101" t="str">
            <v>Duitama</v>
          </cell>
          <cell r="D1101" t="str">
            <v>AV 30 DE AGOSTO 83-15</v>
          </cell>
          <cell r="E1101">
            <v>3132132514</v>
          </cell>
          <cell r="F1101" t="str">
            <v>jesusfonseca89@hotmail.com</v>
          </cell>
        </row>
        <row r="1102">
          <cell r="A1102">
            <v>900592506</v>
          </cell>
          <cell r="B1102" t="str">
            <v>MOTOS Y REPUESTOS LA PRINCIPAL SA</v>
          </cell>
          <cell r="C1102" t="str">
            <v>Sogamoso</v>
          </cell>
          <cell r="D1102" t="str">
            <v>CALLE 11 N 17 -11</v>
          </cell>
          <cell r="E1102">
            <v>3183499075</v>
          </cell>
          <cell r="F1102" t="str">
            <v>jamateus1@hotmail.com</v>
          </cell>
        </row>
        <row r="1103">
          <cell r="A1103">
            <v>900520488</v>
          </cell>
          <cell r="B1103" t="str">
            <v>DISTRIMOTOS DE COLOMBIA SAS</v>
          </cell>
          <cell r="C1103" t="str">
            <v>Tunja</v>
          </cell>
          <cell r="D1103" t="str">
            <v>CALLE 168 N 45-25</v>
          </cell>
          <cell r="F1103" t="str">
            <v>distrimotoscolombia@gmail.com</v>
          </cell>
        </row>
        <row r="1104">
          <cell r="A1104">
            <v>900395868</v>
          </cell>
          <cell r="B1104" t="str">
            <v>SAPPI DE COLOMBIA SAS</v>
          </cell>
          <cell r="C1104" t="str">
            <v>Bogota D.C.</v>
          </cell>
          <cell r="D1104" t="str">
            <v>AK19-114-65</v>
          </cell>
          <cell r="F1104" t="str">
            <v>martha.lasso@sappi.com</v>
          </cell>
        </row>
        <row r="1105">
          <cell r="A1105">
            <v>23857390</v>
          </cell>
          <cell r="B1105" t="str">
            <v>ROFRIGUEZ PUERTO YANETH</v>
          </cell>
          <cell r="C1105" t="str">
            <v>Paipa</v>
          </cell>
          <cell r="D1105" t="str">
            <v>CALLE 24-19-108</v>
          </cell>
          <cell r="E1105">
            <v>3132092019</v>
          </cell>
          <cell r="F1105" t="str">
            <v>yanth231@hotmail.com</v>
          </cell>
        </row>
        <row r="1106">
          <cell r="A1106">
            <v>901192819</v>
          </cell>
          <cell r="B1106" t="str">
            <v>CONSORCIO CR VIAS  BOYACA</v>
          </cell>
          <cell r="C1106" t="str">
            <v>Medellín</v>
          </cell>
          <cell r="D1106" t="str">
            <v>CALLE 52 47-42</v>
          </cell>
          <cell r="F1106" t="str">
            <v>crviasboyaca@ccc.com.co</v>
          </cell>
        </row>
        <row r="1107">
          <cell r="A1107">
            <v>900701845</v>
          </cell>
          <cell r="B1107" t="str">
            <v>GAS PROPANO DE COLOMBIA SAS ESP</v>
          </cell>
          <cell r="C1107" t="str">
            <v>Sogamoso</v>
          </cell>
          <cell r="D1107" t="str">
            <v>CALLE 15 D N 33-28</v>
          </cell>
          <cell r="F1107" t="str">
            <v>zulma.torres@massygroup.com</v>
          </cell>
        </row>
        <row r="1108">
          <cell r="A1108">
            <v>74856670</v>
          </cell>
          <cell r="B1108" t="str">
            <v>CALDERON  JORGE EDISSON</v>
          </cell>
          <cell r="C1108" t="str">
            <v>Paipa</v>
          </cell>
          <cell r="D1108" t="str">
            <v>Paipa</v>
          </cell>
          <cell r="F1108" t="str">
            <v>facturacionjorgecalderon@gmail.com</v>
          </cell>
        </row>
        <row r="1109">
          <cell r="A1109">
            <v>1052381009</v>
          </cell>
          <cell r="B1109" t="str">
            <v>CANO HERNANDEZ HUGO ALBERTO</v>
          </cell>
          <cell r="C1109" t="str">
            <v>Paipa</v>
          </cell>
          <cell r="D1109" t="str">
            <v>Paipa</v>
          </cell>
          <cell r="F1109" t="str">
            <v>hugo.acano@hotmail.com</v>
          </cell>
        </row>
        <row r="1110">
          <cell r="A1110">
            <v>1076649582</v>
          </cell>
          <cell r="B1110" t="str">
            <v>FORERO OLAYA CONSTANZA YASMIN</v>
          </cell>
          <cell r="C1110" t="str">
            <v>Tuta</v>
          </cell>
          <cell r="D1110" t="str">
            <v>VRD SAN NICOLAS</v>
          </cell>
          <cell r="F1110" t="str">
            <v>3constanza33@gmail.com</v>
          </cell>
        </row>
        <row r="1111">
          <cell r="A1111">
            <v>1053611567</v>
          </cell>
          <cell r="B1111" t="str">
            <v>CARVAJAL SUPELANO JUDITH LILIANA</v>
          </cell>
          <cell r="C1111" t="str">
            <v>Paipa</v>
          </cell>
          <cell r="D1111" t="str">
            <v>VRD LLANO GRANDE</v>
          </cell>
          <cell r="F1111" t="str">
            <v>liliana.carvajal2014@hotmail.com</v>
          </cell>
        </row>
        <row r="1112">
          <cell r="A1112">
            <v>901609244</v>
          </cell>
          <cell r="B1112" t="str">
            <v>P N P 2010 SAS</v>
          </cell>
          <cell r="C1112" t="str">
            <v>Paipa</v>
          </cell>
          <cell r="D1112" t="str">
            <v>CLL 25 18 43</v>
          </cell>
          <cell r="F1112" t="str">
            <v>turistica@outlook.com</v>
          </cell>
        </row>
        <row r="1113">
          <cell r="A1113">
            <v>7228533</v>
          </cell>
          <cell r="B1113" t="str">
            <v>BOHÓRQUEZ MONROY GIOVANY MAURICIO</v>
          </cell>
          <cell r="C1113" t="str">
            <v>Paipa</v>
          </cell>
          <cell r="D1113" t="str">
            <v>Paipa</v>
          </cell>
          <cell r="F1113" t="str">
            <v>giovarq@gmail.com</v>
          </cell>
        </row>
        <row r="1114">
          <cell r="A1114">
            <v>1053610982</v>
          </cell>
          <cell r="B1114" t="str">
            <v>OCHOA  LUCINIO MUÑOZ</v>
          </cell>
          <cell r="C1114" t="str">
            <v>Paipa</v>
          </cell>
          <cell r="D1114" t="str">
            <v>Paipa</v>
          </cell>
          <cell r="F1114" t="str">
            <v>lucinio47@gmail.com</v>
          </cell>
        </row>
        <row r="1115">
          <cell r="A1115">
            <v>5765116</v>
          </cell>
          <cell r="B1115" t="str">
            <v>GOMEZ  MAURICIO NIÑO</v>
          </cell>
          <cell r="C1115" t="str">
            <v>Paipa</v>
          </cell>
          <cell r="D1115" t="str">
            <v>Paipa</v>
          </cell>
          <cell r="F1115" t="str">
            <v>ninogomezmauricio99@gmail.com</v>
          </cell>
        </row>
        <row r="1116">
          <cell r="A1116">
            <v>1015450314</v>
          </cell>
          <cell r="B1116" t="str">
            <v>ATEHORTUA PARRA CAMILO STIVENS</v>
          </cell>
          <cell r="C1116" t="str">
            <v>Bogota D.C.</v>
          </cell>
          <cell r="D1116" t="str">
            <v>BOGOTA</v>
          </cell>
          <cell r="F1116" t="str">
            <v>kamilofcb10@gmail.com</v>
          </cell>
        </row>
        <row r="1117">
          <cell r="A1117">
            <v>900900533</v>
          </cell>
          <cell r="B1117" t="str">
            <v>REPRESENTACIONES LAP SAS</v>
          </cell>
          <cell r="C1117" t="str">
            <v>Duitama</v>
          </cell>
          <cell r="D1117" t="str">
            <v>CR 16 14 59 LOV 109-110</v>
          </cell>
          <cell r="F1117" t="str">
            <v>turistica@outlook.com</v>
          </cell>
        </row>
        <row r="1118">
          <cell r="A1118">
            <v>46457817</v>
          </cell>
          <cell r="B1118" t="str">
            <v>PANQUEVA LOPEZ ROSA MILENA</v>
          </cell>
          <cell r="C1118" t="str">
            <v>Paipa</v>
          </cell>
          <cell r="D1118" t="str">
            <v>VRD ROMITA FINCA LA GRANJITA CASA 5</v>
          </cell>
          <cell r="F1118" t="str">
            <v>mile.panqueva@gmail.com</v>
          </cell>
        </row>
        <row r="1119">
          <cell r="A1119">
            <v>900355491</v>
          </cell>
          <cell r="B1119" t="str">
            <v>LIMEQ SAS</v>
          </cell>
          <cell r="C1119" t="str">
            <v>Paipa</v>
          </cell>
          <cell r="D1119" t="str">
            <v>Paipa</v>
          </cell>
          <cell r="F1119" t="str">
            <v>gerencia@limeq.com.co</v>
          </cell>
        </row>
        <row r="1120">
          <cell r="A1120">
            <v>901830360</v>
          </cell>
          <cell r="B1120" t="str">
            <v>INDUASSEO SAS</v>
          </cell>
          <cell r="C1120" t="str">
            <v>Paipa</v>
          </cell>
          <cell r="D1120" t="str">
            <v>Paipa</v>
          </cell>
          <cell r="F1120" t="str">
            <v>induasseo@gmail.com</v>
          </cell>
        </row>
        <row r="1121">
          <cell r="A1121">
            <v>900377177</v>
          </cell>
          <cell r="B1121" t="str">
            <v>ADMINISTRADORA ZUHE</v>
          </cell>
          <cell r="C1121" t="str">
            <v>Paipa</v>
          </cell>
          <cell r="D1121" t="str">
            <v>Paipa</v>
          </cell>
          <cell r="F1121" t="str">
            <v>hotel.zuhe@yahoo.com</v>
          </cell>
        </row>
        <row r="1122">
          <cell r="A1122">
            <v>900145002</v>
          </cell>
          <cell r="B1122" t="str">
            <v>IGLESIA MINISTERIOS FAMILIARES LLUV</v>
          </cell>
          <cell r="C1122" t="str">
            <v>Paipa</v>
          </cell>
          <cell r="D1122" t="str">
            <v>Paipa</v>
          </cell>
          <cell r="F1122" t="str">
            <v>lluviasdebendicionduitama@hotmail.com</v>
          </cell>
        </row>
        <row r="1123">
          <cell r="A1123">
            <v>901424818</v>
          </cell>
          <cell r="B1123" t="str">
            <v>WEISZ LC SAS</v>
          </cell>
          <cell r="C1123" t="str">
            <v>Paipa</v>
          </cell>
          <cell r="D1123" t="str">
            <v>Paipa</v>
          </cell>
          <cell r="F1123" t="str">
            <v>calibracion.colombia@weisz.com</v>
          </cell>
        </row>
        <row r="1124">
          <cell r="A1124">
            <v>830069037</v>
          </cell>
          <cell r="B1124" t="str">
            <v>SISTEMA DE TRANSPORTE SA</v>
          </cell>
          <cell r="C1124" t="str">
            <v>Paipa</v>
          </cell>
          <cell r="D1124" t="str">
            <v>Paipa</v>
          </cell>
          <cell r="F1124" t="str">
            <v>asistentegerencia@stsoperador.com</v>
          </cell>
        </row>
        <row r="1125">
          <cell r="A1125">
            <v>900184768</v>
          </cell>
          <cell r="B1125" t="str">
            <v>CGB INGENIERÍA Y CONSULTORÍA LTDA</v>
          </cell>
          <cell r="C1125" t="str">
            <v>Paipa</v>
          </cell>
          <cell r="D1125" t="str">
            <v>Paipa</v>
          </cell>
          <cell r="F1125" t="str">
            <v>ingenieria@cgbingenieria.com</v>
          </cell>
        </row>
        <row r="1126">
          <cell r="A1126">
            <v>800021261</v>
          </cell>
          <cell r="B1126" t="str">
            <v>SYSMAN SAS</v>
          </cell>
          <cell r="C1126" t="str">
            <v>Paipa</v>
          </cell>
          <cell r="D1126" t="str">
            <v>Paipa</v>
          </cell>
          <cell r="F1126" t="str">
            <v>financiera@sysman.com.co</v>
          </cell>
        </row>
        <row r="1127">
          <cell r="A1127">
            <v>901335590</v>
          </cell>
          <cell r="B1127" t="str">
            <v>PROYECTOS Y CONSTRUCCIONES NF SAS</v>
          </cell>
          <cell r="C1127" t="str">
            <v>Paipa</v>
          </cell>
          <cell r="D1127" t="str">
            <v>Paipa</v>
          </cell>
          <cell r="F1127" t="str">
            <v>proyectosconstruccionesnf@gmail.com</v>
          </cell>
        </row>
        <row r="1128">
          <cell r="A1128">
            <v>826003010</v>
          </cell>
          <cell r="B1128" t="str">
            <v>JUNTA DEFENSA CIVIL PAIPA</v>
          </cell>
          <cell r="C1128" t="str">
            <v>Paipa</v>
          </cell>
          <cell r="D1128" t="str">
            <v>Paipa</v>
          </cell>
          <cell r="F1128" t="str">
            <v>sadydiany@gmail.com</v>
          </cell>
        </row>
        <row r="1129">
          <cell r="A1129">
            <v>1051589272</v>
          </cell>
          <cell r="B1129" t="str">
            <v>CASTAÑEDA VELAZCO DIANA MERCEDES</v>
          </cell>
          <cell r="C1129" t="str">
            <v>Paipa</v>
          </cell>
          <cell r="D1129" t="str">
            <v>Paipa</v>
          </cell>
          <cell r="F1129" t="str">
            <v>dianysvelasco@gmail.com</v>
          </cell>
        </row>
        <row r="1130">
          <cell r="A1130">
            <v>9735348</v>
          </cell>
          <cell r="B1130" t="str">
            <v>MARTINEZ AVILA JHON ALEJANDRO</v>
          </cell>
          <cell r="C1130" t="str">
            <v>Paipa</v>
          </cell>
          <cell r="D1130" t="str">
            <v>Paipa</v>
          </cell>
          <cell r="F1130" t="str">
            <v>911seguridadymonitoreo@gmail.com</v>
          </cell>
        </row>
        <row r="1131">
          <cell r="A1131">
            <v>7210174</v>
          </cell>
          <cell r="B1131" t="str">
            <v>PARADA BECERRA CARLOS GERMÁN</v>
          </cell>
          <cell r="C1131" t="str">
            <v>Paipa</v>
          </cell>
          <cell r="D1131" t="str">
            <v>Paipa</v>
          </cell>
          <cell r="F1131" t="str">
            <v>cagerpa@hotmail.com</v>
          </cell>
        </row>
        <row r="1132">
          <cell r="A1132">
            <v>1053604155</v>
          </cell>
          <cell r="B1132" t="str">
            <v>PEDRAZA HERNÁNDEZ EDISON FABIÁN</v>
          </cell>
          <cell r="C1132" t="str">
            <v>Paipa</v>
          </cell>
          <cell r="D1132" t="str">
            <v>Paipa</v>
          </cell>
          <cell r="F1132" t="str">
            <v>edisonpedraza@hotmail.com</v>
          </cell>
        </row>
        <row r="1133">
          <cell r="A1133">
            <v>74359719</v>
          </cell>
          <cell r="B1133" t="str">
            <v>NIÑO  RAFAEL BAYONA</v>
          </cell>
          <cell r="C1133" t="str">
            <v>Paipa</v>
          </cell>
          <cell r="D1133" t="str">
            <v>Paipa</v>
          </cell>
          <cell r="F1133" t="str">
            <v>rafaelbayonanino@gmail.com</v>
          </cell>
        </row>
        <row r="1134">
          <cell r="A1134">
            <v>7220489</v>
          </cell>
          <cell r="B1134" t="str">
            <v>HERRERA ALBA JOSUE ARMANDO</v>
          </cell>
          <cell r="C1134" t="str">
            <v>Paipa</v>
          </cell>
          <cell r="D1134" t="str">
            <v>Paipa</v>
          </cell>
          <cell r="F1134" t="str">
            <v>josueaha@gmail.com</v>
          </cell>
        </row>
        <row r="1135">
          <cell r="A1135">
            <v>46674266</v>
          </cell>
          <cell r="B1135" t="str">
            <v>REYEA CARDENAS BETHY MARIBEL</v>
          </cell>
          <cell r="C1135" t="str">
            <v>Paipa</v>
          </cell>
          <cell r="D1135" t="str">
            <v>Paipa</v>
          </cell>
          <cell r="F1135" t="str">
            <v>bethymaribelr@gmail.com</v>
          </cell>
        </row>
        <row r="1136">
          <cell r="A1136">
            <v>72325836</v>
          </cell>
          <cell r="B1136" t="str">
            <v>ESPINEL CUERVO NELSON RODRIGO</v>
          </cell>
          <cell r="C1136" t="str">
            <v>Paipa</v>
          </cell>
          <cell r="D1136" t="str">
            <v>Paipa</v>
          </cell>
          <cell r="F1136" t="str">
            <v>respinel.3012@gmail.com</v>
          </cell>
        </row>
        <row r="1137">
          <cell r="A1137">
            <v>1053607624</v>
          </cell>
          <cell r="B1137" t="str">
            <v>MONROY  STIVER URQUIJO</v>
          </cell>
          <cell r="C1137" t="str">
            <v>Paipa</v>
          </cell>
          <cell r="D1137" t="str">
            <v>Paipa</v>
          </cell>
          <cell r="F1137" t="str">
            <v>hotelsalvatore2023@gmail.com</v>
          </cell>
        </row>
        <row r="1138">
          <cell r="A1138">
            <v>74130481</v>
          </cell>
          <cell r="B1138" t="str">
            <v>ROSAS PUERTO NELSON FABIAN</v>
          </cell>
          <cell r="C1138" t="str">
            <v>Paipa</v>
          </cell>
          <cell r="D1138" t="str">
            <v>Paipa</v>
          </cell>
          <cell r="F1138" t="str">
            <v>comlaespiga@gmail.com</v>
          </cell>
        </row>
        <row r="1139">
          <cell r="A1139">
            <v>1053346197</v>
          </cell>
          <cell r="B1139" t="str">
            <v>COCA RODRÍGUEZ JOSE SEBASTIÁN</v>
          </cell>
          <cell r="C1139" t="str">
            <v>Paipa</v>
          </cell>
          <cell r="D1139" t="str">
            <v>Paipa</v>
          </cell>
          <cell r="F1139" t="str">
            <v>sebastiancoca96.com@gmail.com</v>
          </cell>
        </row>
        <row r="1140">
          <cell r="A1140">
            <v>74130352</v>
          </cell>
          <cell r="B1140" t="str">
            <v>SALAMANCA  MARIO</v>
          </cell>
          <cell r="C1140" t="str">
            <v>Paipa</v>
          </cell>
          <cell r="D1140" t="str">
            <v>Paipa</v>
          </cell>
          <cell r="F1140" t="str">
            <v>chipolini09@yahoo.es</v>
          </cell>
        </row>
        <row r="1141">
          <cell r="A1141">
            <v>74082962</v>
          </cell>
          <cell r="B1141" t="str">
            <v>GUTIERREZ GONZALEZ OSCAR MIGUEL</v>
          </cell>
          <cell r="C1141" t="str">
            <v>Paipa</v>
          </cell>
          <cell r="D1141" t="str">
            <v>Paipa</v>
          </cell>
          <cell r="F1141" t="str">
            <v>oscargutierr02@gmail.com</v>
          </cell>
        </row>
        <row r="1142">
          <cell r="A1142">
            <v>1026557644</v>
          </cell>
          <cell r="B1142" t="str">
            <v>ALONSO  DIYIRETH GUERRERO</v>
          </cell>
          <cell r="C1142" t="str">
            <v>Paipa</v>
          </cell>
          <cell r="D1142" t="str">
            <v>Paipa</v>
          </cell>
          <cell r="F1142" t="str">
            <v>ventasbogotaalianza@gmail.com</v>
          </cell>
        </row>
        <row r="1143">
          <cell r="A1143">
            <v>4192110</v>
          </cell>
          <cell r="B1143" t="str">
            <v>SANDOVAL HERNANDEZ LUIS CARLOS</v>
          </cell>
          <cell r="C1143" t="str">
            <v>Paipa</v>
          </cell>
          <cell r="D1143" t="str">
            <v>Paipa</v>
          </cell>
          <cell r="F1143" t="str">
            <v>luiscarlosh128@hotmail.com</v>
          </cell>
        </row>
        <row r="1144">
          <cell r="A1144">
            <v>1053616624</v>
          </cell>
          <cell r="B1144" t="str">
            <v>OSORIO MORENO JULIAN ANDRES</v>
          </cell>
          <cell r="C1144" t="str">
            <v>Paipa</v>
          </cell>
          <cell r="D1144" t="str">
            <v>Paipa</v>
          </cell>
          <cell r="F1144" t="str">
            <v>anjuosmo1999@hotmail.com</v>
          </cell>
        </row>
        <row r="1145">
          <cell r="A1145">
            <v>4191845</v>
          </cell>
          <cell r="B1145" t="str">
            <v>PUERTO VÁSQUEZ HENRY DE JESÚS</v>
          </cell>
          <cell r="C1145" t="str">
            <v>Paipa</v>
          </cell>
          <cell r="D1145" t="str">
            <v>Paipa</v>
          </cell>
          <cell r="F1145" t="str">
            <v>henrypuerto@hotmail.com</v>
          </cell>
        </row>
        <row r="1146">
          <cell r="A1146">
            <v>901742107</v>
          </cell>
          <cell r="B1146" t="str">
            <v>SUPER ALITAS COMPANY SAS</v>
          </cell>
          <cell r="C1146" t="str">
            <v>Paipa</v>
          </cell>
          <cell r="D1146" t="str">
            <v>CLL 25 17 90</v>
          </cell>
          <cell r="F1146" t="str">
            <v>robles.camilo41@gmail.com</v>
          </cell>
        </row>
        <row r="1147">
          <cell r="A1147">
            <v>900292332</v>
          </cell>
          <cell r="B1147" t="str">
            <v>COY SALAMANCA LIMITADA</v>
          </cell>
          <cell r="C1147" t="str">
            <v>Paipa</v>
          </cell>
          <cell r="D1147" t="str">
            <v>AV LIBERTADORES 20A 53</v>
          </cell>
          <cell r="F1147" t="str">
            <v>delocos1006@hotmail.com</v>
          </cell>
        </row>
        <row r="1148">
          <cell r="A1148">
            <v>1053614896</v>
          </cell>
          <cell r="B1148" t="str">
            <v>PUERTO AMADOR YESIKA PAOLA</v>
          </cell>
          <cell r="C1148" t="str">
            <v>Paipa</v>
          </cell>
          <cell r="D1148" t="str">
            <v>Paipa</v>
          </cell>
          <cell r="F1148" t="str">
            <v>ykamador11@outlook.com</v>
          </cell>
        </row>
        <row r="1149">
          <cell r="A1149">
            <v>1057601526</v>
          </cell>
          <cell r="B1149" t="str">
            <v>BENAVIDES RUIZ CRISTIAN JEFERSON</v>
          </cell>
          <cell r="C1149" t="str">
            <v>Paipa</v>
          </cell>
          <cell r="D1149" t="str">
            <v>Paipa</v>
          </cell>
          <cell r="F1149" t="str">
            <v>cristianbenavides.05@outlook.com</v>
          </cell>
        </row>
        <row r="1150">
          <cell r="A1150">
            <v>1098646020</v>
          </cell>
          <cell r="B1150" t="str">
            <v>PINILLA MONROY DIANA PAOLA</v>
          </cell>
          <cell r="C1150" t="str">
            <v>Paipa</v>
          </cell>
          <cell r="D1150" t="str">
            <v>Paipa</v>
          </cell>
          <cell r="F1150" t="str">
            <v>arq.dianapinillam@gmail.com</v>
          </cell>
        </row>
        <row r="1151">
          <cell r="A1151">
            <v>1128627809</v>
          </cell>
          <cell r="B1151" t="str">
            <v>JIMENEZ ÁLVAREZ ESTHER MARIA</v>
          </cell>
          <cell r="C1151" t="str">
            <v>Paipa</v>
          </cell>
          <cell r="D1151" t="str">
            <v>Paipa</v>
          </cell>
          <cell r="F1151" t="str">
            <v>esthermariajimenezalvarez@gmail.com</v>
          </cell>
        </row>
        <row r="1152">
          <cell r="A1152">
            <v>1140903292</v>
          </cell>
          <cell r="B1152" t="str">
            <v>MARTINEZ RAMIREZ BLEIDY XIMENA</v>
          </cell>
          <cell r="C1152" t="str">
            <v>Paipa</v>
          </cell>
          <cell r="D1152" t="str">
            <v>Paipa</v>
          </cell>
          <cell r="F1152" t="str">
            <v>ximenamr2708@gmail.com</v>
          </cell>
        </row>
        <row r="1153">
          <cell r="A1153">
            <v>800121068</v>
          </cell>
          <cell r="B1153" t="str">
            <v>GAUSSI SA</v>
          </cell>
          <cell r="C1153" t="str">
            <v>Paipa</v>
          </cell>
          <cell r="D1153" t="str">
            <v>Paipa</v>
          </cell>
          <cell r="F1153" t="str">
            <v>gaussizodiak@gmail.com</v>
          </cell>
        </row>
        <row r="1154">
          <cell r="A1154">
            <v>800139778</v>
          </cell>
          <cell r="B1154" t="str">
            <v>CORPORACIÓN CONCURSO NACIONAL DE BA</v>
          </cell>
          <cell r="C1154" t="str">
            <v>Paipa</v>
          </cell>
          <cell r="D1154" t="str">
            <v>Paipa</v>
          </cell>
          <cell r="F1154" t="str">
            <v>corbandas.paipa.boy@gmail.com</v>
          </cell>
        </row>
        <row r="1155">
          <cell r="A1155">
            <v>800186313</v>
          </cell>
          <cell r="B1155" t="str">
            <v>AGM DESARROLLOS S.A.S</v>
          </cell>
          <cell r="C1155" t="str">
            <v>Paipa</v>
          </cell>
          <cell r="D1155" t="str">
            <v>Paipa</v>
          </cell>
          <cell r="F1155" t="str">
            <v>alumbradoubate@agmdesarrollos.com</v>
          </cell>
        </row>
        <row r="1156">
          <cell r="A1156">
            <v>1052398860</v>
          </cell>
          <cell r="B1156" t="str">
            <v>GONZALEZ RODRIGUEZ DIEGO LEONARDO</v>
          </cell>
          <cell r="C1156" t="str">
            <v>Paipa</v>
          </cell>
          <cell r="D1156" t="str">
            <v>Paipa</v>
          </cell>
          <cell r="F1156" t="str">
            <v>diegoleonardo.gr@gmail.com</v>
          </cell>
        </row>
        <row r="1157">
          <cell r="A1157">
            <v>1053606465</v>
          </cell>
          <cell r="B1157" t="str">
            <v>RODRIGUEZ RODRÍGUEZ CARLOSMARIO MARIO</v>
          </cell>
          <cell r="C1157" t="str">
            <v>Paipa</v>
          </cell>
          <cell r="D1157" t="str">
            <v>Paipa</v>
          </cell>
          <cell r="F1157" t="str">
            <v>elcorreodecarlosmario@gmail.com</v>
          </cell>
        </row>
        <row r="1158">
          <cell r="A1158">
            <v>1053610780</v>
          </cell>
          <cell r="B1158" t="str">
            <v>RESTREPO CORREDOR JULIAN DAVID</v>
          </cell>
          <cell r="C1158" t="str">
            <v>Paipa</v>
          </cell>
          <cell r="D1158" t="str">
            <v>Paipa</v>
          </cell>
          <cell r="F1158" t="str">
            <v>julianrestrepo067@gmail.com</v>
          </cell>
        </row>
        <row r="1159">
          <cell r="A1159">
            <v>1053614387</v>
          </cell>
          <cell r="B1159" t="str">
            <v>FONSECA LOPEZ YEISON ARLEY</v>
          </cell>
          <cell r="C1159" t="str">
            <v>Paipa</v>
          </cell>
          <cell r="D1159" t="str">
            <v>Paipa</v>
          </cell>
          <cell r="F1159" t="str">
            <v>yeisonarley1@gmail.com</v>
          </cell>
        </row>
        <row r="1160">
          <cell r="A1160">
            <v>1057585875</v>
          </cell>
          <cell r="B1160" t="str">
            <v>LOPEZ RIANO YERSON ARMANDO</v>
          </cell>
          <cell r="C1160" t="str">
            <v>Paipa</v>
          </cell>
          <cell r="D1160" t="str">
            <v>Paipa</v>
          </cell>
          <cell r="F1160" t="str">
            <v>yersonlopez.geologia@gmail.com</v>
          </cell>
        </row>
        <row r="1161">
          <cell r="A1161">
            <v>1069722685</v>
          </cell>
          <cell r="B1161" t="str">
            <v>VILLALBA  HERNANDO SIERRA</v>
          </cell>
          <cell r="C1161" t="str">
            <v>Paipa</v>
          </cell>
          <cell r="D1161" t="str">
            <v>Paipa</v>
          </cell>
          <cell r="F1161" t="str">
            <v>hernando.sie@gmail.com</v>
          </cell>
        </row>
        <row r="1162">
          <cell r="A1162">
            <v>1070958420</v>
          </cell>
          <cell r="B1162" t="str">
            <v>BUITRAGO  DIEGO GARCIA</v>
          </cell>
          <cell r="C1162" t="str">
            <v>Paipa</v>
          </cell>
          <cell r="D1162" t="str">
            <v>Paipa</v>
          </cell>
          <cell r="F1162" t="str">
            <v>diegobalo@hotmail.com</v>
          </cell>
        </row>
        <row r="1163">
          <cell r="A1163">
            <v>1073525936</v>
          </cell>
          <cell r="B1163" t="str">
            <v>CATAMA ROMERO ANGELA DANIELA</v>
          </cell>
          <cell r="C1163" t="str">
            <v>Paipa</v>
          </cell>
          <cell r="D1163" t="str">
            <v>Paipa</v>
          </cell>
          <cell r="F1163" t="str">
            <v>angelacatama98@gmail.com</v>
          </cell>
        </row>
        <row r="1164">
          <cell r="A1164">
            <v>811006789</v>
          </cell>
          <cell r="B1164" t="str">
            <v>JUAN D HOYOS DISTRIBUCIONES SAS</v>
          </cell>
          <cell r="C1164" t="str">
            <v>Itagui</v>
          </cell>
          <cell r="D1164" t="str">
            <v>CR 42 54 A 155 INC 501</v>
          </cell>
          <cell r="F1164" t="str">
            <v>contabilidad@dj.com.co</v>
          </cell>
        </row>
        <row r="1165">
          <cell r="A1165">
            <v>1053605321</v>
          </cell>
          <cell r="B1165" t="str">
            <v>LÓPEZ TALERO RAFAEL ALEXANDER</v>
          </cell>
          <cell r="C1165" t="str">
            <v>Paipa</v>
          </cell>
          <cell r="D1165" t="str">
            <v>Paipa</v>
          </cell>
          <cell r="F1165" t="str">
            <v>rafaeltale87@hotmail.com</v>
          </cell>
        </row>
        <row r="1166">
          <cell r="A1166">
            <v>1053612823</v>
          </cell>
          <cell r="B1166" t="str">
            <v>GARCIA GRANADOS CRISTHIAN CAMILO</v>
          </cell>
          <cell r="C1166" t="str">
            <v>Paipa</v>
          </cell>
          <cell r="D1166" t="str">
            <v>Paipa</v>
          </cell>
          <cell r="F1166" t="str">
            <v>cristian_garcia10@icloud.com</v>
          </cell>
        </row>
        <row r="1167">
          <cell r="A1167">
            <v>1053614184</v>
          </cell>
          <cell r="B1167" t="str">
            <v>ESPINOSA VILLAMIZAR JOSE EDILBERTO</v>
          </cell>
          <cell r="C1167" t="str">
            <v>Paipa</v>
          </cell>
          <cell r="D1167" t="str">
            <v>Paipa</v>
          </cell>
          <cell r="F1167" t="str">
            <v>jespinosavillamizar@gmail.com</v>
          </cell>
        </row>
        <row r="1168">
          <cell r="A1168">
            <v>1053614863</v>
          </cell>
          <cell r="B1168" t="str">
            <v>CALDERON GIL EDITH SOFIA</v>
          </cell>
          <cell r="C1168" t="str">
            <v>Paipa</v>
          </cell>
          <cell r="D1168" t="str">
            <v>Paipa</v>
          </cell>
          <cell r="F1168" t="str">
            <v>sofia22calg@gmail.com</v>
          </cell>
        </row>
        <row r="1169">
          <cell r="A1169">
            <v>1053616096</v>
          </cell>
          <cell r="B1169" t="str">
            <v>ROSAS ZAMBRANO CRISTHIAN CAMILO</v>
          </cell>
          <cell r="C1169" t="str">
            <v>Paipa</v>
          </cell>
          <cell r="D1169" t="str">
            <v>Paipa</v>
          </cell>
          <cell r="F1169" t="str">
            <v>cristian.rosas.010@gmail.com</v>
          </cell>
        </row>
        <row r="1170">
          <cell r="A1170">
            <v>1057214537</v>
          </cell>
          <cell r="B1170" t="str">
            <v>VELANDIA RUSSI YUDI VELANDIA</v>
          </cell>
          <cell r="C1170" t="str">
            <v>Paipa</v>
          </cell>
          <cell r="D1170" t="str">
            <v>Paipa</v>
          </cell>
          <cell r="F1170" t="str">
            <v>yudivelandia@gmail.com</v>
          </cell>
        </row>
        <row r="1171">
          <cell r="A1171">
            <v>1101757719</v>
          </cell>
          <cell r="B1171" t="str">
            <v>RODRIGUEZ CASTELBLANCO JESSICA CAROLINA</v>
          </cell>
          <cell r="C1171" t="str">
            <v>Paipa</v>
          </cell>
          <cell r="D1171" t="str">
            <v>Paipa</v>
          </cell>
          <cell r="F1171" t="str">
            <v>jkrodriguezc93@gmail.com</v>
          </cell>
        </row>
        <row r="1172">
          <cell r="A1172">
            <v>1121961688</v>
          </cell>
          <cell r="B1172" t="str">
            <v>MOLANO GUTIERREZ JUAN DIEGO</v>
          </cell>
          <cell r="C1172" t="str">
            <v>Paipa</v>
          </cell>
          <cell r="D1172" t="str">
            <v>Paipa</v>
          </cell>
          <cell r="F1172" t="str">
            <v>jmolano831@gmai.com</v>
          </cell>
        </row>
        <row r="1173">
          <cell r="A1173">
            <v>901553745</v>
          </cell>
          <cell r="B1173" t="str">
            <v>PARADOR RESTAURANTE SALON DE EVENTOS GUADALUPE SAS</v>
          </cell>
          <cell r="C1173" t="str">
            <v>Tocancipá</v>
          </cell>
          <cell r="D1173" t="str">
            <v>CE 8 10 08 AUTOPISTA NORTE</v>
          </cell>
          <cell r="F1173" t="str">
            <v>guadalupeparadorrestaurantesas@gmail.com</v>
          </cell>
        </row>
        <row r="1174">
          <cell r="A1174">
            <v>901637418</v>
          </cell>
          <cell r="B1174" t="str">
            <v>POWERGEN SERVICE JD SAS</v>
          </cell>
          <cell r="C1174" t="str">
            <v>Paipa</v>
          </cell>
          <cell r="D1174" t="str">
            <v>paipap</v>
          </cell>
          <cell r="F1174" t="str">
            <v>powergenservicejd@outlook.com</v>
          </cell>
        </row>
        <row r="1175">
          <cell r="A1175">
            <v>74324324</v>
          </cell>
          <cell r="B1175" t="str">
            <v>GUZMAN SILVA JOSE MANUEL</v>
          </cell>
          <cell r="C1175" t="str">
            <v>Paipa</v>
          </cell>
          <cell r="D1175" t="str">
            <v>PAIPA</v>
          </cell>
          <cell r="F1175" t="str">
            <v>jomausi@gmail.com</v>
          </cell>
        </row>
        <row r="1176">
          <cell r="A1176">
            <v>46453439</v>
          </cell>
          <cell r="B1176" t="str">
            <v>BARRERA RODRIGUEZ ELSA CONSUELO</v>
          </cell>
          <cell r="C1176" t="str">
            <v>Paipa</v>
          </cell>
          <cell r="D1176" t="str">
            <v>PAIPA</v>
          </cell>
          <cell r="F1176" t="str">
            <v>consuelo-barrera@hotmail.com</v>
          </cell>
        </row>
        <row r="1177">
          <cell r="A1177">
            <v>74326585</v>
          </cell>
          <cell r="B1177" t="str">
            <v>SARMIENTO  MORA IADER  MAURICIO</v>
          </cell>
          <cell r="C1177" t="str">
            <v>Paipa</v>
          </cell>
          <cell r="D1177" t="str">
            <v>paipa</v>
          </cell>
          <cell r="F1177" t="str">
            <v>maurosarmiento10@gmail.com</v>
          </cell>
        </row>
        <row r="1178">
          <cell r="A1178">
            <v>1053610043</v>
          </cell>
          <cell r="B1178" t="str">
            <v>SANABRIA  BUITRAGO ITALO JULIO</v>
          </cell>
          <cell r="C1178" t="str">
            <v>Paipa</v>
          </cell>
          <cell r="D1178" t="str">
            <v>paipa</v>
          </cell>
          <cell r="F1178" t="str">
            <v>italocatjul@hotmail.com</v>
          </cell>
        </row>
        <row r="1179">
          <cell r="A1179">
            <v>900231067</v>
          </cell>
          <cell r="B1179" t="str">
            <v>PRODUCTORA DE CABOS DE COLOMBIA SAS</v>
          </cell>
          <cell r="C1179" t="str">
            <v>Paipa</v>
          </cell>
          <cell r="D1179" t="str">
            <v>paipa</v>
          </cell>
          <cell r="F1179" t="str">
            <v>facturacion.producabos@producabos.com</v>
          </cell>
        </row>
        <row r="1180">
          <cell r="A1180">
            <v>901167453</v>
          </cell>
          <cell r="B1180" t="str">
            <v>D&amp;M VIKINGOS INGENIERIA S.A.S</v>
          </cell>
          <cell r="C1180" t="str">
            <v>Bogota D.C.</v>
          </cell>
          <cell r="D1180" t="str">
            <v>CR 15 124 30 OF 485</v>
          </cell>
          <cell r="F1180" t="str">
            <v>facturacionvikingosventas2020@gmail.com</v>
          </cell>
        </row>
        <row r="1181">
          <cell r="A1181">
            <v>7228117</v>
          </cell>
          <cell r="B1181" t="str">
            <v>GOMEZ CASTRO RICARDO ARTURO</v>
          </cell>
          <cell r="C1181" t="str">
            <v>Paipa</v>
          </cell>
          <cell r="D1181" t="str">
            <v>PAIPA</v>
          </cell>
          <cell r="F1181" t="str">
            <v>contacto@jesuseucaristia.esu.co</v>
          </cell>
        </row>
        <row r="1182">
          <cell r="A1182">
            <v>1053611017</v>
          </cell>
          <cell r="B1182" t="str">
            <v>SANCHEZ AVELLANEDA IVAN RENE</v>
          </cell>
          <cell r="C1182" t="str">
            <v>Paipa</v>
          </cell>
          <cell r="D1182" t="str">
            <v>CARRERA 27A NO 27-20</v>
          </cell>
          <cell r="F1182" t="str">
            <v>avellanedaivan90@gmail.com</v>
          </cell>
        </row>
        <row r="1183">
          <cell r="A1183">
            <v>901324009</v>
          </cell>
          <cell r="B1183" t="str">
            <v>INVERSIONES J2H S.A.S</v>
          </cell>
          <cell r="C1183" t="str">
            <v>Paipa</v>
          </cell>
          <cell r="D1183" t="str">
            <v>AV LIBERTADORES 22 82</v>
          </cell>
          <cell r="F1183" t="str">
            <v>conducecrcpaipa@gmail.com</v>
          </cell>
        </row>
        <row r="1184">
          <cell r="A1184">
            <v>1052382455</v>
          </cell>
          <cell r="B1184" t="str">
            <v>BRICEÑO BLANCO LYDA CONSTANZA</v>
          </cell>
          <cell r="C1184" t="str">
            <v>Paipa</v>
          </cell>
          <cell r="D1184" t="str">
            <v>CR</v>
          </cell>
          <cell r="F1184" t="str">
            <v>lyconniecontador@gmail.com</v>
          </cell>
        </row>
        <row r="1185">
          <cell r="A1185">
            <v>901808121</v>
          </cell>
          <cell r="B1185" t="str">
            <v>PINK PANDA SAS</v>
          </cell>
          <cell r="C1185" t="str">
            <v>Paipa</v>
          </cell>
          <cell r="D1185" t="str">
            <v>PAIPA</v>
          </cell>
          <cell r="F1185" t="str">
            <v>pinkpandasas@gmail.com</v>
          </cell>
        </row>
        <row r="1186">
          <cell r="A1186">
            <v>830024104</v>
          </cell>
          <cell r="B1186" t="str">
            <v>URBASER COLOMBIA SA ESP</v>
          </cell>
          <cell r="C1186" t="str">
            <v>Paipa</v>
          </cell>
          <cell r="D1186" t="str">
            <v>CR 4 2 24 AUT SUR</v>
          </cell>
          <cell r="F1186" t="str">
            <v>facturacionelectronica@urbaser.co</v>
          </cell>
        </row>
        <row r="1187">
          <cell r="A1187">
            <v>901636044</v>
          </cell>
          <cell r="B1187" t="str">
            <v>BAC CONSTRUCTORES</v>
          </cell>
          <cell r="C1187" t="str">
            <v>Paipa</v>
          </cell>
          <cell r="D1187" t="str">
            <v>Carrera 26#2-06</v>
          </cell>
          <cell r="F1187" t="str">
            <v>constructoresbac@gmail.com</v>
          </cell>
        </row>
        <row r="1188">
          <cell r="A1188">
            <v>1072648947</v>
          </cell>
          <cell r="B1188" t="str">
            <v>CAMARGO BOHADA CAMILO FERNANDO</v>
          </cell>
          <cell r="C1188" t="str">
            <v>Paipa</v>
          </cell>
          <cell r="D1188" t="str">
            <v>CALLE 5 # 8-42 INT 3 APTO 211</v>
          </cell>
          <cell r="F1188" t="str">
            <v>mv.camilocamargo@gmail.com</v>
          </cell>
        </row>
        <row r="1189">
          <cell r="A1189">
            <v>901266602</v>
          </cell>
          <cell r="B1189" t="str">
            <v>PRODUCTORA Y COMERCIALIZADORA EL GRAN CAMPO S.A.S.</v>
          </cell>
          <cell r="C1189" t="str">
            <v>Paipa</v>
          </cell>
          <cell r="D1189" t="str">
            <v>CL 7 8 57</v>
          </cell>
          <cell r="F1189" t="str">
            <v>facturacionelgrancampo@gmail.com</v>
          </cell>
        </row>
        <row r="1190">
          <cell r="A1190">
            <v>820005297</v>
          </cell>
          <cell r="B1190" t="str">
            <v>INVERSIONES SANTA ELISA LTDA</v>
          </cell>
          <cell r="C1190" t="str">
            <v>Paipa</v>
          </cell>
          <cell r="D1190" t="str">
            <v>Paipa</v>
          </cell>
          <cell r="F1190" t="str">
            <v>contabilidad@staelisa.com</v>
          </cell>
        </row>
        <row r="1191">
          <cell r="A1191">
            <v>891100445</v>
          </cell>
          <cell r="B1191" t="str">
            <v>ORF SA</v>
          </cell>
          <cell r="C1191" t="str">
            <v>Paipa</v>
          </cell>
          <cell r="D1191" t="str">
            <v>Paipa</v>
          </cell>
          <cell r="F1191" t="str">
            <v>facturacionelectronica@orf.com.co</v>
          </cell>
        </row>
        <row r="1192">
          <cell r="A1192">
            <v>900488424</v>
          </cell>
          <cell r="B1192" t="str">
            <v>OLIMPO SERVICIOS SAS</v>
          </cell>
          <cell r="C1192" t="str">
            <v>Paipa</v>
          </cell>
          <cell r="D1192" t="str">
            <v>Paipa</v>
          </cell>
          <cell r="F1192" t="str">
            <v>olimposervicios2016@gmail.com</v>
          </cell>
        </row>
        <row r="1193">
          <cell r="A1193">
            <v>900738768</v>
          </cell>
          <cell r="B1193" t="str">
            <v>INVERSIONES CASTRO Y GAMERO SAS</v>
          </cell>
          <cell r="C1193" t="str">
            <v>Paipa</v>
          </cell>
          <cell r="D1193" t="str">
            <v>Paipa</v>
          </cell>
          <cell r="F1193" t="str">
            <v>facturacion@castroygamero.com</v>
          </cell>
        </row>
        <row r="1194">
          <cell r="A1194">
            <v>900803721</v>
          </cell>
          <cell r="B1194" t="str">
            <v>D AGROS SAS</v>
          </cell>
          <cell r="C1194" t="str">
            <v>Paipa</v>
          </cell>
          <cell r="D1194" t="str">
            <v>Paipa</v>
          </cell>
          <cell r="F1194" t="str">
            <v>dagroscontabilidad@hotmail.com</v>
          </cell>
        </row>
        <row r="1195">
          <cell r="A1195">
            <v>900831406</v>
          </cell>
          <cell r="B1195" t="str">
            <v>INDUSTRIAS FLEXICAR SAS</v>
          </cell>
          <cell r="C1195" t="str">
            <v>Paipa</v>
          </cell>
          <cell r="D1195" t="str">
            <v>Paipa</v>
          </cell>
          <cell r="F1195" t="str">
            <v>induflex@hotmail.com</v>
          </cell>
        </row>
        <row r="1196">
          <cell r="A1196">
            <v>900849655</v>
          </cell>
          <cell r="B1196" t="str">
            <v>GRUPO AAA ASESORES SAS</v>
          </cell>
          <cell r="C1196" t="str">
            <v>Paipa</v>
          </cell>
          <cell r="D1196" t="str">
            <v>Paipa</v>
          </cell>
          <cell r="F1196" t="str">
            <v>smartjobtecnology@sjterp.com</v>
          </cell>
        </row>
        <row r="1197">
          <cell r="A1197">
            <v>900941265</v>
          </cell>
          <cell r="B1197" t="str">
            <v>IMPORTADORA HM</v>
          </cell>
          <cell r="C1197" t="str">
            <v>Paipa</v>
          </cell>
          <cell r="D1197" t="str">
            <v>Paipa</v>
          </cell>
          <cell r="F1197" t="str">
            <v>contabilidad@importadorahm.co</v>
          </cell>
        </row>
        <row r="1198">
          <cell r="A1198">
            <v>901030930</v>
          </cell>
          <cell r="B1198" t="str">
            <v>LABORATORIOS WR</v>
          </cell>
          <cell r="C1198" t="str">
            <v>Paipa</v>
          </cell>
          <cell r="D1198" t="str">
            <v>Paipa</v>
          </cell>
          <cell r="F1198" t="str">
            <v>hse@labwr.com</v>
          </cell>
        </row>
        <row r="1199">
          <cell r="A1199">
            <v>901120769</v>
          </cell>
          <cell r="B1199" t="str">
            <v>DISINMEC SAS</v>
          </cell>
          <cell r="C1199" t="str">
            <v>Paipa</v>
          </cell>
          <cell r="D1199" t="str">
            <v>Paipa</v>
          </cell>
          <cell r="F1199" t="str">
            <v>jaimervpr@yahoo.com</v>
          </cell>
        </row>
        <row r="1200">
          <cell r="A1200">
            <v>901214775</v>
          </cell>
          <cell r="B1200" t="str">
            <v>TECNIMUSIC S.A.S</v>
          </cell>
          <cell r="C1200" t="str">
            <v>Paipa</v>
          </cell>
          <cell r="D1200" t="str">
            <v>Paipa</v>
          </cell>
          <cell r="F1200" t="str">
            <v>tallertecnimusic@yahoo.es</v>
          </cell>
        </row>
        <row r="1201">
          <cell r="A1201">
            <v>901458504</v>
          </cell>
          <cell r="B1201" t="str">
            <v>BERDU RENACIENDO EL CAMPO SAS</v>
          </cell>
          <cell r="C1201" t="str">
            <v>Paipa</v>
          </cell>
          <cell r="D1201" t="str">
            <v>Paipa</v>
          </cell>
          <cell r="F1201" t="str">
            <v>berduhortalizasgourmet@gmail.com</v>
          </cell>
        </row>
        <row r="1202">
          <cell r="A1202">
            <v>901608694</v>
          </cell>
          <cell r="B1202" t="str">
            <v>IEW DEVELOPMENT SAS</v>
          </cell>
          <cell r="C1202" t="str">
            <v>Paipa</v>
          </cell>
          <cell r="D1202" t="str">
            <v>Paipa</v>
          </cell>
          <cell r="F1202" t="str">
            <v>desarrollo@iewdevelopment.com.co</v>
          </cell>
        </row>
        <row r="1203">
          <cell r="A1203">
            <v>901716812</v>
          </cell>
          <cell r="B1203" t="str">
            <v>CONSORCIO GCIPA 2023</v>
          </cell>
          <cell r="C1203" t="str">
            <v>Paipa</v>
          </cell>
          <cell r="D1203" t="str">
            <v>Paipa</v>
          </cell>
          <cell r="F1203" t="str">
            <v>consorciogcipa@gmail.com</v>
          </cell>
        </row>
        <row r="1204">
          <cell r="A1204">
            <v>901817531</v>
          </cell>
          <cell r="B1204" t="str">
            <v>OBEDSERVICES SAS</v>
          </cell>
          <cell r="C1204" t="str">
            <v>Paipa</v>
          </cell>
          <cell r="D1204" t="str">
            <v>Paipa</v>
          </cell>
          <cell r="F1204" t="str">
            <v>obedservicessas@gmail.com</v>
          </cell>
        </row>
        <row r="1205">
          <cell r="A1205">
            <v>901869776</v>
          </cell>
          <cell r="B1205" t="str">
            <v>UNIÓN TEMPORAL VIACON 2024</v>
          </cell>
          <cell r="C1205" t="str">
            <v>Paipa</v>
          </cell>
          <cell r="D1205" t="str">
            <v>Paipa</v>
          </cell>
          <cell r="F1205" t="str">
            <v>uniontemporalviacon2024@gmail.com</v>
          </cell>
        </row>
        <row r="1206">
          <cell r="A1206">
            <v>830088940</v>
          </cell>
          <cell r="B1206" t="str">
            <v>PAIPA TOURS LTDA</v>
          </cell>
          <cell r="C1206" t="str">
            <v>Paipa</v>
          </cell>
          <cell r="D1206" t="str">
            <v>PAIPA</v>
          </cell>
          <cell r="F1206" t="str">
            <v>ventas@paipatoursboyaca.com</v>
          </cell>
        </row>
        <row r="1207">
          <cell r="A1207">
            <v>1115911640</v>
          </cell>
          <cell r="B1207" t="str">
            <v>RODRÍGUEZ RAMIREZ DAIRO YAIR</v>
          </cell>
          <cell r="C1207" t="str">
            <v>Paipa</v>
          </cell>
          <cell r="D1207" t="str">
            <v>Paipa</v>
          </cell>
          <cell r="F1207" t="str">
            <v>dairony11@hotmail.com</v>
          </cell>
        </row>
        <row r="1208">
          <cell r="A1208">
            <v>1116546840</v>
          </cell>
          <cell r="B1208" t="str">
            <v>RAMIREZ  NEHIDER PARRA</v>
          </cell>
          <cell r="C1208" t="str">
            <v>Paipa</v>
          </cell>
          <cell r="D1208" t="str">
            <v>Paipa</v>
          </cell>
          <cell r="F1208" t="str">
            <v>neytherp@gmail.com</v>
          </cell>
        </row>
        <row r="1209">
          <cell r="A1209">
            <v>1121883023</v>
          </cell>
          <cell r="B1209" t="str">
            <v>VALENCIA RODRIGUEZ MIGUEL ANGEL</v>
          </cell>
          <cell r="C1209" t="str">
            <v>Paipa</v>
          </cell>
          <cell r="D1209" t="str">
            <v>Paipa</v>
          </cell>
          <cell r="F1209" t="str">
            <v>miguelunillanos@gmail.com</v>
          </cell>
        </row>
        <row r="1210">
          <cell r="A1210">
            <v>1122130979</v>
          </cell>
          <cell r="B1210" t="str">
            <v>GRIJALBA GÓNGORA RICHARD JAVIER</v>
          </cell>
          <cell r="C1210" t="str">
            <v>Paipa</v>
          </cell>
          <cell r="D1210" t="str">
            <v>Paipa</v>
          </cell>
          <cell r="F1210" t="str">
            <v>richardgrijalva68@gmail.com</v>
          </cell>
        </row>
        <row r="1211">
          <cell r="A1211">
            <v>800116748</v>
          </cell>
          <cell r="B1211" t="str">
            <v>IGLESIA MANANTIAL DE VIDA ETERNA</v>
          </cell>
          <cell r="C1211" t="str">
            <v>Paipa</v>
          </cell>
          <cell r="D1211" t="str">
            <v>Paipa</v>
          </cell>
          <cell r="F1211" t="str">
            <v>administrativo.valledupar@manantial.co</v>
          </cell>
        </row>
        <row r="1212">
          <cell r="A1212">
            <v>800168070</v>
          </cell>
          <cell r="B1212" t="str">
            <v>LECHONERIA TOLIMENSE</v>
          </cell>
          <cell r="C1212" t="str">
            <v>Paipa</v>
          </cell>
          <cell r="D1212" t="str">
            <v>Paipa</v>
          </cell>
          <cell r="F1212" t="str">
            <v>info@madrigal.com.co</v>
          </cell>
        </row>
        <row r="1213">
          <cell r="A1213">
            <v>800206434</v>
          </cell>
          <cell r="B1213" t="str">
            <v>INDUSTRIA MARROQUINERA I M BISONTE</v>
          </cell>
          <cell r="C1213" t="str">
            <v>Paipa</v>
          </cell>
          <cell r="D1213" t="str">
            <v>Paipa</v>
          </cell>
          <cell r="F1213" t="str">
            <v>imbisonte@hotmail.com</v>
          </cell>
        </row>
        <row r="1214">
          <cell r="A1214">
            <v>802004648</v>
          </cell>
          <cell r="B1214" t="str">
            <v>SISTEG SAS</v>
          </cell>
          <cell r="C1214" t="str">
            <v>Paipa</v>
          </cell>
          <cell r="D1214" t="str">
            <v>Paipa</v>
          </cell>
          <cell r="F1214" t="str">
            <v>sistegsas@gmail.com</v>
          </cell>
        </row>
        <row r="1215">
          <cell r="A1215">
            <v>820001832</v>
          </cell>
          <cell r="B1215" t="str">
            <v>CAMARA REGIONAL DE LA CONSTRUCCION</v>
          </cell>
          <cell r="C1215" t="str">
            <v>Paipa</v>
          </cell>
          <cell r="D1215" t="str">
            <v>Paipa</v>
          </cell>
          <cell r="F1215" t="str">
            <v>administrativo@camacolboyaca.com</v>
          </cell>
        </row>
        <row r="1216">
          <cell r="A1216">
            <v>900059720</v>
          </cell>
          <cell r="B1216" t="str">
            <v>CONSTRUCTORA LARAMI SAS</v>
          </cell>
          <cell r="C1216" t="str">
            <v>Paipa</v>
          </cell>
          <cell r="D1216" t="str">
            <v>Paipa</v>
          </cell>
          <cell r="F1216" t="str">
            <v>facturacion.larami@gmail.com</v>
          </cell>
        </row>
        <row r="1217">
          <cell r="A1217">
            <v>900090077</v>
          </cell>
          <cell r="B1217" t="str">
            <v>FUNDACIÓN GESTORES SOCIALES</v>
          </cell>
          <cell r="C1217" t="str">
            <v>Paipa</v>
          </cell>
          <cell r="D1217" t="str">
            <v>Paipa</v>
          </cell>
          <cell r="F1217" t="str">
            <v>fungestores@gmail.com</v>
          </cell>
        </row>
        <row r="1218">
          <cell r="A1218">
            <v>900170555</v>
          </cell>
          <cell r="B1218" t="str">
            <v>PANOTA LTDA</v>
          </cell>
          <cell r="C1218" t="str">
            <v>Paipa</v>
          </cell>
          <cell r="D1218" t="str">
            <v>Paipa</v>
          </cell>
          <cell r="F1218" t="str">
            <v>panota@panotagroup.com</v>
          </cell>
        </row>
        <row r="1219">
          <cell r="A1219">
            <v>900201982</v>
          </cell>
          <cell r="B1219" t="str">
            <v>CASTRO Y LOZADA INGENIERIA SAS</v>
          </cell>
          <cell r="C1219" t="str">
            <v>Paipa</v>
          </cell>
          <cell r="D1219" t="str">
            <v>Paipa</v>
          </cell>
          <cell r="F1219" t="str">
            <v>lfsepulveda@castroylozadasas.com</v>
          </cell>
        </row>
        <row r="1220">
          <cell r="A1220">
            <v>900306528</v>
          </cell>
          <cell r="B1220" t="str">
            <v>SINERGY SECURITY S.A.S</v>
          </cell>
          <cell r="C1220" t="str">
            <v>Paipa</v>
          </cell>
          <cell r="D1220" t="str">
            <v>Paipa</v>
          </cell>
          <cell r="F1220" t="str">
            <v>contabilidad@sinergysecurity.com</v>
          </cell>
        </row>
        <row r="1221">
          <cell r="A1221">
            <v>900387055</v>
          </cell>
          <cell r="B1221" t="str">
            <v>CRISJUMIL SAS</v>
          </cell>
          <cell r="C1221" t="str">
            <v>Paipa</v>
          </cell>
          <cell r="D1221" t="str">
            <v>Paipa</v>
          </cell>
          <cell r="F1221" t="str">
            <v>crisjumilltda@gmail.com</v>
          </cell>
        </row>
        <row r="1222">
          <cell r="A1222">
            <v>900411971</v>
          </cell>
          <cell r="B1222" t="str">
            <v>YOJHAN PRIETO PRODUCCIONES SAS</v>
          </cell>
          <cell r="C1222" t="str">
            <v>Paipa</v>
          </cell>
          <cell r="D1222" t="str">
            <v>Paipa</v>
          </cell>
          <cell r="F1222" t="str">
            <v>yprietovera@gmail.com</v>
          </cell>
        </row>
        <row r="1223">
          <cell r="A1223">
            <v>900425750</v>
          </cell>
          <cell r="B1223" t="str">
            <v>IJM SAS</v>
          </cell>
          <cell r="C1223" t="str">
            <v>Paipa</v>
          </cell>
          <cell r="D1223" t="str">
            <v>Paipa</v>
          </cell>
          <cell r="F1223" t="str">
            <v>servicioalciente@ijmsas.com</v>
          </cell>
        </row>
        <row r="1224">
          <cell r="A1224">
            <v>900457671</v>
          </cell>
          <cell r="B1224" t="str">
            <v>INTINEL SAS</v>
          </cell>
          <cell r="C1224" t="str">
            <v>Paipa</v>
          </cell>
          <cell r="D1224" t="str">
            <v>Paipa</v>
          </cell>
          <cell r="F1224" t="str">
            <v>intinel.sas@gmail.com</v>
          </cell>
        </row>
        <row r="1225">
          <cell r="A1225">
            <v>900795834</v>
          </cell>
          <cell r="B1225" t="str">
            <v>AKRAW QUÍMICA SAS</v>
          </cell>
          <cell r="C1225" t="str">
            <v>Paipa</v>
          </cell>
          <cell r="D1225" t="str">
            <v>Paipa</v>
          </cell>
          <cell r="F1225" t="str">
            <v>facturacion.proveedores@akrawquimica.com</v>
          </cell>
        </row>
        <row r="1226">
          <cell r="A1226">
            <v>901057107</v>
          </cell>
          <cell r="B1226" t="str">
            <v>HIDRÁULICOS SOLANO SAS</v>
          </cell>
          <cell r="C1226" t="str">
            <v>Paipa</v>
          </cell>
          <cell r="D1226" t="str">
            <v>Paipa</v>
          </cell>
          <cell r="F1226" t="str">
            <v>contabilidadhs2@hotmail.com</v>
          </cell>
        </row>
        <row r="1227">
          <cell r="A1227">
            <v>901080332</v>
          </cell>
          <cell r="B1227" t="str">
            <v>EXONOVO INGENIERIA Y CONSULTORÍA SA</v>
          </cell>
          <cell r="C1227" t="str">
            <v>Paipa</v>
          </cell>
          <cell r="D1227" t="str">
            <v>Paipa</v>
          </cell>
          <cell r="F1227" t="str">
            <v>proyectos@exonovo.com</v>
          </cell>
        </row>
        <row r="1228">
          <cell r="A1228">
            <v>901189763</v>
          </cell>
          <cell r="B1228" t="str">
            <v>SRT SOLUCIONES INTEGRALES SAS</v>
          </cell>
          <cell r="C1228" t="str">
            <v>Paipa</v>
          </cell>
          <cell r="D1228" t="str">
            <v>Paipa</v>
          </cell>
          <cell r="F1228" t="str">
            <v>administrativo@srt-sas.com</v>
          </cell>
        </row>
        <row r="1229">
          <cell r="A1229">
            <v>901472628</v>
          </cell>
          <cell r="B1229" t="str">
            <v>COMERCIANTES TUNDAMA. SAS</v>
          </cell>
          <cell r="C1229" t="str">
            <v>Paipa</v>
          </cell>
          <cell r="D1229" t="str">
            <v>Paipa</v>
          </cell>
          <cell r="F1229" t="str">
            <v>comerciantestundama21@gmail.com</v>
          </cell>
        </row>
        <row r="1230">
          <cell r="A1230">
            <v>901504235</v>
          </cell>
          <cell r="B1230" t="str">
            <v>MANTENITEC TRANSPORTE SAS</v>
          </cell>
          <cell r="C1230" t="str">
            <v>Paipa</v>
          </cell>
          <cell r="D1230" t="str">
            <v>Paipa</v>
          </cell>
          <cell r="F1230" t="str">
            <v>facturacion.mantenitec@gmail.com</v>
          </cell>
        </row>
        <row r="1231">
          <cell r="A1231">
            <v>901665722</v>
          </cell>
          <cell r="B1231" t="str">
            <v>GRUPO FV SAS</v>
          </cell>
          <cell r="C1231" t="str">
            <v>Paipa</v>
          </cell>
          <cell r="D1231" t="str">
            <v>Paipa</v>
          </cell>
          <cell r="F1231" t="str">
            <v>info@grupofving.com</v>
          </cell>
        </row>
        <row r="1232">
          <cell r="A1232">
            <v>901816077</v>
          </cell>
          <cell r="B1232" t="str">
            <v>AGROINVERSIONES SANTO DOMINGO SAS</v>
          </cell>
          <cell r="C1232" t="str">
            <v>Paipa</v>
          </cell>
          <cell r="D1232" t="str">
            <v>Paipa</v>
          </cell>
          <cell r="F1232" t="str">
            <v>agroinnsas@gmail.com</v>
          </cell>
        </row>
        <row r="1233">
          <cell r="A1233">
            <v>74186320</v>
          </cell>
          <cell r="B1233" t="str">
            <v>JIMENEZ BARRERA OSCAR EDUATDO</v>
          </cell>
          <cell r="C1233" t="str">
            <v>Sogamoso</v>
          </cell>
          <cell r="D1233" t="str">
            <v>CLL 14 10 -40</v>
          </cell>
          <cell r="F1233" t="str">
            <v>oscarjimenez80@hotmail.com</v>
          </cell>
        </row>
        <row r="1234">
          <cell r="A1234">
            <v>1022372119</v>
          </cell>
          <cell r="B1234" t="str">
            <v>CASTAÑO MARIN YEFFERSON</v>
          </cell>
          <cell r="C1234" t="str">
            <v>Bogota D.C.</v>
          </cell>
          <cell r="D1234" t="str">
            <v>BOGOTA</v>
          </cell>
          <cell r="F1234" t="str">
            <v>turistica@outlook.com</v>
          </cell>
        </row>
        <row r="1235">
          <cell r="A1235">
            <v>900956381</v>
          </cell>
          <cell r="B1235" t="str">
            <v>INVERSIONES BOGOTA MOTORS</v>
          </cell>
          <cell r="C1235" t="str">
            <v>Bogota D.C.</v>
          </cell>
          <cell r="D1235" t="str">
            <v>CR 20A 61 B 70 SUR</v>
          </cell>
          <cell r="F1235" t="str">
            <v>turistica@outlook.com</v>
          </cell>
        </row>
        <row r="1236">
          <cell r="A1236">
            <v>900838860</v>
          </cell>
          <cell r="B1236" t="str">
            <v>TFIV SAS</v>
          </cell>
          <cell r="C1236" t="str">
            <v>Paipa</v>
          </cell>
          <cell r="D1236" t="str">
            <v>CL 27 17 21</v>
          </cell>
          <cell r="F1236" t="str">
            <v>tfivsas@gmail.com</v>
          </cell>
        </row>
        <row r="1237">
          <cell r="A1237">
            <v>4192168</v>
          </cell>
          <cell r="B1237" t="str">
            <v>RAMOS  CRISTIAN MARTINEZ</v>
          </cell>
          <cell r="C1237" t="str">
            <v>Paipa</v>
          </cell>
          <cell r="D1237" t="str">
            <v>Paipa</v>
          </cell>
          <cell r="F1237" t="str">
            <v>crismaratempo2@gmail.com</v>
          </cell>
        </row>
        <row r="1238">
          <cell r="A1238">
            <v>4258896</v>
          </cell>
          <cell r="B1238" t="str">
            <v>RINCON VARGAS CARLOS JULIO</v>
          </cell>
          <cell r="C1238" t="str">
            <v>Paipa</v>
          </cell>
          <cell r="D1238" t="str">
            <v>Paipa</v>
          </cell>
          <cell r="F1238" t="str">
            <v>carlorin88@gmail.com</v>
          </cell>
        </row>
        <row r="1239">
          <cell r="A1239">
            <v>7212120</v>
          </cell>
          <cell r="B1239" t="str">
            <v>DÍAZ CEPEDA FÉLIX ANTONIO</v>
          </cell>
          <cell r="C1239" t="str">
            <v>Paipa</v>
          </cell>
          <cell r="D1239" t="str">
            <v>Paipa</v>
          </cell>
          <cell r="F1239" t="str">
            <v>felixantonio2219@gmail.com</v>
          </cell>
        </row>
        <row r="1240">
          <cell r="A1240">
            <v>88232274</v>
          </cell>
          <cell r="B1240" t="str">
            <v>SANTAFE QUINTERO HAMILTON ALEXIS</v>
          </cell>
          <cell r="C1240" t="str">
            <v>Paipa</v>
          </cell>
          <cell r="D1240" t="str">
            <v>Paipa</v>
          </cell>
          <cell r="F1240" t="str">
            <v>halsaqui@hotmail.com</v>
          </cell>
        </row>
        <row r="1241">
          <cell r="A1241">
            <v>88269361</v>
          </cell>
          <cell r="B1241" t="str">
            <v>SANTOS CONTRERAS EDGAR ALFONSO</v>
          </cell>
          <cell r="C1241" t="str">
            <v>Paipa</v>
          </cell>
          <cell r="D1241" t="str">
            <v>Paipa</v>
          </cell>
          <cell r="F1241" t="str">
            <v>edgarsantos39@gmail.com</v>
          </cell>
        </row>
        <row r="1242">
          <cell r="A1242">
            <v>98393411</v>
          </cell>
          <cell r="B1242" t="str">
            <v>ACOSTA BELALCAZAR WILMER SAMIR</v>
          </cell>
          <cell r="C1242" t="str">
            <v>Paipa</v>
          </cell>
          <cell r="D1242" t="str">
            <v>Paipa</v>
          </cell>
          <cell r="F1242" t="str">
            <v>wilmeracosta48@hotmail.com</v>
          </cell>
        </row>
        <row r="1243">
          <cell r="A1243">
            <v>700063662</v>
          </cell>
          <cell r="B1243" t="str">
            <v>ZAMBRANA  DAVID LOPEZ</v>
          </cell>
          <cell r="C1243" t="str">
            <v>Paipa</v>
          </cell>
          <cell r="D1243" t="str">
            <v>Paipa</v>
          </cell>
          <cell r="F1243" t="str">
            <v>davidzambranacontable@gmail.com</v>
          </cell>
        </row>
        <row r="1244">
          <cell r="A1244">
            <v>1001097702</v>
          </cell>
          <cell r="B1244" t="str">
            <v>GARCIA MEJIA JULIANA MARCELA</v>
          </cell>
          <cell r="C1244" t="str">
            <v>Paipa</v>
          </cell>
          <cell r="D1244" t="str">
            <v>Paipa</v>
          </cell>
          <cell r="F1244" t="str">
            <v>contabilidadfamilypets@gmail.com</v>
          </cell>
        </row>
        <row r="1245">
          <cell r="A1245">
            <v>1007305364</v>
          </cell>
          <cell r="B1245" t="str">
            <v>IGUAVITA CRUZ JULIAN ANDRES</v>
          </cell>
          <cell r="C1245" t="str">
            <v>Paipa</v>
          </cell>
          <cell r="D1245" t="str">
            <v>Paipa</v>
          </cell>
          <cell r="F1245" t="str">
            <v>julian.iguavitac@gmail.com</v>
          </cell>
        </row>
        <row r="1246">
          <cell r="A1246">
            <v>1049611808</v>
          </cell>
          <cell r="B1246" t="str">
            <v>TORRES SAMACA ANDRES FELIPE</v>
          </cell>
          <cell r="C1246" t="str">
            <v>Paipa</v>
          </cell>
          <cell r="D1246" t="str">
            <v>Paipa</v>
          </cell>
          <cell r="F1246" t="str">
            <v>rtandres896@gmail.com</v>
          </cell>
        </row>
        <row r="1247">
          <cell r="A1247">
            <v>1049619181</v>
          </cell>
          <cell r="B1247" t="str">
            <v>PACHECO ACEVEDO JOSE SAUL</v>
          </cell>
          <cell r="C1247" t="str">
            <v>Paipa</v>
          </cell>
          <cell r="D1247" t="str">
            <v>Paipa</v>
          </cell>
          <cell r="F1247" t="str">
            <v>ing.josep@hotmail.com</v>
          </cell>
        </row>
        <row r="1248">
          <cell r="A1248">
            <v>3186807</v>
          </cell>
          <cell r="B1248" t="str">
            <v>GOMEZ GARAVITO JOSE ALBERTO</v>
          </cell>
          <cell r="C1248" t="str">
            <v>Paipa</v>
          </cell>
          <cell r="D1248" t="str">
            <v>Paipa</v>
          </cell>
          <cell r="F1248" t="str">
            <v>jalbertoeltric@gmail.com</v>
          </cell>
        </row>
        <row r="1249">
          <cell r="A1249">
            <v>4192272</v>
          </cell>
          <cell r="B1249" t="str">
            <v>VILLAMIL PINEDA LELIS ANIBAL</v>
          </cell>
          <cell r="C1249" t="str">
            <v>Paipa</v>
          </cell>
          <cell r="D1249" t="str">
            <v>Paipa</v>
          </cell>
          <cell r="F1249" t="str">
            <v>lelisvillamil1304@gmail.com</v>
          </cell>
        </row>
        <row r="1250">
          <cell r="A1250">
            <v>7165777</v>
          </cell>
          <cell r="B1250" t="str">
            <v>TOLOSA BOHORQUEZ FABIO MAURICIO</v>
          </cell>
          <cell r="C1250" t="str">
            <v>Paipa</v>
          </cell>
          <cell r="D1250" t="str">
            <v>Paipa</v>
          </cell>
          <cell r="F1250" t="str">
            <v>fabiomauriciotolosabohorquez@gmail.com</v>
          </cell>
        </row>
        <row r="1251">
          <cell r="A1251">
            <v>7168256</v>
          </cell>
          <cell r="B1251" t="str">
            <v>SANCHEZ PUENTES HOLMAN HUMBERTO</v>
          </cell>
          <cell r="C1251" t="str">
            <v>Paipa</v>
          </cell>
          <cell r="D1251" t="str">
            <v>Paipa</v>
          </cell>
          <cell r="F1251" t="str">
            <v>holmans@hotmail.com</v>
          </cell>
        </row>
        <row r="1252">
          <cell r="A1252">
            <v>7176279</v>
          </cell>
          <cell r="B1252" t="str">
            <v>GUTIÉRREZ JUNCO OSCAR JAVIER</v>
          </cell>
          <cell r="C1252" t="str">
            <v>Paipa</v>
          </cell>
          <cell r="D1252" t="str">
            <v>Paipa</v>
          </cell>
          <cell r="F1252" t="str">
            <v>ojgutierrez@gmail.com</v>
          </cell>
        </row>
        <row r="1253">
          <cell r="A1253">
            <v>7220541</v>
          </cell>
          <cell r="B1253" t="str">
            <v>BECERRA RIVERA MIGUEL MIGUEL</v>
          </cell>
          <cell r="C1253" t="str">
            <v>Paipa</v>
          </cell>
          <cell r="D1253" t="str">
            <v>Paipa</v>
          </cell>
          <cell r="F1253" t="str">
            <v>jucar91973@gmail.com</v>
          </cell>
        </row>
        <row r="1254">
          <cell r="A1254">
            <v>19459698</v>
          </cell>
          <cell r="B1254" t="str">
            <v>CASTRO RUBIO JULIO CESAR</v>
          </cell>
          <cell r="C1254" t="str">
            <v>Paipa</v>
          </cell>
          <cell r="D1254" t="str">
            <v>Paipa</v>
          </cell>
          <cell r="F1254" t="str">
            <v>castrorubiojc@gmail.com</v>
          </cell>
        </row>
        <row r="1255">
          <cell r="A1255">
            <v>35220526</v>
          </cell>
          <cell r="B1255" t="str">
            <v>MORA SALAZAR JENNY ALEXANDRA</v>
          </cell>
          <cell r="C1255" t="str">
            <v>Paipa</v>
          </cell>
          <cell r="D1255" t="str">
            <v>Paipa</v>
          </cell>
          <cell r="F1255" t="str">
            <v>jennymoracontador@gmail.com</v>
          </cell>
        </row>
        <row r="1256">
          <cell r="A1256">
            <v>40030868</v>
          </cell>
          <cell r="B1256" t="str">
            <v>BUITRAGO PERALTA ALIETH KENY</v>
          </cell>
          <cell r="C1256" t="str">
            <v>Paipa</v>
          </cell>
          <cell r="D1256" t="str">
            <v>Paipa</v>
          </cell>
          <cell r="F1256" t="str">
            <v>aliethkeny@yahoo.com</v>
          </cell>
        </row>
        <row r="1257">
          <cell r="A1257">
            <v>46672501</v>
          </cell>
          <cell r="B1257" t="str">
            <v>VILLATE  MARITZA</v>
          </cell>
          <cell r="C1257" t="str">
            <v>Paipa</v>
          </cell>
          <cell r="D1257" t="str">
            <v>Paipa</v>
          </cell>
          <cell r="F1257" t="str">
            <v>mavif7576@gmail.com</v>
          </cell>
        </row>
        <row r="1258">
          <cell r="A1258">
            <v>63362675</v>
          </cell>
          <cell r="B1258" t="str">
            <v>GÓMEZ ARDILA LUZ MILENA</v>
          </cell>
          <cell r="C1258" t="str">
            <v>Paipa</v>
          </cell>
          <cell r="D1258" t="str">
            <v>Paipa</v>
          </cell>
          <cell r="F1258" t="str">
            <v>milegoar@hotmail.com</v>
          </cell>
        </row>
        <row r="1259">
          <cell r="A1259">
            <v>71653912</v>
          </cell>
          <cell r="B1259" t="str">
            <v>TORRES GOMEZ LUIS FERNANDO</v>
          </cell>
          <cell r="C1259" t="str">
            <v>Paipa</v>
          </cell>
          <cell r="D1259" t="str">
            <v>Paipa</v>
          </cell>
          <cell r="F1259" t="str">
            <v>luisefe25@gmail.com</v>
          </cell>
        </row>
        <row r="1260">
          <cell r="A1260">
            <v>74081029</v>
          </cell>
          <cell r="B1260" t="str">
            <v>MESA  JHON ROSAS</v>
          </cell>
          <cell r="C1260" t="str">
            <v>Paipa</v>
          </cell>
          <cell r="D1260" t="str">
            <v>Paipa</v>
          </cell>
          <cell r="F1260" t="str">
            <v>ingjohnrosas@gmail.com</v>
          </cell>
        </row>
        <row r="1261">
          <cell r="A1261">
            <v>74170289</v>
          </cell>
          <cell r="B1261" t="str">
            <v>MOJICA LUNA JHON JAIRO</v>
          </cell>
          <cell r="C1261" t="str">
            <v>Paipa</v>
          </cell>
          <cell r="D1261" t="str">
            <v>Paipa</v>
          </cell>
          <cell r="F1261" t="str">
            <v>jhonj.ml12@gmail.com</v>
          </cell>
        </row>
        <row r="1262">
          <cell r="A1262">
            <v>74322514</v>
          </cell>
          <cell r="B1262" t="str">
            <v>LOPEZ LOPEZ JAIRO ALBERTO</v>
          </cell>
          <cell r="C1262" t="str">
            <v>Paipa</v>
          </cell>
          <cell r="D1262" t="str">
            <v>Paipa</v>
          </cell>
          <cell r="F1262" t="str">
            <v>jairo-lopez50@hotmail.com</v>
          </cell>
        </row>
        <row r="1263">
          <cell r="A1263">
            <v>74323538</v>
          </cell>
          <cell r="B1263" t="str">
            <v>ECHEVERRIA CASTELLANOS NORBERTO ARTURO</v>
          </cell>
          <cell r="C1263" t="str">
            <v>Paipa</v>
          </cell>
          <cell r="D1263" t="str">
            <v>Paipa</v>
          </cell>
          <cell r="F1263" t="str">
            <v>ferrecca@hotmail.com</v>
          </cell>
        </row>
        <row r="1264">
          <cell r="A1264">
            <v>74324431</v>
          </cell>
          <cell r="B1264" t="str">
            <v>MARTINEZ  CHRISTIAM</v>
          </cell>
          <cell r="C1264" t="str">
            <v>Paipa</v>
          </cell>
          <cell r="D1264" t="str">
            <v>Paipa</v>
          </cell>
          <cell r="F1264" t="str">
            <v>martinez-c71@outlook.es</v>
          </cell>
        </row>
        <row r="1265">
          <cell r="A1265">
            <v>74360718</v>
          </cell>
          <cell r="B1265" t="str">
            <v>SALCEDO PÉREZ JOSE WILLIAM</v>
          </cell>
          <cell r="C1265" t="str">
            <v>Paipa</v>
          </cell>
          <cell r="D1265" t="str">
            <v>Paipa</v>
          </cell>
          <cell r="F1265" t="str">
            <v>jwillsalcedo@gmail.com</v>
          </cell>
        </row>
        <row r="1266">
          <cell r="A1266">
            <v>74360853</v>
          </cell>
          <cell r="B1266" t="str">
            <v>PEREZ CASTRO PABLO CESAR</v>
          </cell>
          <cell r="C1266" t="str">
            <v>Paipa</v>
          </cell>
          <cell r="D1266" t="str">
            <v>Paipa</v>
          </cell>
          <cell r="F1266" t="str">
            <v>perezcastrojuridico@gmail.com</v>
          </cell>
        </row>
        <row r="1267">
          <cell r="A1267">
            <v>79001427</v>
          </cell>
          <cell r="B1267" t="str">
            <v>DIAZ  FERNANDO CORTES</v>
          </cell>
          <cell r="C1267" t="str">
            <v>Paipa</v>
          </cell>
          <cell r="D1267" t="str">
            <v>Paipa</v>
          </cell>
          <cell r="F1267" t="str">
            <v>fecordi@yahoo.com</v>
          </cell>
        </row>
        <row r="1268">
          <cell r="A1268">
            <v>80192830</v>
          </cell>
          <cell r="B1268" t="str">
            <v>CORREA NUÑEZ ANDRES CAMILO</v>
          </cell>
          <cell r="C1268" t="str">
            <v>Paipa</v>
          </cell>
          <cell r="D1268" t="str">
            <v>Paipa</v>
          </cell>
          <cell r="F1268" t="str">
            <v>acamilocorrean@gmail.com</v>
          </cell>
        </row>
        <row r="1269">
          <cell r="A1269">
            <v>80655522</v>
          </cell>
          <cell r="B1269" t="str">
            <v>MELO CARRERO EDWIN YESID</v>
          </cell>
          <cell r="C1269" t="str">
            <v>Paipa</v>
          </cell>
          <cell r="D1269" t="str">
            <v>Paipa</v>
          </cell>
          <cell r="F1269" t="str">
            <v>edwinyesidmelo1979@gmail.com</v>
          </cell>
        </row>
        <row r="1270">
          <cell r="A1270">
            <v>93239310</v>
          </cell>
          <cell r="B1270" t="str">
            <v>OSPINA MURILLO JULIAN ANTONIO</v>
          </cell>
          <cell r="C1270" t="str">
            <v>Paipa</v>
          </cell>
          <cell r="D1270" t="str">
            <v>Paipa</v>
          </cell>
          <cell r="F1270" t="str">
            <v>julianospina.522@gmail.com</v>
          </cell>
        </row>
        <row r="1271">
          <cell r="A1271">
            <v>700424191</v>
          </cell>
          <cell r="B1271" t="str">
            <v>HERMOSILLO  ISRAEL PATRACA</v>
          </cell>
          <cell r="C1271" t="str">
            <v>Paipa</v>
          </cell>
          <cell r="D1271" t="str">
            <v>Paipa</v>
          </cell>
          <cell r="F1271" t="str">
            <v>tenaris@yahoo.com</v>
          </cell>
        </row>
        <row r="1272">
          <cell r="A1272">
            <v>1002460053</v>
          </cell>
          <cell r="B1272" t="str">
            <v>MATEUS PINZON JOHN STIVEN</v>
          </cell>
          <cell r="C1272" t="str">
            <v>Paipa</v>
          </cell>
          <cell r="D1272" t="str">
            <v>Paipa</v>
          </cell>
          <cell r="F1272" t="str">
            <v>johnestivenmateuspinzon@gmail.com</v>
          </cell>
        </row>
        <row r="1273">
          <cell r="A1273">
            <v>1002697452</v>
          </cell>
          <cell r="B1273" t="str">
            <v>MARTINEZ MARTINEZ BRAYAN FERNEY</v>
          </cell>
          <cell r="C1273" t="str">
            <v>Paipa</v>
          </cell>
          <cell r="D1273" t="str">
            <v>Paipa</v>
          </cell>
          <cell r="F1273" t="str">
            <v>yambra16@gmail.com</v>
          </cell>
        </row>
        <row r="1274">
          <cell r="A1274">
            <v>1007379362</v>
          </cell>
          <cell r="B1274" t="str">
            <v>ACUÑA ALBA CARLOS EDUARDO</v>
          </cell>
          <cell r="C1274" t="str">
            <v>Paipa</v>
          </cell>
          <cell r="D1274" t="str">
            <v>Paipa</v>
          </cell>
          <cell r="F1274" t="str">
            <v>charlieaa4@gmail.com</v>
          </cell>
        </row>
        <row r="1275">
          <cell r="A1275">
            <v>1010041833</v>
          </cell>
          <cell r="B1275" t="str">
            <v>AYALA CRISTANCHO YIMMY DAVID</v>
          </cell>
          <cell r="C1275" t="str">
            <v>Paipa</v>
          </cell>
          <cell r="D1275" t="str">
            <v>Paipa</v>
          </cell>
          <cell r="F1275" t="str">
            <v>saravalentina10100@gmail.com</v>
          </cell>
        </row>
        <row r="1276">
          <cell r="A1276">
            <v>1015464388</v>
          </cell>
          <cell r="B1276" t="str">
            <v>GOMEZ VELASCO CRISTIAN MATEO</v>
          </cell>
          <cell r="C1276" t="str">
            <v>Paipa</v>
          </cell>
          <cell r="D1276" t="str">
            <v>Paipa</v>
          </cell>
          <cell r="F1276" t="str">
            <v>mateogove@gmail.com</v>
          </cell>
        </row>
        <row r="1277">
          <cell r="A1277">
            <v>1020774426</v>
          </cell>
          <cell r="B1277" t="str">
            <v>RIVERA MARIÑO MARIA ISABEL</v>
          </cell>
          <cell r="C1277" t="str">
            <v>Paipa</v>
          </cell>
          <cell r="D1277" t="str">
            <v>Paipa</v>
          </cell>
          <cell r="F1277" t="str">
            <v>isabelriveram@outlook.es</v>
          </cell>
        </row>
        <row r="1278">
          <cell r="A1278">
            <v>1030588341</v>
          </cell>
          <cell r="B1278" t="str">
            <v>MOJICA  WILLIAM</v>
          </cell>
          <cell r="C1278" t="str">
            <v>Paipa</v>
          </cell>
          <cell r="D1278" t="str">
            <v>Paipa</v>
          </cell>
          <cell r="F1278" t="str">
            <v>william.mojica@outlook.com</v>
          </cell>
        </row>
        <row r="1279">
          <cell r="A1279">
            <v>1031146258</v>
          </cell>
          <cell r="B1279" t="str">
            <v>LEAL RODRIGUEZ YENNIFER PAOLA</v>
          </cell>
          <cell r="C1279" t="str">
            <v>Paipa</v>
          </cell>
          <cell r="D1279" t="str">
            <v>Paipa</v>
          </cell>
          <cell r="F1279" t="str">
            <v>jennifer1_33@hotmail.com</v>
          </cell>
        </row>
        <row r="1280">
          <cell r="A1280">
            <v>1052403462</v>
          </cell>
          <cell r="B1280" t="str">
            <v>CORONADO PINZÓN ANDRES LEONARDO</v>
          </cell>
          <cell r="C1280" t="str">
            <v>Paipa</v>
          </cell>
          <cell r="D1280" t="str">
            <v>Paipa</v>
          </cell>
          <cell r="F1280" t="str">
            <v>andrescoronado46@gmail.com</v>
          </cell>
        </row>
        <row r="1281">
          <cell r="A1281">
            <v>1052414188</v>
          </cell>
          <cell r="B1281" t="str">
            <v>LARGO GOMEZ CRISTIAN FARID</v>
          </cell>
          <cell r="C1281" t="str">
            <v>Paipa</v>
          </cell>
          <cell r="D1281" t="str">
            <v>Paipa</v>
          </cell>
          <cell r="F1281" t="str">
            <v>elbodegondistrigranos@gmail.com</v>
          </cell>
        </row>
        <row r="1282">
          <cell r="A1282">
            <v>1053609068</v>
          </cell>
          <cell r="B1282" t="str">
            <v>PINZON PARADA JOHN FREDDY</v>
          </cell>
          <cell r="C1282" t="str">
            <v>Paipa</v>
          </cell>
          <cell r="D1282" t="str">
            <v>Paipa</v>
          </cell>
          <cell r="F1282" t="str">
            <v>jhonfreddypinzon@hotmail.com</v>
          </cell>
        </row>
        <row r="1283">
          <cell r="A1283">
            <v>1053609179</v>
          </cell>
          <cell r="B1283" t="str">
            <v>RINCÓN  WISMADEVA MARTINEZ</v>
          </cell>
          <cell r="C1283" t="str">
            <v>Paipa</v>
          </cell>
          <cell r="D1283" t="str">
            <v>Paipa</v>
          </cell>
          <cell r="F1283" t="str">
            <v>martinezwismadeva@gmail.com</v>
          </cell>
        </row>
        <row r="1284">
          <cell r="A1284">
            <v>1053609600</v>
          </cell>
          <cell r="B1284" t="str">
            <v>PACHECO NIÑO CRISTHIAN DAVID</v>
          </cell>
          <cell r="C1284" t="str">
            <v>Paipa</v>
          </cell>
          <cell r="D1284" t="str">
            <v>Paipa</v>
          </cell>
          <cell r="F1284" t="str">
            <v>cristhianpacheco.n09@gmail.com</v>
          </cell>
        </row>
        <row r="1285">
          <cell r="A1285">
            <v>1053610110</v>
          </cell>
          <cell r="B1285" t="str">
            <v>GARZÓN SÁNCHEZ ANDREA DEL PILAR</v>
          </cell>
          <cell r="C1285" t="str">
            <v>Paipa</v>
          </cell>
          <cell r="D1285" t="str">
            <v>Paipa</v>
          </cell>
          <cell r="F1285" t="str">
            <v>andrea_gar_r@hotmail.com</v>
          </cell>
        </row>
        <row r="1286">
          <cell r="A1286">
            <v>1055226515</v>
          </cell>
          <cell r="B1286" t="str">
            <v>TAMBO RIVERA LEIDY YOHANA</v>
          </cell>
          <cell r="C1286" t="str">
            <v>Paipa</v>
          </cell>
          <cell r="D1286" t="str">
            <v>Paipa</v>
          </cell>
          <cell r="F1286" t="str">
            <v>johanatambo27@gmil.com</v>
          </cell>
        </row>
        <row r="1287">
          <cell r="A1287">
            <v>1072669026</v>
          </cell>
          <cell r="B1287" t="str">
            <v>CHAVEZ SOCHA JESUS ERNESTO</v>
          </cell>
          <cell r="C1287" t="str">
            <v>Paipa</v>
          </cell>
          <cell r="D1287" t="str">
            <v>Paipa</v>
          </cell>
          <cell r="F1287" t="str">
            <v>invercioneschavez29@gmail.com</v>
          </cell>
        </row>
        <row r="1288">
          <cell r="A1288">
            <v>1090368699</v>
          </cell>
          <cell r="B1288" t="str">
            <v>ANGARITA  HENDER</v>
          </cell>
          <cell r="C1288" t="str">
            <v>Paipa</v>
          </cell>
          <cell r="D1288" t="str">
            <v>Paipa</v>
          </cell>
          <cell r="F1288" t="str">
            <v>henderangaritatorres@gmail.com</v>
          </cell>
        </row>
        <row r="1289">
          <cell r="A1289">
            <v>1098664352</v>
          </cell>
          <cell r="B1289" t="str">
            <v>PATINO QUINBAYO DAYAN ALBERTO</v>
          </cell>
          <cell r="C1289" t="str">
            <v>Paipa</v>
          </cell>
          <cell r="D1289" t="str">
            <v>Paipa</v>
          </cell>
          <cell r="F1289" t="str">
            <v>ingd.patino@gmail.com</v>
          </cell>
        </row>
        <row r="1290">
          <cell r="A1290">
            <v>826003505</v>
          </cell>
          <cell r="B1290" t="str">
            <v>JUNTA ACCION COMUNAL LA PLAYA</v>
          </cell>
          <cell r="C1290" t="str">
            <v>Paipa</v>
          </cell>
          <cell r="D1290" t="str">
            <v>Paipa</v>
          </cell>
          <cell r="F1290" t="str">
            <v>piscinalaplaya@hotmail.com</v>
          </cell>
        </row>
        <row r="1291">
          <cell r="A1291">
            <v>830056174</v>
          </cell>
          <cell r="B1291" t="str">
            <v>SERVIMAX Y COMPANIA SAS</v>
          </cell>
          <cell r="C1291" t="str">
            <v>Paipa</v>
          </cell>
          <cell r="D1291" t="str">
            <v>Paipa</v>
          </cell>
          <cell r="F1291" t="str">
            <v>jaime.arevalo@servimax.co</v>
          </cell>
        </row>
        <row r="1292">
          <cell r="A1292">
            <v>830079479</v>
          </cell>
          <cell r="B1292" t="str">
            <v>COMPUTADORES PARA EDUCAR</v>
          </cell>
          <cell r="C1292" t="str">
            <v>Paipa</v>
          </cell>
          <cell r="D1292" t="str">
            <v>Paipa</v>
          </cell>
          <cell r="F1292" t="str">
            <v>jquintero@cpe.gov.co</v>
          </cell>
        </row>
        <row r="1293">
          <cell r="A1293">
            <v>900080090</v>
          </cell>
          <cell r="B1293" t="str">
            <v>OHBLTDA</v>
          </cell>
          <cell r="C1293" t="str">
            <v>Paipa</v>
          </cell>
          <cell r="D1293" t="str">
            <v>Paipa</v>
          </cell>
          <cell r="F1293" t="str">
            <v>ohb.ltda@ohbltda.com</v>
          </cell>
        </row>
        <row r="1294">
          <cell r="A1294">
            <v>900471288</v>
          </cell>
          <cell r="B1294" t="str">
            <v>OIL POWER SAS</v>
          </cell>
          <cell r="C1294" t="str">
            <v>Paipa</v>
          </cell>
          <cell r="D1294" t="str">
            <v>Paipa</v>
          </cell>
          <cell r="F1294" t="str">
            <v>facturacion@oilpower.co</v>
          </cell>
        </row>
        <row r="1295">
          <cell r="A1295">
            <v>900482155</v>
          </cell>
          <cell r="B1295" t="str">
            <v>SINDICATO DE LA COMPANIA ELECTRICA</v>
          </cell>
          <cell r="C1295" t="str">
            <v>Paipa</v>
          </cell>
          <cell r="D1295" t="str">
            <v>Paipa</v>
          </cell>
          <cell r="F1295" t="str">
            <v>ssintraces.cuarta@hotmail.com</v>
          </cell>
        </row>
        <row r="1296">
          <cell r="A1296">
            <v>900554767</v>
          </cell>
          <cell r="B1296" t="str">
            <v>AGUIAR ARQUITECTURA COMERCIALIZADOR</v>
          </cell>
          <cell r="C1296" t="str">
            <v>Paipa</v>
          </cell>
          <cell r="D1296" t="str">
            <v>Paipa</v>
          </cell>
          <cell r="F1296" t="str">
            <v>aguiar_arquitectura@yahoo.es</v>
          </cell>
        </row>
        <row r="1297">
          <cell r="A1297">
            <v>900582197</v>
          </cell>
          <cell r="B1297" t="str">
            <v>PESLACPROCESADORA DE LACTEOS</v>
          </cell>
          <cell r="C1297" t="str">
            <v>Paipa</v>
          </cell>
          <cell r="D1297" t="str">
            <v>Paipa</v>
          </cell>
          <cell r="F1297" t="str">
            <v>lacteospeslac@gmail.com</v>
          </cell>
        </row>
        <row r="1298">
          <cell r="A1298">
            <v>900663861</v>
          </cell>
          <cell r="B1298" t="str">
            <v>CONSORCIO ESTACION DE ALEJANDRIA</v>
          </cell>
          <cell r="C1298" t="str">
            <v>Paipa</v>
          </cell>
          <cell r="D1298" t="str">
            <v>Paipa</v>
          </cell>
          <cell r="F1298" t="str">
            <v>caben2@hotmail.com</v>
          </cell>
        </row>
        <row r="1299">
          <cell r="A1299">
            <v>900928849</v>
          </cell>
          <cell r="B1299" t="str">
            <v>PSI INGENIEROS S.A.S</v>
          </cell>
          <cell r="C1299" t="str">
            <v>Paipa</v>
          </cell>
          <cell r="D1299" t="str">
            <v>Paipa</v>
          </cell>
          <cell r="F1299" t="str">
            <v>psicontabilidad055@gmail.com</v>
          </cell>
        </row>
        <row r="1300">
          <cell r="A1300">
            <v>901096446</v>
          </cell>
          <cell r="B1300" t="str">
            <v>MULTINGENIERIA Y PROYECTOS INTEGRAL</v>
          </cell>
          <cell r="C1300" t="str">
            <v>Paipa</v>
          </cell>
          <cell r="D1300" t="str">
            <v>Paipa</v>
          </cell>
          <cell r="F1300" t="str">
            <v>ingsamirsagre@gmail.com</v>
          </cell>
        </row>
        <row r="1301">
          <cell r="A1301">
            <v>901312316</v>
          </cell>
          <cell r="B1301" t="str">
            <v>PROTEGIENDO HUELLAS</v>
          </cell>
          <cell r="C1301" t="str">
            <v>Paipa</v>
          </cell>
          <cell r="D1301" t="str">
            <v>Paipa</v>
          </cell>
          <cell r="F1301" t="str">
            <v>protegiendohuellas2019@gmail.com</v>
          </cell>
        </row>
        <row r="1302">
          <cell r="A1302">
            <v>901343587</v>
          </cell>
          <cell r="B1302" t="str">
            <v>SOLUCIONES INTEGRALES SOGAMOSO BOYA</v>
          </cell>
          <cell r="C1302" t="str">
            <v>Paipa</v>
          </cell>
          <cell r="D1302" t="str">
            <v>Paipa</v>
          </cell>
          <cell r="F1302" t="str">
            <v>sisboysasesp@gmail.com</v>
          </cell>
        </row>
        <row r="1303">
          <cell r="A1303">
            <v>901349813</v>
          </cell>
          <cell r="B1303" t="str">
            <v>M SIERRA FERRETEROS SAS</v>
          </cell>
          <cell r="C1303" t="str">
            <v>Paipa</v>
          </cell>
          <cell r="D1303" t="str">
            <v>Paipa</v>
          </cell>
          <cell r="F1303" t="str">
            <v>distribucionesmsierra@hotmail.com</v>
          </cell>
        </row>
        <row r="1304">
          <cell r="A1304">
            <v>901409419</v>
          </cell>
          <cell r="B1304" t="str">
            <v>PROCESADORA DE LECHE DE BOYACA SAS</v>
          </cell>
          <cell r="C1304" t="str">
            <v>Paipa</v>
          </cell>
          <cell r="D1304" t="str">
            <v>Paipa</v>
          </cell>
          <cell r="F1304" t="str">
            <v>proleboy@proleboy.com</v>
          </cell>
        </row>
        <row r="1305">
          <cell r="A1305">
            <v>901497998</v>
          </cell>
          <cell r="B1305" t="str">
            <v>FENIX ECO SOLUCIONES S.A.S</v>
          </cell>
          <cell r="C1305" t="str">
            <v>Paipa</v>
          </cell>
          <cell r="D1305" t="str">
            <v>Paipa</v>
          </cell>
          <cell r="F1305" t="str">
            <v>fenixecosoluciones@gmail.com</v>
          </cell>
        </row>
        <row r="1306">
          <cell r="A1306">
            <v>901520429</v>
          </cell>
          <cell r="B1306" t="str">
            <v>LAS ROKAS COMPAÑÍA SAS</v>
          </cell>
          <cell r="C1306" t="str">
            <v>Paipa</v>
          </cell>
          <cell r="D1306" t="str">
            <v>Paipa</v>
          </cell>
          <cell r="F1306" t="str">
            <v>lasrokascompania@gmail.com</v>
          </cell>
        </row>
        <row r="1307">
          <cell r="A1307">
            <v>901963394</v>
          </cell>
          <cell r="B1307" t="str">
            <v>CONSORCIO RYP</v>
          </cell>
          <cell r="C1307" t="str">
            <v>Paipa</v>
          </cell>
          <cell r="D1307" t="str">
            <v>Paipa</v>
          </cell>
          <cell r="F1307" t="str">
            <v>andenespaipa2025@gmail.com</v>
          </cell>
        </row>
        <row r="1308">
          <cell r="A1308">
            <v>901967602</v>
          </cell>
          <cell r="B1308" t="str">
            <v>LUDAUT AUTOMATIZACIÓN Y SEGURIDAD S</v>
          </cell>
          <cell r="C1308" t="str">
            <v>Paipa</v>
          </cell>
          <cell r="D1308" t="str">
            <v>Paipa</v>
          </cell>
          <cell r="F1308" t="str">
            <v>ludautfacturas@gmail.com</v>
          </cell>
        </row>
        <row r="1309">
          <cell r="A1309">
            <v>1052406461</v>
          </cell>
          <cell r="B1309" t="str">
            <v>QUINTERO FLOREZ MARIA DEL</v>
          </cell>
          <cell r="C1309" t="str">
            <v>Paipa</v>
          </cell>
          <cell r="D1309" t="str">
            <v>Paipa</v>
          </cell>
          <cell r="F1309" t="str">
            <v>pilarquintero2303@gmail.com</v>
          </cell>
        </row>
        <row r="1310">
          <cell r="A1310">
            <v>23853895</v>
          </cell>
          <cell r="B1310" t="str">
            <v>MEDINA PACHECO DORA HILDA</v>
          </cell>
          <cell r="C1310" t="str">
            <v>Paipa</v>
          </cell>
          <cell r="D1310" t="str">
            <v>Paipa</v>
          </cell>
          <cell r="F1310" t="str">
            <v>maderasalamos@hotmail.com</v>
          </cell>
        </row>
        <row r="1311">
          <cell r="A1311">
            <v>900131287</v>
          </cell>
          <cell r="B1311" t="str">
            <v>INSUMOS BIOLOGICOS DE COLOMBIA SAS</v>
          </cell>
          <cell r="C1311" t="str">
            <v>Paipa</v>
          </cell>
          <cell r="D1311" t="str">
            <v>Paipa</v>
          </cell>
          <cell r="F1311" t="str">
            <v>jsilva@ibicol.com.co</v>
          </cell>
        </row>
        <row r="1312">
          <cell r="A1312">
            <v>901338598</v>
          </cell>
          <cell r="B1312" t="str">
            <v>SERVICIOS DE NEUROFISIOLOGIA Y SUEÑ</v>
          </cell>
          <cell r="C1312" t="str">
            <v>Paipa</v>
          </cell>
          <cell r="D1312" t="str">
            <v>Paipa</v>
          </cell>
          <cell r="F1312" t="str">
            <v>nysbethel@gmail.com</v>
          </cell>
        </row>
        <row r="1313">
          <cell r="A1313">
            <v>901465361</v>
          </cell>
          <cell r="B1313" t="str">
            <v>ARAMAR SUPERMERCADOS S.A.S</v>
          </cell>
          <cell r="C1313" t="str">
            <v>Paipa</v>
          </cell>
          <cell r="D1313" t="str">
            <v>CR 23 22 51</v>
          </cell>
          <cell r="F1313" t="str">
            <v>factelecaramar@gmail.com</v>
          </cell>
        </row>
        <row r="1314">
          <cell r="A1314">
            <v>74359958</v>
          </cell>
          <cell r="B1314" t="str">
            <v>GONZALEZ MONTOYA GERMAN  ANDRES</v>
          </cell>
          <cell r="C1314" t="str">
            <v>Paipa</v>
          </cell>
          <cell r="D1314" t="str">
            <v>paipa</v>
          </cell>
          <cell r="F1314" t="str">
            <v>germanandres78@yahoo.es</v>
          </cell>
        </row>
        <row r="1315">
          <cell r="A1315">
            <v>1052406956</v>
          </cell>
          <cell r="B1315" t="str">
            <v>BALLESTEROS SEBASTIAN</v>
          </cell>
          <cell r="C1315" t="str">
            <v>Paipa</v>
          </cell>
          <cell r="D1315" t="str">
            <v>paipa</v>
          </cell>
          <cell r="F1315" t="str">
            <v>juansebasbp@gmail.com</v>
          </cell>
        </row>
        <row r="1316">
          <cell r="A1316">
            <v>74130961</v>
          </cell>
          <cell r="B1316" t="str">
            <v>CAMACHO HERNANDEZ EDWIN ANDRES</v>
          </cell>
          <cell r="C1316" t="str">
            <v>Paipa</v>
          </cell>
          <cell r="D1316" t="str">
            <v>paipa</v>
          </cell>
          <cell r="F1316" t="str">
            <v>edwincam83@hotmail.com</v>
          </cell>
        </row>
        <row r="1317">
          <cell r="A1317">
            <v>1053609694</v>
          </cell>
          <cell r="B1317" t="str">
            <v>ACERO BAEZ SERGIO DAVID</v>
          </cell>
          <cell r="C1317" t="str">
            <v>Paipa</v>
          </cell>
          <cell r="D1317" t="str">
            <v>CR 21 25-09</v>
          </cell>
          <cell r="F1317" t="str">
            <v>urbanocelyrojas@yahoo.com</v>
          </cell>
        </row>
        <row r="1318">
          <cell r="A1318">
            <v>72204929</v>
          </cell>
          <cell r="B1318" t="str">
            <v>POLO AMADOR JUAN CARLOS</v>
          </cell>
          <cell r="C1318" t="str">
            <v>Paipa</v>
          </cell>
          <cell r="D1318" t="str">
            <v>CR 28 10 61</v>
          </cell>
          <cell r="F1318" t="str">
            <v>jpolo@personaliza2.co</v>
          </cell>
        </row>
        <row r="1319">
          <cell r="A1319">
            <v>830125996</v>
          </cell>
          <cell r="B1319" t="str">
            <v>AGENCIA NACIONAL DE INFRAESTRUCTURA</v>
          </cell>
          <cell r="C1319" t="str">
            <v>Paipa</v>
          </cell>
          <cell r="D1319" t="str">
            <v>Paipa</v>
          </cell>
          <cell r="F1319" t="str">
            <v>nmaldonado@ani.gov.co</v>
          </cell>
        </row>
        <row r="1320">
          <cell r="A1320">
            <v>900701915</v>
          </cell>
          <cell r="B1320" t="str">
            <v>EQUIPOS PARA CONSTRUCCIÓN</v>
          </cell>
          <cell r="C1320" t="str">
            <v>Paipa</v>
          </cell>
          <cell r="D1320" t="str">
            <v>Paipa</v>
          </cell>
          <cell r="F1320" t="str">
            <v>comercializadorahrsa@yahoo.com</v>
          </cell>
        </row>
        <row r="1321">
          <cell r="A1321">
            <v>901465886</v>
          </cell>
          <cell r="B1321" t="str">
            <v>SOLUCIONES EN FIBRA ÓPTICA E INTERN</v>
          </cell>
          <cell r="C1321" t="str">
            <v>Paipa</v>
          </cell>
          <cell r="D1321" t="str">
            <v>Paipa</v>
          </cell>
          <cell r="F1321" t="str">
            <v>admin@sofi-soluciones.com</v>
          </cell>
        </row>
        <row r="1322">
          <cell r="A1322">
            <v>74185393</v>
          </cell>
          <cell r="B1322" t="str">
            <v>ANGARITA  JAIMEYECID CHIAANGARITA</v>
          </cell>
          <cell r="C1322" t="str">
            <v>Paipa</v>
          </cell>
          <cell r="D1322" t="str">
            <v>Paipa</v>
          </cell>
          <cell r="F1322" t="str">
            <v>jaime.chia@hotmail.com</v>
          </cell>
        </row>
        <row r="1323">
          <cell r="A1323">
            <v>7174738</v>
          </cell>
          <cell r="B1323" t="str">
            <v>CABREJO CUERVO VICTOR HUGO</v>
          </cell>
          <cell r="C1323" t="str">
            <v>Paipa</v>
          </cell>
          <cell r="D1323" t="str">
            <v>Paipa</v>
          </cell>
          <cell r="F1323" t="str">
            <v>aguasdeboyaca@gmail.com</v>
          </cell>
        </row>
        <row r="1324">
          <cell r="A1324">
            <v>4119071</v>
          </cell>
          <cell r="B1324" t="str">
            <v>RODRIGUEZ MOLANO CARLOS EDUARDO</v>
          </cell>
          <cell r="C1324" t="str">
            <v>Paipa</v>
          </cell>
          <cell r="D1324" t="str">
            <v>Paipa</v>
          </cell>
          <cell r="F1324" t="str">
            <v>ceromol@gmail.com</v>
          </cell>
        </row>
        <row r="1325">
          <cell r="A1325">
            <v>74359106</v>
          </cell>
          <cell r="B1325" t="str">
            <v>MORALES  JAVIER GUATIBONZA</v>
          </cell>
          <cell r="C1325" t="str">
            <v>Paipa</v>
          </cell>
          <cell r="D1325" t="str">
            <v>Paipa</v>
          </cell>
          <cell r="F1325" t="str">
            <v>javiguatibonzam@gmail.com</v>
          </cell>
        </row>
        <row r="1326">
          <cell r="A1326">
            <v>79187602</v>
          </cell>
          <cell r="B1326" t="str">
            <v>CASTILLO  ROBINSON OCHOA</v>
          </cell>
          <cell r="C1326" t="str">
            <v>Paipa</v>
          </cell>
          <cell r="D1326" t="str">
            <v>Paipa</v>
          </cell>
          <cell r="F1326" t="str">
            <v>amuccajica@gmail.com</v>
          </cell>
        </row>
        <row r="1327">
          <cell r="A1327">
            <v>820004564</v>
          </cell>
          <cell r="B1327" t="str">
            <v>INVERSIONES DIAMONDS SAS</v>
          </cell>
          <cell r="C1327" t="str">
            <v>Paipa</v>
          </cell>
          <cell r="D1327" t="str">
            <v>Paipa</v>
          </cell>
          <cell r="F1327" t="str">
            <v>echecg@hotmail.com</v>
          </cell>
        </row>
        <row r="1328">
          <cell r="A1328">
            <v>901446730</v>
          </cell>
          <cell r="B1328" t="str">
            <v>AMPER ELECTRIC SAS</v>
          </cell>
          <cell r="C1328" t="str">
            <v>Paipa</v>
          </cell>
          <cell r="D1328" t="str">
            <v>Paipa</v>
          </cell>
          <cell r="F1328" t="str">
            <v>amperelectricsas@gmail.com</v>
          </cell>
        </row>
        <row r="1329">
          <cell r="A1329">
            <v>91476531</v>
          </cell>
          <cell r="B1329" t="str">
            <v>RAMIREZ DELGADO EDUARDO  DANIEL</v>
          </cell>
          <cell r="C1329" t="str">
            <v>Paipa</v>
          </cell>
          <cell r="D1329" t="str">
            <v>PAIPA</v>
          </cell>
          <cell r="F1329" t="str">
            <v>erd2in@hotmail.com</v>
          </cell>
        </row>
        <row r="1330">
          <cell r="A1330">
            <v>1068588</v>
          </cell>
          <cell r="B1330" t="str">
            <v>MEJIA  HORMISDAS PUENTES</v>
          </cell>
          <cell r="C1330" t="str">
            <v>Paipa</v>
          </cell>
          <cell r="D1330" t="str">
            <v>Paipa</v>
          </cell>
          <cell r="F1330" t="str">
            <v>hopume@hotmail.com</v>
          </cell>
        </row>
        <row r="1331">
          <cell r="A1331">
            <v>4103902</v>
          </cell>
          <cell r="B1331" t="str">
            <v>CARO MENDIVELSO LUIS EDUARDO</v>
          </cell>
          <cell r="C1331" t="str">
            <v>Paipa</v>
          </cell>
          <cell r="D1331" t="str">
            <v>Paipa</v>
          </cell>
          <cell r="F1331" t="str">
            <v>notaria.chita@gmail.com</v>
          </cell>
        </row>
        <row r="1332">
          <cell r="A1332">
            <v>6757858</v>
          </cell>
          <cell r="B1332" t="str">
            <v>PACHECO AVENDAÑO LUIS ENRIQUE</v>
          </cell>
          <cell r="C1332" t="str">
            <v>Paipa</v>
          </cell>
          <cell r="D1332" t="str">
            <v>Paipa</v>
          </cell>
          <cell r="F1332" t="str">
            <v>lupa582000@yahoo.com</v>
          </cell>
        </row>
        <row r="1333">
          <cell r="A1333">
            <v>9398126</v>
          </cell>
          <cell r="B1333" t="str">
            <v>ORTEGA HERNANDEZ ROMAN HERNANDO</v>
          </cell>
          <cell r="C1333" t="str">
            <v>Paipa</v>
          </cell>
          <cell r="D1333" t="str">
            <v>Paipa</v>
          </cell>
          <cell r="F1333" t="str">
            <v>romanortega@hotmail.com</v>
          </cell>
        </row>
        <row r="1334">
          <cell r="A1334">
            <v>9533765</v>
          </cell>
          <cell r="B1334" t="str">
            <v>CUBIDES PONGUTA WILSON ADIEL</v>
          </cell>
          <cell r="C1334" t="str">
            <v>Paipa</v>
          </cell>
          <cell r="D1334" t="str">
            <v>Paipa</v>
          </cell>
          <cell r="F1334" t="str">
            <v>wcubidesp@gmail.com</v>
          </cell>
        </row>
        <row r="1335">
          <cell r="A1335">
            <v>10965605</v>
          </cell>
          <cell r="B1335" t="str">
            <v>MESTRA BANDERA JOHN DEIVIS</v>
          </cell>
          <cell r="C1335" t="str">
            <v>Paipa</v>
          </cell>
          <cell r="D1335" t="str">
            <v>Paipa</v>
          </cell>
          <cell r="F1335" t="str">
            <v>impresionmed@gmail.com</v>
          </cell>
        </row>
        <row r="1336">
          <cell r="A1336">
            <v>16139165</v>
          </cell>
          <cell r="B1336" t="str">
            <v>DIAZ NARANJO YUREL JUAN</v>
          </cell>
          <cell r="C1336" t="str">
            <v>Paipa</v>
          </cell>
          <cell r="D1336" t="str">
            <v>Paipa</v>
          </cell>
          <cell r="F1336" t="str">
            <v>yurdn@hotmail.com</v>
          </cell>
        </row>
        <row r="1337">
          <cell r="A1337">
            <v>33378218</v>
          </cell>
          <cell r="B1337" t="str">
            <v>SANCHEZ CUESTA JOHANNA LEONELA</v>
          </cell>
          <cell r="C1337" t="str">
            <v>Paipa</v>
          </cell>
          <cell r="D1337" t="str">
            <v>cr 19 15 15</v>
          </cell>
          <cell r="F1337" t="str">
            <v>proydeg@hotmail.com</v>
          </cell>
        </row>
        <row r="1338">
          <cell r="A1338">
            <v>4190664</v>
          </cell>
          <cell r="B1338" t="str">
            <v>SOLANO PUERTO RAFAEL ANTONIO</v>
          </cell>
          <cell r="C1338" t="str">
            <v>Paipa</v>
          </cell>
          <cell r="D1338" t="str">
            <v>Paipa</v>
          </cell>
          <cell r="F1338" t="str">
            <v>gilmasolano@gmail.com</v>
          </cell>
        </row>
        <row r="1339">
          <cell r="A1339">
            <v>4192523</v>
          </cell>
          <cell r="B1339" t="str">
            <v>RODRIGUEZ CAMARGO OSCAR ORLANDO</v>
          </cell>
          <cell r="C1339" t="str">
            <v>Paipa</v>
          </cell>
          <cell r="D1339" t="str">
            <v>Paipa</v>
          </cell>
          <cell r="F1339" t="str">
            <v>dianacarolinag8@gmail.com</v>
          </cell>
        </row>
        <row r="1340">
          <cell r="A1340">
            <v>24042109</v>
          </cell>
          <cell r="B1340" t="str">
            <v>MORENO RODRIGUEZ JENNY ALIDA</v>
          </cell>
          <cell r="C1340" t="str">
            <v>Paipa</v>
          </cell>
          <cell r="D1340" t="str">
            <v>Paipa</v>
          </cell>
          <cell r="F1340" t="str">
            <v>c.yennymoreno@gmail.com</v>
          </cell>
        </row>
        <row r="1341">
          <cell r="A1341">
            <v>36289485</v>
          </cell>
          <cell r="B1341" t="str">
            <v>OROZCO PEÑA SILVIA CAROLA</v>
          </cell>
          <cell r="C1341" t="str">
            <v>Paipa</v>
          </cell>
          <cell r="D1341" t="str">
            <v>Paipa</v>
          </cell>
          <cell r="F1341" t="str">
            <v>sicarorpe@gmail.com</v>
          </cell>
        </row>
        <row r="1342">
          <cell r="A1342">
            <v>41631342</v>
          </cell>
          <cell r="B1342" t="str">
            <v>DIAZ DIAZ ROSA ELVIA</v>
          </cell>
          <cell r="C1342" t="str">
            <v>Paipa</v>
          </cell>
          <cell r="D1342" t="str">
            <v>Paipa</v>
          </cell>
          <cell r="F1342" t="str">
            <v>rosaelviadiazdiaz2005@yahoo.es</v>
          </cell>
        </row>
        <row r="1343">
          <cell r="A1343">
            <v>43605860</v>
          </cell>
          <cell r="B1343" t="str">
            <v>GUTIERREZ POSADA PAULA ANDREA</v>
          </cell>
          <cell r="C1343" t="str">
            <v>Paipa</v>
          </cell>
          <cell r="D1343" t="str">
            <v>Paipa</v>
          </cell>
          <cell r="F1343" t="str">
            <v>andrepaofonse345@gmail.com</v>
          </cell>
        </row>
        <row r="1344">
          <cell r="A1344">
            <v>46383924</v>
          </cell>
          <cell r="B1344" t="str">
            <v>CASAS VARGAS LILIAN ANDREA</v>
          </cell>
          <cell r="C1344" t="str">
            <v>Paipa</v>
          </cell>
          <cell r="D1344" t="str">
            <v>Paipa</v>
          </cell>
          <cell r="F1344" t="str">
            <v>liankitas@gmail.com</v>
          </cell>
        </row>
        <row r="1345">
          <cell r="A1345">
            <v>835001216</v>
          </cell>
          <cell r="B1345" t="str">
            <v>EL GRAN LANGOSTINO SAS</v>
          </cell>
          <cell r="C1345" t="str">
            <v>Paipa</v>
          </cell>
          <cell r="D1345" t="str">
            <v>Paipa</v>
          </cell>
          <cell r="F1345" t="str">
            <v>compraselectronicas@granlangostino.com</v>
          </cell>
        </row>
        <row r="1346">
          <cell r="A1346">
            <v>860001307</v>
          </cell>
          <cell r="B1346" t="str">
            <v>DISTRIBUIDORA NISSAN SA</v>
          </cell>
          <cell r="C1346" t="str">
            <v>Paipa</v>
          </cell>
          <cell r="D1346" t="str">
            <v>Paipa</v>
          </cell>
          <cell r="F1346" t="str">
            <v>tributaria@dinissan.com.co</v>
          </cell>
        </row>
        <row r="1347">
          <cell r="A1347">
            <v>860052601</v>
          </cell>
          <cell r="B1347" t="str">
            <v>EXRO SAS</v>
          </cell>
          <cell r="C1347" t="str">
            <v>Paipa</v>
          </cell>
          <cell r="D1347" t="str">
            <v>Paipa</v>
          </cell>
          <cell r="F1347" t="str">
            <v>facturacionelectronica@exro.co</v>
          </cell>
        </row>
        <row r="1348">
          <cell r="A1348">
            <v>890102513</v>
          </cell>
          <cell r="B1348" t="str">
            <v>IGLESIA PENTECOSTAL UNIDA DE COLOMB</v>
          </cell>
          <cell r="C1348" t="str">
            <v>Paipa</v>
          </cell>
          <cell r="D1348" t="str">
            <v>Paipa</v>
          </cell>
          <cell r="F1348" t="str">
            <v>contabilidad@ipuc.org.co</v>
          </cell>
        </row>
        <row r="1349">
          <cell r="A1349">
            <v>899999294</v>
          </cell>
          <cell r="B1349" t="str">
            <v>SERVICIO GEOLOGICO COLOMBIANO</v>
          </cell>
          <cell r="C1349" t="str">
            <v>Paipa</v>
          </cell>
          <cell r="D1349" t="str">
            <v>Paipa</v>
          </cell>
          <cell r="F1349" t="str">
            <v>contabilidad_urf@sgc.gov.co</v>
          </cell>
        </row>
        <row r="1350">
          <cell r="A1350">
            <v>900058258</v>
          </cell>
          <cell r="B1350" t="str">
            <v>SILCONS SAS</v>
          </cell>
          <cell r="C1350" t="str">
            <v>Paipa</v>
          </cell>
          <cell r="D1350" t="str">
            <v>Paipa</v>
          </cell>
          <cell r="F1350" t="str">
            <v>contabilidad@silcons.co</v>
          </cell>
        </row>
        <row r="1351">
          <cell r="A1351">
            <v>900083408</v>
          </cell>
          <cell r="B1351" t="str">
            <v>DISTRIBUCIONES AGRALBA S A</v>
          </cell>
          <cell r="C1351" t="str">
            <v>Paipa</v>
          </cell>
          <cell r="D1351" t="str">
            <v>Paipa</v>
          </cell>
          <cell r="F1351" t="str">
            <v>felectronicacxp@agralba.com</v>
          </cell>
        </row>
        <row r="1352">
          <cell r="A1352">
            <v>900111216</v>
          </cell>
          <cell r="B1352" t="str">
            <v>INGERPROYECTOS SAS</v>
          </cell>
          <cell r="C1352" t="str">
            <v>Paipa</v>
          </cell>
          <cell r="D1352" t="str">
            <v>Paipa</v>
          </cell>
          <cell r="F1352" t="str">
            <v>inger@ingerproyectos.com</v>
          </cell>
        </row>
        <row r="1353">
          <cell r="A1353">
            <v>900198625</v>
          </cell>
          <cell r="B1353" t="str">
            <v>MASTERCAT LTDA</v>
          </cell>
          <cell r="C1353" t="str">
            <v>Paipa</v>
          </cell>
          <cell r="D1353" t="str">
            <v>Paipa</v>
          </cell>
          <cell r="F1353" t="str">
            <v>facturacionmastercat@gmail.com</v>
          </cell>
        </row>
        <row r="1354">
          <cell r="A1354">
            <v>900275221</v>
          </cell>
          <cell r="B1354" t="str">
            <v>DU BRANDS SAS</v>
          </cell>
          <cell r="C1354" t="str">
            <v>Paipa</v>
          </cell>
          <cell r="D1354" t="str">
            <v>Paipa</v>
          </cell>
          <cell r="F1354" t="str">
            <v>facturacion@dubrands.com</v>
          </cell>
        </row>
        <row r="1355">
          <cell r="A1355">
            <v>900298176</v>
          </cell>
          <cell r="B1355" t="str">
            <v>BULL MARKETING SAS</v>
          </cell>
          <cell r="C1355" t="str">
            <v>Paipa</v>
          </cell>
          <cell r="D1355" t="str">
            <v>Paipa</v>
          </cell>
          <cell r="F1355" t="str">
            <v>asistente.contabilidad@bullmarketing.com.co</v>
          </cell>
        </row>
        <row r="1356">
          <cell r="A1356">
            <v>900322095</v>
          </cell>
          <cell r="B1356" t="str">
            <v>INVERSIONES AIRICOS SAS</v>
          </cell>
          <cell r="C1356" t="str">
            <v>Paipa</v>
          </cell>
          <cell r="D1356" t="str">
            <v>Paipa</v>
          </cell>
          <cell r="F1356" t="str">
            <v>gi_riveram@hotmail.com</v>
          </cell>
        </row>
        <row r="1357">
          <cell r="A1357">
            <v>900517414</v>
          </cell>
          <cell r="B1357" t="str">
            <v>UPS TECNOLOGIA SMC SAS</v>
          </cell>
          <cell r="C1357" t="str">
            <v>Paipa</v>
          </cell>
          <cell r="D1357" t="str">
            <v>Paipa</v>
          </cell>
          <cell r="F1357" t="str">
            <v>facturacion@upstecnologia.com</v>
          </cell>
        </row>
        <row r="1358">
          <cell r="A1358">
            <v>900670559</v>
          </cell>
          <cell r="B1358" t="str">
            <v>SPECIAL TEAM SAS</v>
          </cell>
          <cell r="C1358" t="str">
            <v>Paipa</v>
          </cell>
          <cell r="D1358" t="str">
            <v>Paipa</v>
          </cell>
          <cell r="F1358" t="str">
            <v>admonspecialteam@gmail.com</v>
          </cell>
        </row>
        <row r="1359">
          <cell r="A1359">
            <v>900708994</v>
          </cell>
          <cell r="B1359" t="str">
            <v>AyA INGENIERIA SAS</v>
          </cell>
          <cell r="C1359" t="str">
            <v>Paipa</v>
          </cell>
          <cell r="D1359" t="str">
            <v>Paipa</v>
          </cell>
          <cell r="F1359" t="str">
            <v>administracion@aaingenieriasas.com</v>
          </cell>
        </row>
        <row r="1360">
          <cell r="A1360">
            <v>900897115</v>
          </cell>
          <cell r="B1360" t="str">
            <v>TOPROYECTOS</v>
          </cell>
          <cell r="C1360" t="str">
            <v>Paipa</v>
          </cell>
          <cell r="D1360" t="str">
            <v>Paipa</v>
          </cell>
          <cell r="F1360" t="str">
            <v>toproyectos.sas@gmail.com</v>
          </cell>
        </row>
        <row r="1361">
          <cell r="A1361">
            <v>900910876</v>
          </cell>
          <cell r="B1361" t="str">
            <v>ANUBIS H y C SEGURIDAD LTDA</v>
          </cell>
          <cell r="C1361" t="str">
            <v>Paipa</v>
          </cell>
          <cell r="D1361" t="str">
            <v>Paipa</v>
          </cell>
          <cell r="F1361" t="str">
            <v>contabilidad@anubishc.com</v>
          </cell>
        </row>
        <row r="1362">
          <cell r="A1362">
            <v>900940623</v>
          </cell>
          <cell r="B1362" t="str">
            <v>AUTOMATIZAR Y COMPAÑIA SAS</v>
          </cell>
          <cell r="C1362" t="str">
            <v>Paipa</v>
          </cell>
          <cell r="D1362" t="str">
            <v>Paipa</v>
          </cell>
          <cell r="F1362" t="str">
            <v>facturas@automatizar.com.co</v>
          </cell>
        </row>
        <row r="1363">
          <cell r="A1363">
            <v>900953253</v>
          </cell>
          <cell r="B1363" t="str">
            <v>DINAMIC SOLUCIONES SAS</v>
          </cell>
          <cell r="C1363" t="str">
            <v>Paipa</v>
          </cell>
          <cell r="D1363" t="str">
            <v>Paipa</v>
          </cell>
          <cell r="F1363" t="str">
            <v>izcar@yahoo.com</v>
          </cell>
        </row>
        <row r="1364">
          <cell r="A1364">
            <v>901047577</v>
          </cell>
          <cell r="B1364" t="str">
            <v>INMOBILIARIA FLOREZ REYES</v>
          </cell>
          <cell r="C1364" t="str">
            <v>Paipa</v>
          </cell>
          <cell r="D1364" t="str">
            <v>Paipa</v>
          </cell>
          <cell r="F1364" t="str">
            <v>contable.florez2022@gmail.com</v>
          </cell>
        </row>
        <row r="1365">
          <cell r="A1365">
            <v>901066666</v>
          </cell>
          <cell r="B1365" t="str">
            <v>INTERSERVIS GROUP SAS</v>
          </cell>
          <cell r="C1365" t="str">
            <v>Paipa</v>
          </cell>
          <cell r="D1365" t="str">
            <v>Paipa</v>
          </cell>
          <cell r="F1365" t="str">
            <v>gerencia@interurbano.com.co</v>
          </cell>
        </row>
        <row r="1366">
          <cell r="A1366">
            <v>901295052</v>
          </cell>
          <cell r="B1366" t="str">
            <v>FAMKING SAS</v>
          </cell>
          <cell r="C1366" t="str">
            <v>Paipa</v>
          </cell>
          <cell r="D1366" t="str">
            <v>Paipa</v>
          </cell>
          <cell r="F1366" t="str">
            <v>pagos@granfondonairoquintana.com</v>
          </cell>
        </row>
        <row r="1367">
          <cell r="A1367">
            <v>901446350</v>
          </cell>
          <cell r="B1367" t="str">
            <v>FRUTOS DEL CEDRO SAS</v>
          </cell>
          <cell r="C1367" t="str">
            <v>Paipa</v>
          </cell>
          <cell r="D1367" t="str">
            <v>Paipa</v>
          </cell>
          <cell r="F1367" t="str">
            <v>frutosdelcedrosas@gmail.com</v>
          </cell>
        </row>
        <row r="1368">
          <cell r="A1368">
            <v>901550818</v>
          </cell>
          <cell r="B1368" t="str">
            <v>DAMING SAS</v>
          </cell>
          <cell r="C1368" t="str">
            <v>Paipa</v>
          </cell>
          <cell r="D1368" t="str">
            <v>Paipa</v>
          </cell>
          <cell r="F1368" t="str">
            <v>contabledaming@gmail.com</v>
          </cell>
        </row>
        <row r="1369">
          <cell r="A1369">
            <v>901565772</v>
          </cell>
          <cell r="B1369" t="str">
            <v>EJOLET SAS</v>
          </cell>
          <cell r="C1369" t="str">
            <v>Paipa</v>
          </cell>
          <cell r="D1369" t="str">
            <v>Paipa</v>
          </cell>
          <cell r="F1369" t="str">
            <v>eycsuministrosempresariales@gmail.com</v>
          </cell>
        </row>
        <row r="1370">
          <cell r="A1370">
            <v>901620682</v>
          </cell>
          <cell r="B1370" t="str">
            <v>INVERSIONRS Y SUMINISTROS DE COLOMB</v>
          </cell>
          <cell r="C1370" t="str">
            <v>Paipa</v>
          </cell>
          <cell r="D1370" t="str">
            <v>Paipa</v>
          </cell>
          <cell r="F1370" t="str">
            <v>serviciosysuministros.incol@gmail.com</v>
          </cell>
        </row>
        <row r="1371">
          <cell r="A1371">
            <v>901889633</v>
          </cell>
          <cell r="B1371" t="str">
            <v>EPHEMLUX SAS</v>
          </cell>
          <cell r="C1371" t="str">
            <v>Paipa</v>
          </cell>
          <cell r="D1371" t="str">
            <v>Paipa</v>
          </cell>
          <cell r="F1371" t="str">
            <v>contabilidadmabo@gmail.com</v>
          </cell>
        </row>
        <row r="1372">
          <cell r="A1372">
            <v>901919131</v>
          </cell>
          <cell r="B1372" t="str">
            <v>UNION TEMPORAL INTER REDES 2025</v>
          </cell>
          <cell r="C1372" t="str">
            <v>Paipa</v>
          </cell>
          <cell r="D1372" t="str">
            <v>Paipa</v>
          </cell>
          <cell r="F1372" t="str">
            <v>inter-redes-2025@outlook.com</v>
          </cell>
        </row>
        <row r="1373">
          <cell r="A1373">
            <v>1053606656</v>
          </cell>
          <cell r="B1373" t="str">
            <v>VELANDIA RINCON EDWIN RICARDO</v>
          </cell>
          <cell r="C1373" t="str">
            <v>Paipa</v>
          </cell>
          <cell r="D1373" t="str">
            <v>CALLE 24 17 52</v>
          </cell>
          <cell r="F1373" t="str">
            <v>turistica@outlook.com</v>
          </cell>
        </row>
        <row r="1374">
          <cell r="A1374">
            <v>46384314</v>
          </cell>
          <cell r="B1374" t="str">
            <v>RODRIGUEZ LEON ANA LUCIA</v>
          </cell>
          <cell r="C1374" t="str">
            <v>Paipa</v>
          </cell>
          <cell r="D1374" t="str">
            <v>calle 24 17 67 las quintas</v>
          </cell>
          <cell r="F1374" t="str">
            <v>turistica@outlook.com</v>
          </cell>
        </row>
        <row r="1375">
          <cell r="A1375">
            <v>79467445</v>
          </cell>
          <cell r="B1375" t="str">
            <v>OCHOA ESPITIA OSVALDO</v>
          </cell>
          <cell r="C1375" t="str">
            <v>Paipa</v>
          </cell>
          <cell r="D1375" t="str">
            <v>CR 23 - 25 36</v>
          </cell>
          <cell r="F1375" t="str">
            <v>creartedeko@gmail.com</v>
          </cell>
        </row>
        <row r="1376">
          <cell r="A1376">
            <v>901623027</v>
          </cell>
          <cell r="B1376" t="str">
            <v>CARBONES A&amp;D S.A.S</v>
          </cell>
          <cell r="C1376" t="str">
            <v>Paipa</v>
          </cell>
          <cell r="D1376" t="str">
            <v>cr 17 n 26 a 15</v>
          </cell>
          <cell r="F1376" t="str">
            <v>carbones.ingenieria@gmail.com</v>
          </cell>
        </row>
        <row r="1377">
          <cell r="A1377">
            <v>1053610696</v>
          </cell>
          <cell r="B1377" t="str">
            <v>PUERTO ROSAS PAOLA ANDREA</v>
          </cell>
          <cell r="C1377" t="str">
            <v>Paipa</v>
          </cell>
          <cell r="D1377" t="str">
            <v>barrio fatima</v>
          </cell>
          <cell r="F1377" t="str">
            <v>paolaandrea.puerto01@gmail.com</v>
          </cell>
        </row>
        <row r="1378">
          <cell r="A1378">
            <v>4190653</v>
          </cell>
          <cell r="B1378" t="str">
            <v>FONSECA PUERTO JOSE</v>
          </cell>
          <cell r="C1378" t="str">
            <v>Paipa</v>
          </cell>
          <cell r="D1378" t="str">
            <v>centro</v>
          </cell>
          <cell r="F1378" t="str">
            <v>turistica@outlook.com</v>
          </cell>
        </row>
        <row r="1379">
          <cell r="A1379">
            <v>901424892</v>
          </cell>
          <cell r="B1379" t="str">
            <v>CONSORCIO GUANZA</v>
          </cell>
          <cell r="C1379" t="str">
            <v>Paipa</v>
          </cell>
          <cell r="D1379" t="str">
            <v>paipa</v>
          </cell>
          <cell r="F1379" t="str">
            <v>facturas.proyectos74@yahoo.com</v>
          </cell>
        </row>
        <row r="1380">
          <cell r="A1380">
            <v>7224597</v>
          </cell>
          <cell r="B1380" t="str">
            <v>ASDRUVAL CARREÑO JOSE ASDRUVAL</v>
          </cell>
          <cell r="C1380" t="str">
            <v>Paipa</v>
          </cell>
          <cell r="D1380" t="str">
            <v>Paipa</v>
          </cell>
          <cell r="F1380" t="str">
            <v>morenoamayamariajose10@gmail.com</v>
          </cell>
        </row>
        <row r="1381">
          <cell r="A1381">
            <v>9512669</v>
          </cell>
          <cell r="B1381" t="str">
            <v>MARTINEZ RINCON LUIS EDUARDO</v>
          </cell>
          <cell r="C1381" t="str">
            <v>Paipa</v>
          </cell>
          <cell r="D1381" t="str">
            <v>Paipa</v>
          </cell>
          <cell r="F1381" t="str">
            <v>luchomartinezrincon@gmail.com</v>
          </cell>
        </row>
        <row r="1382">
          <cell r="A1382">
            <v>23855950</v>
          </cell>
          <cell r="B1382" t="str">
            <v>DIAZ OSTTOS MARTHA CECILIA</v>
          </cell>
          <cell r="C1382" t="str">
            <v>Paipa</v>
          </cell>
          <cell r="D1382" t="str">
            <v>Paipa</v>
          </cell>
          <cell r="F1382" t="str">
            <v>macedios.12@hotmail.com</v>
          </cell>
        </row>
        <row r="1383">
          <cell r="A1383">
            <v>46456268</v>
          </cell>
          <cell r="B1383" t="str">
            <v>FLOREZ  ALEJANDRA VARGAS</v>
          </cell>
          <cell r="C1383" t="str">
            <v>Paipa</v>
          </cell>
          <cell r="D1383" t="str">
            <v>Paipa</v>
          </cell>
          <cell r="F1383" t="str">
            <v>alejandra840312@gmail.com</v>
          </cell>
        </row>
        <row r="1384">
          <cell r="A1384">
            <v>46682570</v>
          </cell>
          <cell r="B1384" t="str">
            <v>ROSAS GAMBINDO LUZ DARY</v>
          </cell>
          <cell r="C1384" t="str">
            <v>Paipa</v>
          </cell>
          <cell r="D1384" t="str">
            <v>Paipa</v>
          </cell>
          <cell r="F1384" t="str">
            <v>luzdrosasg@gmail.com</v>
          </cell>
        </row>
        <row r="1385">
          <cell r="A1385">
            <v>51963237</v>
          </cell>
          <cell r="B1385" t="str">
            <v>HERNANDEZ BERMUDEZ ANA DEICI</v>
          </cell>
          <cell r="C1385" t="str">
            <v>Paipa</v>
          </cell>
          <cell r="D1385" t="str">
            <v>Paipa</v>
          </cell>
          <cell r="F1385" t="str">
            <v>anadeici1966@hotmail.com</v>
          </cell>
        </row>
        <row r="1386">
          <cell r="A1386">
            <v>74082571</v>
          </cell>
          <cell r="B1386" t="str">
            <v>BRICENO OTALORA RAFAEL FERNANDO</v>
          </cell>
          <cell r="C1386" t="str">
            <v>Paipa</v>
          </cell>
          <cell r="D1386" t="str">
            <v>Paipa</v>
          </cell>
          <cell r="F1386" t="str">
            <v>rafer123@gmail.com</v>
          </cell>
        </row>
        <row r="1387">
          <cell r="A1387">
            <v>74130810</v>
          </cell>
          <cell r="B1387" t="str">
            <v>CAMACHO CARDONA JULI DAVID</v>
          </cell>
          <cell r="C1387" t="str">
            <v>Paipa</v>
          </cell>
          <cell r="D1387" t="str">
            <v>Paipa</v>
          </cell>
          <cell r="F1387" t="str">
            <v>julianrural@gmail.com</v>
          </cell>
        </row>
        <row r="1388">
          <cell r="A1388">
            <v>74344868</v>
          </cell>
          <cell r="B1388" t="str">
            <v>VARGAS ACERO JOSE BALERIO</v>
          </cell>
          <cell r="C1388" t="str">
            <v>Paipa</v>
          </cell>
          <cell r="D1388" t="str">
            <v>Paipa</v>
          </cell>
          <cell r="F1388" t="str">
            <v>josebaleriovargasacer@gmail.com</v>
          </cell>
        </row>
        <row r="1389">
          <cell r="A1389">
            <v>74360054</v>
          </cell>
          <cell r="B1389" t="str">
            <v>SALAMANCA AVELLA CARLOS EDUARDO</v>
          </cell>
          <cell r="C1389" t="str">
            <v>Paipa</v>
          </cell>
          <cell r="D1389" t="str">
            <v>Paipa</v>
          </cell>
          <cell r="F1389" t="str">
            <v>lapendice@gmail.com</v>
          </cell>
        </row>
        <row r="1390">
          <cell r="A1390">
            <v>79732467</v>
          </cell>
          <cell r="B1390" t="str">
            <v>TORRES SANCHEZ CESAR AUGUSTO</v>
          </cell>
          <cell r="C1390" t="str">
            <v>Paipa</v>
          </cell>
          <cell r="D1390" t="str">
            <v>Paipa</v>
          </cell>
          <cell r="F1390" t="str">
            <v>cefuchi@yahoo.com</v>
          </cell>
        </row>
        <row r="1391">
          <cell r="A1391">
            <v>80099801</v>
          </cell>
          <cell r="B1391" t="str">
            <v>SANCHEZ ALARCÓN OSWALDO ANDRÉS</v>
          </cell>
          <cell r="C1391" t="str">
            <v>Paipa</v>
          </cell>
          <cell r="D1391" t="str">
            <v>Paipa</v>
          </cell>
          <cell r="F1391" t="str">
            <v>oasanchezal@unal.edu.co</v>
          </cell>
        </row>
        <row r="1392">
          <cell r="A1392">
            <v>1032439915</v>
          </cell>
          <cell r="B1392" t="str">
            <v>ARIZA  YENIFER SANCHEZ</v>
          </cell>
          <cell r="C1392" t="str">
            <v>Paipa</v>
          </cell>
          <cell r="D1392" t="str">
            <v>Paipa</v>
          </cell>
          <cell r="F1392" t="str">
            <v>sanchez.j.ariza@gmail.com</v>
          </cell>
        </row>
        <row r="1393">
          <cell r="A1393">
            <v>1049608655</v>
          </cell>
          <cell r="B1393" t="str">
            <v>DAZA SANDOVAL JHONATAN SMITH</v>
          </cell>
          <cell r="C1393" t="str">
            <v>Paipa</v>
          </cell>
          <cell r="D1393" t="str">
            <v>Paipa</v>
          </cell>
          <cell r="F1393" t="str">
            <v>indumetalicasisama@gmail.com</v>
          </cell>
        </row>
        <row r="1394">
          <cell r="A1394">
            <v>1052385197</v>
          </cell>
          <cell r="B1394" t="str">
            <v>DURAN RAMIREZ EDINSON CAMILO</v>
          </cell>
          <cell r="C1394" t="str">
            <v>Paipa</v>
          </cell>
          <cell r="D1394" t="str">
            <v>Paipa</v>
          </cell>
          <cell r="F1394" t="str">
            <v>camilo.duranr@gmail.com</v>
          </cell>
        </row>
        <row r="1395">
          <cell r="A1395">
            <v>1052415076</v>
          </cell>
          <cell r="B1395" t="str">
            <v>LARA CENDALES MANUEL SANTIAGO</v>
          </cell>
          <cell r="C1395" t="str">
            <v>Paipa</v>
          </cell>
          <cell r="D1395" t="str">
            <v>Paipa</v>
          </cell>
          <cell r="F1395" t="str">
            <v>manuel990215@gmail.com</v>
          </cell>
        </row>
        <row r="1396">
          <cell r="A1396">
            <v>1053607645</v>
          </cell>
          <cell r="B1396" t="str">
            <v>ECHEVERRIA SANCHEZ MIGUEL ANGEL</v>
          </cell>
          <cell r="C1396" t="str">
            <v>Paipa</v>
          </cell>
          <cell r="D1396" t="str">
            <v>Paipa</v>
          </cell>
          <cell r="F1396" t="str">
            <v>angel_echeverria24@hotmail.com</v>
          </cell>
        </row>
        <row r="1397">
          <cell r="A1397">
            <v>1053608450</v>
          </cell>
          <cell r="B1397" t="str">
            <v>CORDÓN BARRERA LORENA AYDEE</v>
          </cell>
          <cell r="C1397" t="str">
            <v>Paipa</v>
          </cell>
          <cell r="D1397" t="str">
            <v>Paipa</v>
          </cell>
          <cell r="F1397" t="str">
            <v>lorena.cordonb@gamil.com</v>
          </cell>
        </row>
        <row r="1398">
          <cell r="A1398">
            <v>1053611986</v>
          </cell>
          <cell r="B1398" t="str">
            <v>CAMARGO ECHEVRRIA LEIDY CAROLINA</v>
          </cell>
          <cell r="C1398" t="str">
            <v>Paipa</v>
          </cell>
          <cell r="D1398" t="str">
            <v>Paipa</v>
          </cell>
          <cell r="F1398" t="str">
            <v>ccamargoecheverria9@gmail.com</v>
          </cell>
        </row>
        <row r="1399">
          <cell r="A1399">
            <v>1057603823</v>
          </cell>
          <cell r="B1399" t="str">
            <v>REINA REINA MILLER JOHAO</v>
          </cell>
          <cell r="C1399" t="str">
            <v>Paipa</v>
          </cell>
          <cell r="D1399" t="str">
            <v>Paipa</v>
          </cell>
          <cell r="F1399" t="str">
            <v>themanguitoproo@gmail.com</v>
          </cell>
        </row>
        <row r="1400">
          <cell r="A1400">
            <v>1136889559</v>
          </cell>
          <cell r="B1400" t="str">
            <v>ROMERO  ALVARO MOLINA</v>
          </cell>
          <cell r="C1400" t="str">
            <v>Paipa</v>
          </cell>
          <cell r="D1400" t="str">
            <v>Paipa</v>
          </cell>
          <cell r="F1400" t="str">
            <v>alvaromolina.114@hotmail.com</v>
          </cell>
        </row>
        <row r="1401">
          <cell r="A1401">
            <v>800026845</v>
          </cell>
          <cell r="B1401" t="str">
            <v>OCATI SA</v>
          </cell>
          <cell r="C1401" t="str">
            <v>Paipa</v>
          </cell>
          <cell r="D1401" t="str">
            <v>Paipa</v>
          </cell>
          <cell r="F1401" t="str">
            <v>impuestos@ocati.com</v>
          </cell>
        </row>
        <row r="1402">
          <cell r="A1402">
            <v>801002644</v>
          </cell>
          <cell r="B1402" t="str">
            <v>MATERIALES EMO SOCIEDAD POR ACCIONE</v>
          </cell>
          <cell r="C1402" t="str">
            <v>Paipa</v>
          </cell>
          <cell r="D1402" t="str">
            <v>Paipa</v>
          </cell>
          <cell r="F1402" t="str">
            <v>gestortransporte@emo.com.co</v>
          </cell>
        </row>
        <row r="1403">
          <cell r="A1403">
            <v>830073770</v>
          </cell>
          <cell r="B1403" t="str">
            <v>EGC COLOMBIA SAS</v>
          </cell>
          <cell r="C1403" t="str">
            <v>Paipa</v>
          </cell>
          <cell r="D1403" t="str">
            <v>Paipa</v>
          </cell>
          <cell r="F1403" t="str">
            <v>soporte@egccolombia.co</v>
          </cell>
        </row>
        <row r="1404">
          <cell r="A1404">
            <v>830098031</v>
          </cell>
          <cell r="B1404" t="str">
            <v>GRAN ANDINA DE PLÁSTICOS S.A.S</v>
          </cell>
          <cell r="C1404" t="str">
            <v>Paipa</v>
          </cell>
          <cell r="D1404" t="str">
            <v>Paipa</v>
          </cell>
          <cell r="F1404" t="str">
            <v>contabilidad@corchito.com.co</v>
          </cell>
        </row>
        <row r="1405">
          <cell r="A1405">
            <v>890901475</v>
          </cell>
          <cell r="B1405" t="str">
            <v>DISTRIBUIDORA FARMACÉUTICA ROMA</v>
          </cell>
          <cell r="C1405" t="str">
            <v>Paipa</v>
          </cell>
          <cell r="D1405" t="str">
            <v>Paipa</v>
          </cell>
          <cell r="F1405" t="str">
            <v>contabilidad@dfroma.com</v>
          </cell>
        </row>
        <row r="1406">
          <cell r="A1406">
            <v>900242837</v>
          </cell>
          <cell r="B1406" t="str">
            <v>MANTING S.A.S</v>
          </cell>
          <cell r="C1406" t="str">
            <v>Paipa</v>
          </cell>
          <cell r="D1406" t="str">
            <v>Paipa</v>
          </cell>
          <cell r="F1406" t="str">
            <v>facturacion@manting.com.co</v>
          </cell>
        </row>
        <row r="1407">
          <cell r="A1407">
            <v>900291550</v>
          </cell>
          <cell r="B1407" t="str">
            <v>CONSTRUCTORA VARAM SAS</v>
          </cell>
          <cell r="C1407" t="str">
            <v>Paipa</v>
          </cell>
          <cell r="D1407" t="str">
            <v>Paipa</v>
          </cell>
          <cell r="F1407" t="str">
            <v>coordinador@constructoravaram.com</v>
          </cell>
        </row>
        <row r="1408">
          <cell r="A1408">
            <v>900360359</v>
          </cell>
          <cell r="B1408" t="str">
            <v>NATURALMENTE NF SAS</v>
          </cell>
          <cell r="C1408" t="str">
            <v>Paipa</v>
          </cell>
          <cell r="D1408" t="str">
            <v>Paipa</v>
          </cell>
          <cell r="F1408" t="str">
            <v>nfsasnaturalmente@gmail.com</v>
          </cell>
        </row>
        <row r="1409">
          <cell r="A1409">
            <v>900443952</v>
          </cell>
          <cell r="B1409" t="str">
            <v>ASOCIACIÓN DE PROSUMIDORES AGROECOL</v>
          </cell>
          <cell r="C1409" t="str">
            <v>Paipa</v>
          </cell>
          <cell r="D1409" t="str">
            <v>Paipa</v>
          </cell>
          <cell r="F1409" t="str">
            <v>agrosolidariaguajira@hotmail.com</v>
          </cell>
        </row>
        <row r="1410">
          <cell r="A1410">
            <v>900481383</v>
          </cell>
          <cell r="B1410" t="str">
            <v>INCO AYJ SAS</v>
          </cell>
          <cell r="C1410" t="str">
            <v>Paipa</v>
          </cell>
          <cell r="D1410" t="str">
            <v>Paipa</v>
          </cell>
          <cell r="F1410" t="str">
            <v>incoayjsas@gmail.com</v>
          </cell>
        </row>
        <row r="1411">
          <cell r="A1411">
            <v>900541341</v>
          </cell>
          <cell r="B1411" t="str">
            <v>MYM TRANSPORTES Y CONSTRUCCIONES S.</v>
          </cell>
          <cell r="C1411" t="str">
            <v>Paipa</v>
          </cell>
          <cell r="D1411" t="str">
            <v>Paipa</v>
          </cell>
          <cell r="F1411" t="str">
            <v>andres_cely79@hotmail.com</v>
          </cell>
        </row>
        <row r="1412">
          <cell r="A1412">
            <v>900565744</v>
          </cell>
          <cell r="B1412" t="str">
            <v>TECNISERVICIOS RCR SOCIEDAD POR ACC</v>
          </cell>
          <cell r="C1412" t="str">
            <v>Paipa</v>
          </cell>
          <cell r="D1412" t="str">
            <v>Paipa</v>
          </cell>
          <cell r="F1412" t="str">
            <v>tecniserviciosrcrsas@hotmail.com</v>
          </cell>
        </row>
        <row r="1413">
          <cell r="A1413">
            <v>900786638</v>
          </cell>
          <cell r="B1413" t="str">
            <v>PHEROMA SAS</v>
          </cell>
          <cell r="C1413" t="str">
            <v>Paipa</v>
          </cell>
          <cell r="D1413" t="str">
            <v>Paipa</v>
          </cell>
          <cell r="F1413" t="str">
            <v>erika@pheroma.com.co</v>
          </cell>
        </row>
        <row r="1414">
          <cell r="A1414">
            <v>900849439</v>
          </cell>
          <cell r="B1414" t="str">
            <v>KADOMA OUTDOORS SAS</v>
          </cell>
          <cell r="C1414" t="str">
            <v>Paipa</v>
          </cell>
          <cell r="D1414" t="str">
            <v>Paipa</v>
          </cell>
          <cell r="F1414" t="str">
            <v>angelaromero@kadoma.co</v>
          </cell>
        </row>
        <row r="1415">
          <cell r="A1415">
            <v>901093385</v>
          </cell>
          <cell r="B1415" t="str">
            <v>FUNDICIONES METÁLICAS DE COLOMBIA S</v>
          </cell>
          <cell r="C1415" t="str">
            <v>Paipa</v>
          </cell>
          <cell r="D1415" t="str">
            <v>Paipa</v>
          </cell>
          <cell r="F1415" t="str">
            <v>fumetcol@gmail.com</v>
          </cell>
        </row>
        <row r="1416">
          <cell r="A1416">
            <v>901485881</v>
          </cell>
          <cell r="B1416" t="str">
            <v>HQM SAS</v>
          </cell>
          <cell r="C1416" t="str">
            <v>Paipa</v>
          </cell>
          <cell r="D1416" t="str">
            <v>Paipa</v>
          </cell>
          <cell r="F1416" t="str">
            <v>maosagu@gmail.com</v>
          </cell>
        </row>
        <row r="1417">
          <cell r="A1417">
            <v>901649015</v>
          </cell>
          <cell r="B1417" t="str">
            <v>SOLUCIONES Y MANTENIMIENTOS INDUSTR</v>
          </cell>
          <cell r="C1417" t="str">
            <v>Paipa</v>
          </cell>
          <cell r="D1417" t="str">
            <v>Paipa</v>
          </cell>
          <cell r="F1417" t="str">
            <v>solucionesymantenimientoind.s.a.s@gmail.com</v>
          </cell>
        </row>
        <row r="1418">
          <cell r="A1418">
            <v>901869643</v>
          </cell>
          <cell r="B1418" t="str">
            <v>CONSORCIO FERREOBELEN C&amp;E</v>
          </cell>
          <cell r="C1418" t="str">
            <v>Paipa</v>
          </cell>
          <cell r="D1418" t="str">
            <v>Paipa</v>
          </cell>
          <cell r="F1418" t="str">
            <v>buzonfacturacionobras@gmcic.com.co</v>
          </cell>
        </row>
        <row r="1419">
          <cell r="A1419">
            <v>1052408619</v>
          </cell>
          <cell r="B1419" t="str">
            <v>CHIQUILLO MANRIQUE JOSE SEBASTIAN</v>
          </cell>
          <cell r="C1419" t="str">
            <v>Paipa</v>
          </cell>
          <cell r="D1419" t="str">
            <v>CLL 26 19 14</v>
          </cell>
          <cell r="F1419" t="str">
            <v>hotelpaipareal@gmail.com</v>
          </cell>
        </row>
        <row r="1420">
          <cell r="A1420">
            <v>9526962</v>
          </cell>
          <cell r="B1420" t="str">
            <v>ACEVEDO NOSSA HUMBERTO</v>
          </cell>
          <cell r="C1420" t="str">
            <v>Paipa</v>
          </cell>
          <cell r="D1420" t="str">
            <v>CLL 27 23 41</v>
          </cell>
          <cell r="F1420" t="str">
            <v>humberto-acevedo@hotmail.com</v>
          </cell>
        </row>
        <row r="1421">
          <cell r="A1421">
            <v>901358825</v>
          </cell>
          <cell r="B1421" t="str">
            <v>DISTRIBBUIDORA LA MINA J SAS</v>
          </cell>
          <cell r="C1421" t="str">
            <v>Bogota D.C.</v>
          </cell>
          <cell r="D1421" t="str">
            <v>CR 62 5A 67</v>
          </cell>
          <cell r="F1421" t="str">
            <v>comercializadoralamina.j@hotmail.com</v>
          </cell>
        </row>
        <row r="1422">
          <cell r="A1422">
            <v>4081193</v>
          </cell>
          <cell r="B1422" t="str">
            <v>GARCIA  JOSE</v>
          </cell>
          <cell r="C1422" t="str">
            <v>Paipa</v>
          </cell>
          <cell r="D1422" t="str">
            <v>Paipa</v>
          </cell>
          <cell r="E1422" t="str">
            <v>0</v>
          </cell>
          <cell r="F1422" t="str">
            <v>jg1190311@gmail.com</v>
          </cell>
        </row>
        <row r="1423">
          <cell r="A1423">
            <v>4167537</v>
          </cell>
          <cell r="B1423" t="str">
            <v>DAZA AHUE JHON ALEXANDER</v>
          </cell>
          <cell r="C1423" t="str">
            <v>Paipa</v>
          </cell>
          <cell r="D1423" t="str">
            <v>Paipa</v>
          </cell>
          <cell r="E1423" t="str">
            <v>0</v>
          </cell>
          <cell r="F1423" t="str">
            <v>alexdaza285@gmail.com</v>
          </cell>
        </row>
        <row r="1424">
          <cell r="A1424">
            <v>4191955</v>
          </cell>
          <cell r="B1424" t="str">
            <v>GUATIBONZA HIGUERA JULIO ROBERTO</v>
          </cell>
          <cell r="C1424" t="str">
            <v>Paipa</v>
          </cell>
          <cell r="D1424" t="str">
            <v>Paipa</v>
          </cell>
          <cell r="E1424" t="str">
            <v>0</v>
          </cell>
          <cell r="F1424" t="str">
            <v>guatijr@gmail.com</v>
          </cell>
        </row>
        <row r="1425">
          <cell r="A1425">
            <v>4192696</v>
          </cell>
          <cell r="B1425" t="str">
            <v>OCHOA CONTRERAS JULIAN DAVID</v>
          </cell>
          <cell r="C1425" t="str">
            <v>Paipa</v>
          </cell>
          <cell r="D1425" t="str">
            <v>Paipa</v>
          </cell>
          <cell r="E1425" t="str">
            <v>0</v>
          </cell>
          <cell r="F1425" t="str">
            <v>davidalejo09@outlook.com</v>
          </cell>
        </row>
        <row r="1426">
          <cell r="A1426">
            <v>6013735</v>
          </cell>
          <cell r="B1426" t="str">
            <v>SALAZAR MURCIA JHON JAIME</v>
          </cell>
          <cell r="C1426" t="str">
            <v>Paipa</v>
          </cell>
          <cell r="D1426" t="str">
            <v>Paipa</v>
          </cell>
          <cell r="E1426" t="str">
            <v>0</v>
          </cell>
          <cell r="F1426" t="str">
            <v>jhonsjsm@gmail.com</v>
          </cell>
        </row>
        <row r="1427">
          <cell r="A1427">
            <v>7095128</v>
          </cell>
          <cell r="B1427" t="str">
            <v>TOVAR GOMEZ LUIS FERNANDO</v>
          </cell>
          <cell r="C1427" t="str">
            <v>Paipa</v>
          </cell>
          <cell r="D1427" t="str">
            <v>Paipa</v>
          </cell>
          <cell r="E1427" t="str">
            <v>0</v>
          </cell>
          <cell r="F1427" t="str">
            <v>info@tovarasociados.com</v>
          </cell>
        </row>
        <row r="1428">
          <cell r="A1428">
            <v>19447317</v>
          </cell>
          <cell r="B1428" t="str">
            <v>SOSA  GILBERTO GONZALEZ</v>
          </cell>
          <cell r="C1428" t="str">
            <v>Paipa</v>
          </cell>
          <cell r="D1428" t="str">
            <v>Paipa</v>
          </cell>
          <cell r="E1428" t="str">
            <v>0</v>
          </cell>
          <cell r="F1428" t="str">
            <v>imgtunja@hotmail.com</v>
          </cell>
        </row>
        <row r="1429">
          <cell r="A1429">
            <v>19476433</v>
          </cell>
          <cell r="B1429" t="str">
            <v>MONROY  DIEGO PACHECO</v>
          </cell>
          <cell r="C1429" t="str">
            <v>Paipa</v>
          </cell>
          <cell r="D1429" t="str">
            <v>Paipa</v>
          </cell>
          <cell r="E1429" t="str">
            <v>0</v>
          </cell>
          <cell r="F1429" t="str">
            <v>diegopachecomonroy@gmail.com</v>
          </cell>
        </row>
        <row r="1430">
          <cell r="A1430">
            <v>40040782</v>
          </cell>
          <cell r="B1430" t="str">
            <v>GIL PADILLA MATHA LILIANA</v>
          </cell>
          <cell r="C1430" t="str">
            <v>Paipa</v>
          </cell>
          <cell r="D1430" t="str">
            <v>Paipa</v>
          </cell>
          <cell r="E1430" t="str">
            <v>0</v>
          </cell>
          <cell r="F1430" t="str">
            <v>marligeology@gmail.com</v>
          </cell>
        </row>
        <row r="1431">
          <cell r="A1431">
            <v>46451016</v>
          </cell>
          <cell r="B1431" t="str">
            <v>GUTIERREZ BOHÓRQUEZ ANGELA MARIA</v>
          </cell>
          <cell r="C1431" t="str">
            <v>Paipa</v>
          </cell>
          <cell r="D1431" t="str">
            <v>Paipa</v>
          </cell>
          <cell r="E1431" t="str">
            <v>0</v>
          </cell>
          <cell r="F1431" t="str">
            <v>angubo@hotmail.com</v>
          </cell>
        </row>
        <row r="1432">
          <cell r="A1432">
            <v>46453058</v>
          </cell>
          <cell r="B1432" t="str">
            <v>JIMÉNEZ GONZÁLEZ MAGDA LIZETH</v>
          </cell>
          <cell r="C1432" t="str">
            <v>Paipa</v>
          </cell>
          <cell r="D1432" t="str">
            <v>Paipa</v>
          </cell>
          <cell r="E1432" t="str">
            <v>0</v>
          </cell>
          <cell r="F1432" t="str">
            <v>magliz611@yahoo.com</v>
          </cell>
        </row>
        <row r="1433">
          <cell r="A1433">
            <v>46662379</v>
          </cell>
          <cell r="B1433" t="str">
            <v>CAÑON GARCIA SANDRA PATRICIA</v>
          </cell>
          <cell r="C1433" t="str">
            <v>Paipa</v>
          </cell>
          <cell r="D1433" t="str">
            <v>Paipa</v>
          </cell>
          <cell r="E1433" t="str">
            <v>0</v>
          </cell>
          <cell r="F1433" t="str">
            <v>maderaselgranbosque@gmail.com</v>
          </cell>
        </row>
        <row r="1434">
          <cell r="A1434">
            <v>46669655</v>
          </cell>
          <cell r="B1434" t="str">
            <v>GRANADOS  IBETH PUERTO</v>
          </cell>
          <cell r="C1434" t="str">
            <v>Paipa</v>
          </cell>
          <cell r="D1434" t="str">
            <v>Paipa</v>
          </cell>
          <cell r="E1434" t="str">
            <v>0</v>
          </cell>
          <cell r="F1434" t="str">
            <v>ibethpuertogranados@yahoo.com</v>
          </cell>
        </row>
        <row r="1435">
          <cell r="A1435">
            <v>46681916</v>
          </cell>
          <cell r="B1435" t="str">
            <v>RODRIGUEZ PEDRAZA MILE MILENA</v>
          </cell>
          <cell r="C1435" t="str">
            <v>Paipa</v>
          </cell>
          <cell r="D1435" t="str">
            <v>Paipa</v>
          </cell>
          <cell r="E1435" t="str">
            <v>0</v>
          </cell>
          <cell r="F1435" t="str">
            <v>amile_r@hotmail.com</v>
          </cell>
        </row>
        <row r="1436">
          <cell r="A1436">
            <v>46681945</v>
          </cell>
          <cell r="B1436" t="str">
            <v>SANCHEZ SANCHEZ EDITH SOFIA</v>
          </cell>
          <cell r="C1436" t="str">
            <v>Paipa</v>
          </cell>
          <cell r="D1436" t="str">
            <v>Paipa</v>
          </cell>
          <cell r="E1436" t="str">
            <v>0</v>
          </cell>
          <cell r="F1436" t="str">
            <v>tuboretales@hotmail.com</v>
          </cell>
        </row>
        <row r="1437">
          <cell r="A1437">
            <v>46682040</v>
          </cell>
          <cell r="B1437" t="str">
            <v>FONSECA VASQUEZ MIREYA ANDREA</v>
          </cell>
          <cell r="C1437" t="str">
            <v>Paipa</v>
          </cell>
          <cell r="D1437" t="str">
            <v>Paipa</v>
          </cell>
          <cell r="E1437" t="str">
            <v>0</v>
          </cell>
          <cell r="F1437" t="str">
            <v>andrefon1521@hotmail.com</v>
          </cell>
        </row>
        <row r="1438">
          <cell r="A1438">
            <v>46683077</v>
          </cell>
          <cell r="B1438" t="str">
            <v>DELGADO PITA DIANA PATRICIA</v>
          </cell>
          <cell r="C1438" t="str">
            <v>Paipa</v>
          </cell>
          <cell r="D1438" t="str">
            <v>Paipa</v>
          </cell>
          <cell r="E1438" t="str">
            <v>0</v>
          </cell>
          <cell r="F1438" t="str">
            <v>dianaddelgado90@gmail.com</v>
          </cell>
        </row>
        <row r="1439">
          <cell r="A1439">
            <v>51736380</v>
          </cell>
          <cell r="B1439" t="str">
            <v>MARIN ARANGUREN ERLI MARGARITA</v>
          </cell>
          <cell r="C1439" t="str">
            <v>Paipa</v>
          </cell>
          <cell r="D1439" t="str">
            <v>Paipa</v>
          </cell>
          <cell r="E1439" t="str">
            <v>0</v>
          </cell>
          <cell r="F1439" t="str">
            <v>erlimargarita22@gmail.com</v>
          </cell>
        </row>
        <row r="1440">
          <cell r="A1440">
            <v>51863558</v>
          </cell>
          <cell r="B1440" t="str">
            <v>GUZMAN BARRAGAN MARTHA PATRICIA</v>
          </cell>
          <cell r="C1440" t="str">
            <v>Paipa</v>
          </cell>
          <cell r="D1440" t="str">
            <v>Paipa</v>
          </cell>
          <cell r="E1440" t="str">
            <v>0</v>
          </cell>
          <cell r="F1440" t="str">
            <v>martpatog@gmail.com</v>
          </cell>
        </row>
        <row r="1441">
          <cell r="A1441">
            <v>52255778</v>
          </cell>
          <cell r="B1441" t="str">
            <v>GONZALEZ VARGAS SANDRA LILIANA</v>
          </cell>
          <cell r="C1441" t="str">
            <v>Paipa</v>
          </cell>
          <cell r="D1441" t="str">
            <v>Paipa</v>
          </cell>
          <cell r="E1441" t="str">
            <v>0</v>
          </cell>
          <cell r="F1441" t="str">
            <v>sgonzalez_vargas@hotmail.com</v>
          </cell>
        </row>
        <row r="1442">
          <cell r="A1442">
            <v>52481358</v>
          </cell>
          <cell r="B1442" t="str">
            <v>LARA AVENDAÑO ANGELICA ANGELICA</v>
          </cell>
          <cell r="C1442" t="str">
            <v>Paipa</v>
          </cell>
          <cell r="D1442" t="str">
            <v>Paipa</v>
          </cell>
          <cell r="E1442" t="str">
            <v>0</v>
          </cell>
          <cell r="F1442" t="str">
            <v>anyelicalav@gmail.com</v>
          </cell>
        </row>
        <row r="1443">
          <cell r="A1443">
            <v>52765504</v>
          </cell>
          <cell r="B1443" t="str">
            <v>RONDON  SABINA ACERO</v>
          </cell>
          <cell r="C1443" t="str">
            <v>Paipa</v>
          </cell>
          <cell r="D1443" t="str">
            <v>Paipa</v>
          </cell>
          <cell r="E1443" t="str">
            <v>0</v>
          </cell>
          <cell r="F1443" t="str">
            <v>linasabina@hotmail.com</v>
          </cell>
        </row>
        <row r="1444">
          <cell r="A1444">
            <v>52828701</v>
          </cell>
          <cell r="B1444" t="str">
            <v>PEÑA NAVARRETE ALEJANDRA JUDITH</v>
          </cell>
          <cell r="C1444" t="str">
            <v>Paipa</v>
          </cell>
          <cell r="D1444" t="str">
            <v>Paipa</v>
          </cell>
          <cell r="E1444" t="str">
            <v>0</v>
          </cell>
          <cell r="F1444" t="str">
            <v>aleja_011203@yahoo.es</v>
          </cell>
        </row>
        <row r="1445">
          <cell r="A1445">
            <v>52934586</v>
          </cell>
          <cell r="B1445" t="str">
            <v>ORTEGON  MARLEN GUTIÉRREZ</v>
          </cell>
          <cell r="C1445" t="str">
            <v>Paipa</v>
          </cell>
          <cell r="D1445" t="str">
            <v>Paipa</v>
          </cell>
          <cell r="E1445" t="str">
            <v>0</v>
          </cell>
          <cell r="F1445" t="str">
            <v>mgutierrezortegon@gmail.com</v>
          </cell>
        </row>
        <row r="1446">
          <cell r="A1446">
            <v>53911116</v>
          </cell>
          <cell r="B1446" t="str">
            <v>ALVAREZ CASTRO CATIA YHOANA</v>
          </cell>
          <cell r="C1446" t="str">
            <v>Paipa</v>
          </cell>
          <cell r="D1446" t="str">
            <v>Paipa</v>
          </cell>
          <cell r="E1446" t="str">
            <v>0</v>
          </cell>
          <cell r="F1446" t="str">
            <v>tastecampestre@gmail.com</v>
          </cell>
        </row>
        <row r="1447">
          <cell r="A1447">
            <v>74081771</v>
          </cell>
          <cell r="B1447" t="str">
            <v>AYALA RIVEROS JUAN GABRIEL</v>
          </cell>
          <cell r="C1447" t="str">
            <v>Paipa</v>
          </cell>
          <cell r="D1447" t="str">
            <v>Paipa</v>
          </cell>
          <cell r="E1447" t="str">
            <v>0</v>
          </cell>
          <cell r="F1447" t="str">
            <v>gabrielayala1583@hotmail.com</v>
          </cell>
        </row>
        <row r="1448">
          <cell r="A1448">
            <v>74130182</v>
          </cell>
          <cell r="B1448" t="str">
            <v>SALAMANCA  YOHN FREDDY</v>
          </cell>
          <cell r="C1448" t="str">
            <v>Paipa</v>
          </cell>
          <cell r="D1448" t="str">
            <v>Paipa</v>
          </cell>
          <cell r="E1448" t="str">
            <v>0</v>
          </cell>
          <cell r="F1448" t="str">
            <v>yohnfreddysalamanca@hotmail.com</v>
          </cell>
        </row>
        <row r="1449">
          <cell r="A1449">
            <v>74360802</v>
          </cell>
          <cell r="B1449" t="str">
            <v>GARAVITO  WILLIAM COY</v>
          </cell>
          <cell r="C1449" t="str">
            <v>Paipa</v>
          </cell>
          <cell r="D1449" t="str">
            <v>Paipa</v>
          </cell>
          <cell r="E1449" t="str">
            <v>0</v>
          </cell>
          <cell r="F1449" t="str">
            <v>wicoga1980@gmail.com</v>
          </cell>
        </row>
        <row r="1450">
          <cell r="A1450">
            <v>74381744</v>
          </cell>
          <cell r="B1450" t="str">
            <v>FIRACATIVE CARLOS ARTURO</v>
          </cell>
          <cell r="C1450" t="str">
            <v>Paipa</v>
          </cell>
          <cell r="D1450" t="str">
            <v>Paipa</v>
          </cell>
          <cell r="E1450" t="str">
            <v>0</v>
          </cell>
          <cell r="F1450" t="str">
            <v>carlosfiracative10@gmail.com</v>
          </cell>
        </row>
        <row r="1451">
          <cell r="A1451">
            <v>79149800</v>
          </cell>
          <cell r="B1451" t="str">
            <v>OTALORA ANGEL LUIS RAFAEL</v>
          </cell>
          <cell r="C1451" t="str">
            <v>Paipa</v>
          </cell>
          <cell r="D1451" t="str">
            <v>Paipa</v>
          </cell>
          <cell r="E1451" t="str">
            <v>0</v>
          </cell>
          <cell r="F1451" t="str">
            <v>rafaelotaloraangel@gmail.com</v>
          </cell>
        </row>
        <row r="1452">
          <cell r="A1452">
            <v>79520055</v>
          </cell>
          <cell r="B1452" t="str">
            <v>ROMERO TORRES URIEL ARCENIO</v>
          </cell>
          <cell r="C1452" t="str">
            <v>Paipa</v>
          </cell>
          <cell r="D1452" t="str">
            <v>Paipa</v>
          </cell>
          <cell r="E1452" t="str">
            <v>0</v>
          </cell>
          <cell r="F1452" t="str">
            <v>ury-romero@hotmail.com</v>
          </cell>
        </row>
        <row r="1453">
          <cell r="A1453">
            <v>79685306</v>
          </cell>
          <cell r="B1453" t="str">
            <v>OCHOA REAL RICHARD ALEXANDER</v>
          </cell>
          <cell r="C1453" t="str">
            <v>Paipa</v>
          </cell>
          <cell r="D1453" t="str">
            <v>Paipa</v>
          </cell>
          <cell r="E1453" t="str">
            <v>0</v>
          </cell>
          <cell r="F1453" t="str">
            <v>rialocre74@gmail.com</v>
          </cell>
        </row>
        <row r="1454">
          <cell r="A1454">
            <v>79831724</v>
          </cell>
          <cell r="B1454" t="str">
            <v>FLOREZ VANEGAS WILSON ANTONIO</v>
          </cell>
          <cell r="C1454" t="str">
            <v>Paipa</v>
          </cell>
          <cell r="D1454" t="str">
            <v>Paipa</v>
          </cell>
          <cell r="E1454" t="str">
            <v>0</v>
          </cell>
          <cell r="F1454" t="str">
            <v>w-florez@uniandes.edu.co</v>
          </cell>
        </row>
        <row r="1455">
          <cell r="A1455">
            <v>79897894</v>
          </cell>
          <cell r="B1455" t="str">
            <v>CALDERON LOZANO FREDY ALEXANDER</v>
          </cell>
          <cell r="C1455" t="str">
            <v>Paipa</v>
          </cell>
          <cell r="D1455" t="str">
            <v>Paipa</v>
          </cell>
          <cell r="E1455" t="str">
            <v>0</v>
          </cell>
          <cell r="F1455" t="str">
            <v>fredycalderon@gmail.com</v>
          </cell>
        </row>
        <row r="1456">
          <cell r="A1456">
            <v>79975707</v>
          </cell>
          <cell r="B1456" t="str">
            <v>CASTAÑEDA ALVAREZ FREDY ROLANDO</v>
          </cell>
          <cell r="C1456" t="str">
            <v>Paipa</v>
          </cell>
          <cell r="D1456" t="str">
            <v>Paipa</v>
          </cell>
          <cell r="E1456" t="str">
            <v>0</v>
          </cell>
          <cell r="F1456" t="str">
            <v>prunussalvator@gmail.com</v>
          </cell>
        </row>
        <row r="1457">
          <cell r="A1457">
            <v>80085026</v>
          </cell>
          <cell r="B1457" t="str">
            <v>SANCHEZ  OSWALDO VANEGAS</v>
          </cell>
          <cell r="C1457" t="str">
            <v>Paipa</v>
          </cell>
          <cell r="D1457" t="str">
            <v>Paipa</v>
          </cell>
          <cell r="E1457" t="str">
            <v>0</v>
          </cell>
          <cell r="F1457" t="str">
            <v>oswaldo_vanegas@hotmail.com</v>
          </cell>
        </row>
        <row r="1458">
          <cell r="A1458">
            <v>80159932</v>
          </cell>
          <cell r="B1458" t="str">
            <v>ROMERO BUITRAGO RICHARD GEOVANI</v>
          </cell>
          <cell r="C1458" t="str">
            <v>Paipa</v>
          </cell>
          <cell r="D1458" t="str">
            <v>Paipa</v>
          </cell>
          <cell r="E1458" t="str">
            <v>0</v>
          </cell>
          <cell r="F1458" t="str">
            <v>dr.rromeromvz@gmail.com</v>
          </cell>
        </row>
        <row r="1459">
          <cell r="A1459">
            <v>80186268</v>
          </cell>
          <cell r="B1459" t="str">
            <v>FUENTES MONTOYA JOSE ALEXANDER</v>
          </cell>
          <cell r="C1459" t="str">
            <v>Paipa</v>
          </cell>
          <cell r="D1459" t="str">
            <v>Paipa</v>
          </cell>
          <cell r="E1459" t="str">
            <v>0</v>
          </cell>
          <cell r="F1459" t="str">
            <v>lordalexone@gmail.com</v>
          </cell>
        </row>
        <row r="1460">
          <cell r="A1460">
            <v>85468824</v>
          </cell>
          <cell r="B1460" t="str">
            <v>MONGUI  WILSON BETO</v>
          </cell>
          <cell r="C1460" t="str">
            <v>Paipa</v>
          </cell>
          <cell r="D1460" t="str">
            <v>Paipa</v>
          </cell>
          <cell r="E1460" t="str">
            <v>0</v>
          </cell>
          <cell r="F1460" t="str">
            <v>wilson1974@gmail.com</v>
          </cell>
        </row>
        <row r="1461">
          <cell r="A1461">
            <v>91258404</v>
          </cell>
          <cell r="B1461" t="str">
            <v>DIAZ SEPÚLVEDA LUIS IGNACIO</v>
          </cell>
          <cell r="C1461" t="str">
            <v>Paipa</v>
          </cell>
          <cell r="D1461" t="str">
            <v>Paipa</v>
          </cell>
          <cell r="E1461" t="str">
            <v>0</v>
          </cell>
          <cell r="F1461" t="str">
            <v>ludiaz6720@gmail.com</v>
          </cell>
        </row>
        <row r="1462">
          <cell r="A1462">
            <v>91532775</v>
          </cell>
          <cell r="B1462" t="str">
            <v>ÁLVAREZ CASTRO HELVER CRISPINIANO</v>
          </cell>
          <cell r="C1462" t="str">
            <v>Paipa</v>
          </cell>
          <cell r="D1462" t="str">
            <v>Paipa</v>
          </cell>
          <cell r="E1462" t="str">
            <v>0</v>
          </cell>
          <cell r="F1462" t="str">
            <v>helver.alvarez@gmail.com</v>
          </cell>
        </row>
        <row r="1463">
          <cell r="A1463">
            <v>93436916</v>
          </cell>
          <cell r="B1463" t="str">
            <v>VELA SILVA NESTOR RAUL</v>
          </cell>
          <cell r="C1463" t="str">
            <v>Paipa</v>
          </cell>
          <cell r="D1463" t="str">
            <v>Paipa</v>
          </cell>
          <cell r="E1463" t="str">
            <v>0</v>
          </cell>
          <cell r="F1463" t="str">
            <v>nestorinivela@gmail.com</v>
          </cell>
        </row>
        <row r="1464">
          <cell r="A1464">
            <v>1001216290</v>
          </cell>
          <cell r="B1464" t="str">
            <v>SALGADO  NATALIA CASTAÑO</v>
          </cell>
          <cell r="C1464" t="str">
            <v>Paipa</v>
          </cell>
          <cell r="D1464" t="str">
            <v>Paipa</v>
          </cell>
          <cell r="E1464" t="str">
            <v>0</v>
          </cell>
          <cell r="F1464" t="str">
            <v>nata.li1999@hotmail.es</v>
          </cell>
        </row>
        <row r="1465">
          <cell r="A1465">
            <v>1002539023</v>
          </cell>
          <cell r="B1465" t="str">
            <v>PAIPILLA SANCHEZ CAMILO ANDRES</v>
          </cell>
          <cell r="C1465" t="str">
            <v>Paipa</v>
          </cell>
          <cell r="D1465" t="str">
            <v>Paipa</v>
          </cell>
          <cell r="E1465" t="str">
            <v>0</v>
          </cell>
          <cell r="F1465" t="str">
            <v>camilopaipilla12@hotmail.com</v>
          </cell>
        </row>
        <row r="1466">
          <cell r="A1466">
            <v>1007142516</v>
          </cell>
          <cell r="B1466" t="str">
            <v>CUERVO TALERO PEDRO MIGUEL</v>
          </cell>
          <cell r="C1466" t="str">
            <v>Paipa</v>
          </cell>
          <cell r="D1466" t="str">
            <v>Paipa</v>
          </cell>
          <cell r="E1466" t="str">
            <v>0</v>
          </cell>
          <cell r="F1466" t="str">
            <v>pettercrow1007@gmail.com</v>
          </cell>
        </row>
        <row r="1467">
          <cell r="A1467">
            <v>1010240302</v>
          </cell>
          <cell r="B1467" t="str">
            <v>CASAS GÓMEZ FELIPE FELIPE</v>
          </cell>
          <cell r="C1467" t="str">
            <v>Paipa</v>
          </cell>
          <cell r="D1467" t="str">
            <v>Paipa</v>
          </cell>
          <cell r="E1467" t="str">
            <v>0</v>
          </cell>
          <cell r="F1467" t="str">
            <v>afcasasgomez@gmail.com</v>
          </cell>
        </row>
        <row r="1468">
          <cell r="A1468">
            <v>1014253699</v>
          </cell>
          <cell r="B1468" t="str">
            <v>SALAZAR BOADA NATHALIA LIZETH</v>
          </cell>
          <cell r="C1468" t="str">
            <v>Paipa</v>
          </cell>
          <cell r="D1468" t="str">
            <v>Paipa</v>
          </cell>
          <cell r="E1468" t="str">
            <v>0</v>
          </cell>
          <cell r="F1468" t="str">
            <v>nathalia.lizeth.salazar@gmail.com</v>
          </cell>
        </row>
        <row r="1469">
          <cell r="A1469">
            <v>1030560015</v>
          </cell>
          <cell r="B1469" t="str">
            <v>DIAZ NIETO SAMIR SHNEYDER</v>
          </cell>
          <cell r="C1469" t="str">
            <v>Paipa</v>
          </cell>
          <cell r="D1469" t="str">
            <v>Paipa</v>
          </cell>
          <cell r="E1469" t="str">
            <v>0</v>
          </cell>
          <cell r="F1469" t="str">
            <v>samirdiaznieto@hotmail.com</v>
          </cell>
        </row>
        <row r="1470">
          <cell r="A1470">
            <v>1030564554</v>
          </cell>
          <cell r="B1470" t="str">
            <v>BRINEZ CORONADO HECTOR LEONIDAS</v>
          </cell>
          <cell r="C1470" t="str">
            <v>Paipa</v>
          </cell>
          <cell r="D1470" t="str">
            <v>Paipa</v>
          </cell>
          <cell r="E1470" t="str">
            <v>0</v>
          </cell>
          <cell r="F1470" t="str">
            <v>hector.brinez89@gmail.com</v>
          </cell>
        </row>
        <row r="1471">
          <cell r="A1471">
            <v>1032446256</v>
          </cell>
          <cell r="B1471" t="str">
            <v>TORRES PACHÓN WILSON CAMILO</v>
          </cell>
          <cell r="C1471" t="str">
            <v>Paipa</v>
          </cell>
          <cell r="D1471" t="str">
            <v>Paipa</v>
          </cell>
          <cell r="E1471" t="str">
            <v>0</v>
          </cell>
          <cell r="F1471" t="str">
            <v>torresseguridadelectronica@gmail.com</v>
          </cell>
        </row>
        <row r="1472">
          <cell r="A1472">
            <v>1049603778</v>
          </cell>
          <cell r="B1472" t="str">
            <v>GARCIA MORCOTE CESAR AUGUSTO</v>
          </cell>
          <cell r="C1472" t="str">
            <v>Paipa</v>
          </cell>
          <cell r="D1472" t="str">
            <v>Paipa</v>
          </cell>
          <cell r="E1472" t="str">
            <v>0</v>
          </cell>
          <cell r="F1472" t="str">
            <v>cesargarciamorcote@outlook.com</v>
          </cell>
        </row>
        <row r="1473">
          <cell r="A1473">
            <v>1049648223</v>
          </cell>
          <cell r="B1473" t="str">
            <v>DE ANTONIO PAULA ANDREA</v>
          </cell>
          <cell r="C1473" t="str">
            <v>Paipa</v>
          </cell>
          <cell r="D1473" t="str">
            <v>Paipa</v>
          </cell>
          <cell r="E1473" t="str">
            <v>0</v>
          </cell>
          <cell r="F1473" t="str">
            <v>paudean0909@gmail.com</v>
          </cell>
        </row>
        <row r="1474">
          <cell r="A1474">
            <v>1051588259</v>
          </cell>
          <cell r="B1474" t="str">
            <v>NIÑO BERNAL JAIRO ANDRES</v>
          </cell>
          <cell r="C1474" t="str">
            <v>Paipa</v>
          </cell>
          <cell r="D1474" t="str">
            <v>Paipa</v>
          </cell>
          <cell r="E1474" t="str">
            <v>0</v>
          </cell>
          <cell r="F1474" t="str">
            <v>nioandrez@gmail.com</v>
          </cell>
        </row>
        <row r="1475">
          <cell r="A1475">
            <v>1052386637</v>
          </cell>
          <cell r="B1475" t="str">
            <v>GONZALEZ  GUSTAVO ADOLFO</v>
          </cell>
          <cell r="C1475" t="str">
            <v>Paipa</v>
          </cell>
          <cell r="D1475" t="str">
            <v>Paipa</v>
          </cell>
          <cell r="E1475" t="str">
            <v>0</v>
          </cell>
          <cell r="F1475" t="str">
            <v>g.gusgonzalez16@gmail.com</v>
          </cell>
        </row>
        <row r="1476">
          <cell r="A1476">
            <v>1052392122</v>
          </cell>
          <cell r="B1476" t="str">
            <v>DUENAS PALENCIA DAVID DAVID</v>
          </cell>
          <cell r="C1476" t="str">
            <v>Paipa</v>
          </cell>
          <cell r="D1476" t="str">
            <v>Paipa</v>
          </cell>
          <cell r="E1476" t="str">
            <v>0</v>
          </cell>
          <cell r="F1476" t="str">
            <v>jedadupa@gmail.com</v>
          </cell>
        </row>
        <row r="1477">
          <cell r="A1477">
            <v>1053604625</v>
          </cell>
          <cell r="B1477" t="str">
            <v>GAMA GRANADOS PAOLA CAROLINA</v>
          </cell>
          <cell r="C1477" t="str">
            <v>Paipa</v>
          </cell>
          <cell r="D1477" t="str">
            <v>Paipa</v>
          </cell>
          <cell r="E1477" t="str">
            <v>0</v>
          </cell>
          <cell r="F1477" t="str">
            <v>paogam49@gmail.com</v>
          </cell>
        </row>
        <row r="1478">
          <cell r="A1478">
            <v>1053605030</v>
          </cell>
          <cell r="B1478" t="str">
            <v>BONILLA PATARROYO FABIÁN ALBERTO</v>
          </cell>
          <cell r="C1478" t="str">
            <v>Paipa</v>
          </cell>
          <cell r="D1478" t="str">
            <v>Paipa</v>
          </cell>
          <cell r="E1478" t="str">
            <v>0</v>
          </cell>
          <cell r="F1478" t="str">
            <v>fabianbonilla.p87@gmail.com</v>
          </cell>
        </row>
        <row r="1479">
          <cell r="A1479">
            <v>1053605261</v>
          </cell>
          <cell r="B1479" t="str">
            <v>LOPEZ RODRIGUEZ ANGELA ROCIO</v>
          </cell>
          <cell r="C1479" t="str">
            <v>Paipa</v>
          </cell>
          <cell r="D1479" t="str">
            <v>Paipa</v>
          </cell>
          <cell r="E1479" t="str">
            <v>0</v>
          </cell>
          <cell r="F1479" t="str">
            <v>facturacion.paipacheese@gmail.com</v>
          </cell>
        </row>
        <row r="1480">
          <cell r="A1480">
            <v>1053606020</v>
          </cell>
          <cell r="B1480" t="str">
            <v>LARA SOSA BRIAN MAURICIO</v>
          </cell>
          <cell r="C1480" t="str">
            <v>Paipa</v>
          </cell>
          <cell r="D1480" t="str">
            <v>Paipa</v>
          </cell>
          <cell r="E1480" t="str">
            <v>0</v>
          </cell>
          <cell r="F1480" t="str">
            <v>brian_lara87@hotmail.com</v>
          </cell>
        </row>
        <row r="1481">
          <cell r="A1481">
            <v>1053612970</v>
          </cell>
          <cell r="B1481" t="str">
            <v>RODRIGUEZ ALBA MIGUEL MIGUEL</v>
          </cell>
          <cell r="C1481" t="str">
            <v>Paipa</v>
          </cell>
          <cell r="D1481" t="str">
            <v>Paipa</v>
          </cell>
          <cell r="E1481" t="str">
            <v>0</v>
          </cell>
          <cell r="F1481" t="str">
            <v>luismiguelrodriguezalba00@gmail.com</v>
          </cell>
        </row>
        <row r="1482">
          <cell r="A1482">
            <v>1053615940</v>
          </cell>
          <cell r="B1482" t="str">
            <v>BOHORQUEZ SANCHEZ BAIRON ALEJANDRO</v>
          </cell>
          <cell r="C1482" t="str">
            <v>Paipa</v>
          </cell>
          <cell r="D1482" t="str">
            <v>Paipa</v>
          </cell>
          <cell r="E1482" t="str">
            <v>0</v>
          </cell>
          <cell r="F1482" t="str">
            <v>baironalejo9@gmail.com</v>
          </cell>
        </row>
        <row r="1483">
          <cell r="A1483">
            <v>1053616327</v>
          </cell>
          <cell r="B1483" t="str">
            <v>BOHÓRQUEZ ESPITIA SANDRA VANESSA</v>
          </cell>
          <cell r="C1483" t="str">
            <v>Paipa</v>
          </cell>
          <cell r="D1483" t="str">
            <v>Paipa</v>
          </cell>
          <cell r="E1483" t="str">
            <v>0</v>
          </cell>
          <cell r="F1483" t="str">
            <v>sandra_vanessa99@hotmail.com</v>
          </cell>
        </row>
        <row r="1484">
          <cell r="A1484">
            <v>1094574728</v>
          </cell>
          <cell r="B1484" t="str">
            <v>ORTIZ MOSQUERA YENICA LILIANA</v>
          </cell>
          <cell r="C1484" t="str">
            <v>Paipa</v>
          </cell>
          <cell r="D1484" t="str">
            <v>Paipa</v>
          </cell>
          <cell r="E1484" t="str">
            <v>0</v>
          </cell>
          <cell r="F1484" t="str">
            <v>sointel@live.com</v>
          </cell>
        </row>
        <row r="1485">
          <cell r="A1485">
            <v>800215382</v>
          </cell>
          <cell r="B1485" t="str">
            <v>ARTE Y DISEÑO GRAFICO SAS</v>
          </cell>
          <cell r="C1485" t="str">
            <v>Paipa</v>
          </cell>
          <cell r="D1485" t="str">
            <v>Paipa</v>
          </cell>
          <cell r="E1485" t="str">
            <v>0</v>
          </cell>
          <cell r="F1485" t="str">
            <v>contabilidad@arteydisenografico.com</v>
          </cell>
        </row>
        <row r="1486">
          <cell r="A1486">
            <v>830500198</v>
          </cell>
          <cell r="B1486" t="str">
            <v>LA COLINA BRANDS SAS</v>
          </cell>
          <cell r="C1486" t="str">
            <v>Paipa</v>
          </cell>
          <cell r="D1486" t="str">
            <v>Paipa</v>
          </cell>
          <cell r="E1486" t="str">
            <v>0</v>
          </cell>
          <cell r="F1486" t="str">
            <v>lacolina.contabilidad@gmail.com</v>
          </cell>
        </row>
        <row r="1487">
          <cell r="A1487">
            <v>844001945</v>
          </cell>
          <cell r="B1487" t="str">
            <v>BOBINADOS ELECTRO ORIENTE SAS</v>
          </cell>
          <cell r="C1487" t="str">
            <v>Paipa</v>
          </cell>
          <cell r="D1487" t="str">
            <v>Paipa</v>
          </cell>
          <cell r="E1487" t="str">
            <v>0</v>
          </cell>
          <cell r="F1487" t="str">
            <v>contabilidad@beoriente.com</v>
          </cell>
        </row>
        <row r="1488">
          <cell r="A1488">
            <v>890701017</v>
          </cell>
          <cell r="B1488" t="str">
            <v>COOTRASTOL</v>
          </cell>
          <cell r="C1488" t="str">
            <v>Paipa</v>
          </cell>
          <cell r="D1488" t="str">
            <v>Paipa</v>
          </cell>
          <cell r="E1488" t="str">
            <v>0</v>
          </cell>
          <cell r="F1488" t="str">
            <v>facturaelectronica@cootranstol.com</v>
          </cell>
        </row>
        <row r="1489">
          <cell r="A1489">
            <v>900331283</v>
          </cell>
          <cell r="B1489" t="str">
            <v>CAPRIVAL S A S</v>
          </cell>
          <cell r="C1489" t="str">
            <v>Paipa</v>
          </cell>
          <cell r="D1489" t="str">
            <v>Paipa</v>
          </cell>
          <cell r="E1489" t="str">
            <v>0</v>
          </cell>
          <cell r="F1489" t="str">
            <v>andresmrubio@hotmail.com</v>
          </cell>
        </row>
        <row r="1490">
          <cell r="A1490">
            <v>900396575</v>
          </cell>
          <cell r="B1490" t="str">
            <v>SERVICIOS DE REHABILITACIÓN</v>
          </cell>
          <cell r="C1490" t="str">
            <v>Paipa</v>
          </cell>
          <cell r="D1490" t="str">
            <v>Paipa</v>
          </cell>
          <cell r="E1490" t="str">
            <v>0</v>
          </cell>
          <cell r="F1490" t="str">
            <v>cedinsosas@hotmail.com</v>
          </cell>
        </row>
        <row r="1491">
          <cell r="A1491">
            <v>900449430</v>
          </cell>
          <cell r="B1491" t="str">
            <v>VEDECO SAS</v>
          </cell>
          <cell r="C1491" t="str">
            <v>Paipa</v>
          </cell>
          <cell r="D1491" t="str">
            <v>Paipa</v>
          </cell>
          <cell r="E1491" t="str">
            <v>0</v>
          </cell>
          <cell r="F1491" t="str">
            <v>almacen@vedeco.com.co</v>
          </cell>
        </row>
        <row r="1492">
          <cell r="A1492">
            <v>900589244</v>
          </cell>
          <cell r="B1492" t="str">
            <v>MATEUS FUQUEN ASOCIADOS SAS</v>
          </cell>
          <cell r="C1492" t="str">
            <v>Paipa</v>
          </cell>
          <cell r="D1492" t="str">
            <v>Paipa</v>
          </cell>
          <cell r="E1492" t="str">
            <v>0</v>
          </cell>
          <cell r="F1492" t="str">
            <v>nidialuzmateus@yahoo.com</v>
          </cell>
        </row>
        <row r="1493">
          <cell r="A1493">
            <v>900602468</v>
          </cell>
          <cell r="B1493" t="str">
            <v>VYG ASESORES SAS</v>
          </cell>
          <cell r="C1493" t="str">
            <v>Paipa</v>
          </cell>
          <cell r="D1493" t="str">
            <v>Paipa</v>
          </cell>
          <cell r="E1493" t="str">
            <v>0</v>
          </cell>
          <cell r="F1493" t="str">
            <v>vyg.asesores.sas@gmail.com</v>
          </cell>
        </row>
        <row r="1494">
          <cell r="A1494">
            <v>900622551</v>
          </cell>
          <cell r="B1494" t="str">
            <v>SALUD</v>
          </cell>
          <cell r="C1494" t="str">
            <v>Paipa</v>
          </cell>
          <cell r="D1494" t="str">
            <v>Paipa</v>
          </cell>
          <cell r="E1494" t="str">
            <v>0</v>
          </cell>
          <cell r="F1494" t="str">
            <v>recepcionfacturacionelectronica@jersalud.com</v>
          </cell>
        </row>
        <row r="1495">
          <cell r="A1495">
            <v>900756840</v>
          </cell>
          <cell r="B1495" t="str">
            <v>INDARS SAS</v>
          </cell>
          <cell r="C1495" t="str">
            <v>Paipa</v>
          </cell>
          <cell r="D1495" t="str">
            <v>Paipa</v>
          </cell>
          <cell r="E1495" t="str">
            <v>0</v>
          </cell>
          <cell r="F1495" t="str">
            <v>compras@indars.com.co</v>
          </cell>
        </row>
        <row r="1496">
          <cell r="A1496">
            <v>900971264</v>
          </cell>
          <cell r="B1496" t="str">
            <v>SIMPLE PLUS SAS</v>
          </cell>
          <cell r="C1496" t="str">
            <v>Paipa</v>
          </cell>
          <cell r="D1496" t="str">
            <v>Paipa</v>
          </cell>
          <cell r="E1496" t="str">
            <v>0</v>
          </cell>
          <cell r="F1496" t="str">
            <v>facturacion@simpleplus.com.co</v>
          </cell>
        </row>
        <row r="1497">
          <cell r="A1497">
            <v>901053218</v>
          </cell>
          <cell r="B1497" t="str">
            <v>JAV SERVICIOS COMERCIALES LTDA</v>
          </cell>
          <cell r="C1497" t="str">
            <v>Paipa</v>
          </cell>
          <cell r="D1497" t="str">
            <v>Paipa</v>
          </cell>
          <cell r="E1497" t="str">
            <v>0</v>
          </cell>
          <cell r="F1497" t="str">
            <v>contabilidad@javsegurosylogistica.com</v>
          </cell>
        </row>
        <row r="1498">
          <cell r="A1498">
            <v>901140651</v>
          </cell>
          <cell r="B1498" t="str">
            <v>FELYCIN S.A.S</v>
          </cell>
          <cell r="C1498" t="str">
            <v>Paipa</v>
          </cell>
          <cell r="D1498" t="str">
            <v>Paipa</v>
          </cell>
          <cell r="E1498" t="str">
            <v>0</v>
          </cell>
          <cell r="F1498" t="str">
            <v>felicin.sas@gmail.com</v>
          </cell>
        </row>
        <row r="1499">
          <cell r="A1499">
            <v>901271025</v>
          </cell>
          <cell r="B1499" t="str">
            <v>INGEFRAL SAS</v>
          </cell>
          <cell r="C1499" t="str">
            <v>Paipa</v>
          </cell>
          <cell r="D1499" t="str">
            <v>Paipa</v>
          </cell>
          <cell r="E1499" t="str">
            <v>0</v>
          </cell>
          <cell r="F1499" t="str">
            <v>ingefral.ingenieria@gmail.com</v>
          </cell>
        </row>
        <row r="1500">
          <cell r="A1500">
            <v>901297927</v>
          </cell>
          <cell r="B1500" t="str">
            <v>ENERGY 8 NETWORK SAS</v>
          </cell>
          <cell r="C1500" t="str">
            <v>Paipa</v>
          </cell>
          <cell r="D1500" t="str">
            <v>Paipa</v>
          </cell>
          <cell r="E1500" t="str">
            <v>0</v>
          </cell>
          <cell r="F1500" t="str">
            <v>comercial@e8n.com.co</v>
          </cell>
        </row>
        <row r="1501">
          <cell r="A1501">
            <v>901430727</v>
          </cell>
          <cell r="B1501" t="str">
            <v>CONSTRUCTORA AUSTROS SAS</v>
          </cell>
          <cell r="C1501" t="str">
            <v>Paipa</v>
          </cell>
          <cell r="D1501" t="str">
            <v>Paipa</v>
          </cell>
          <cell r="E1501" t="str">
            <v>0</v>
          </cell>
          <cell r="F1501" t="str">
            <v>constructoraaustros@gmail.com</v>
          </cell>
        </row>
        <row r="1502">
          <cell r="A1502">
            <v>901552915</v>
          </cell>
          <cell r="B1502" t="str">
            <v>MARIA MONTESSORI SCHOOL S.A.S ZOMAC</v>
          </cell>
          <cell r="C1502" t="str">
            <v>Paipa</v>
          </cell>
          <cell r="D1502" t="str">
            <v>Paipa</v>
          </cell>
          <cell r="E1502" t="str">
            <v>0</v>
          </cell>
          <cell r="F1502" t="str">
            <v>contacto@fedmariamontessori.edu.co</v>
          </cell>
        </row>
        <row r="1503">
          <cell r="A1503">
            <v>901589233</v>
          </cell>
          <cell r="B1503" t="str">
            <v>DOTACIONES Y SUMINISTROS LA SISO</v>
          </cell>
          <cell r="C1503" t="str">
            <v>Paipa</v>
          </cell>
          <cell r="D1503" t="str">
            <v>Paipa</v>
          </cell>
          <cell r="E1503" t="str">
            <v>0</v>
          </cell>
          <cell r="F1503" t="str">
            <v>facturacion@lasiso.com</v>
          </cell>
        </row>
        <row r="1504">
          <cell r="A1504">
            <v>901662139</v>
          </cell>
          <cell r="B1504" t="str">
            <v>CORPOAVANZANDO</v>
          </cell>
          <cell r="C1504" t="str">
            <v>Paipa</v>
          </cell>
          <cell r="D1504" t="str">
            <v>Paipa</v>
          </cell>
          <cell r="E1504" t="str">
            <v>0</v>
          </cell>
          <cell r="F1504" t="str">
            <v>corpoavanza@gmail.com</v>
          </cell>
        </row>
        <row r="1505">
          <cell r="A1505">
            <v>901671691</v>
          </cell>
          <cell r="B1505" t="str">
            <v>AMA GROUP COLOMBIA SAS</v>
          </cell>
          <cell r="C1505" t="str">
            <v>Paipa</v>
          </cell>
          <cell r="D1505" t="str">
            <v>Paipa</v>
          </cell>
          <cell r="E1505" t="str">
            <v>0</v>
          </cell>
          <cell r="F1505" t="str">
            <v>amagroupcolombiasas@gmail.com</v>
          </cell>
        </row>
        <row r="1506">
          <cell r="A1506">
            <v>901770016</v>
          </cell>
          <cell r="B1506" t="str">
            <v>HERMANAS CASTELLAR SAS</v>
          </cell>
          <cell r="C1506" t="str">
            <v>Paipa</v>
          </cell>
          <cell r="D1506" t="str">
            <v>Paipa</v>
          </cell>
          <cell r="E1506" t="str">
            <v>0</v>
          </cell>
          <cell r="F1506" t="str">
            <v>sociedadcastelamar@gmail.com</v>
          </cell>
        </row>
        <row r="1507">
          <cell r="A1507">
            <v>901827330</v>
          </cell>
          <cell r="B1507" t="str">
            <v>MOLINO LA ESPIGA DUITAMA SAS</v>
          </cell>
          <cell r="C1507" t="str">
            <v>Paipa</v>
          </cell>
          <cell r="D1507" t="str">
            <v>Paipa</v>
          </cell>
          <cell r="E1507" t="str">
            <v>0</v>
          </cell>
          <cell r="F1507" t="str">
            <v>comlaespiga@gmail.com</v>
          </cell>
        </row>
        <row r="1508">
          <cell r="A1508">
            <v>1052380480</v>
          </cell>
          <cell r="B1508" t="str">
            <v>MARROQUIN SALCEDO OSCAR IGNACIO</v>
          </cell>
          <cell r="C1508" t="str">
            <v>Paipa</v>
          </cell>
          <cell r="D1508" t="str">
            <v>CR 19 N 26-38</v>
          </cell>
          <cell r="E1508" t="str">
            <v>3118313554</v>
          </cell>
          <cell r="F1508" t="str">
            <v>pjmarily0204@gmail.com</v>
          </cell>
        </row>
        <row r="1509">
          <cell r="A1509">
            <v>901474664</v>
          </cell>
          <cell r="B1509" t="str">
            <v>TRANSLAP LOGISTICA SAS</v>
          </cell>
          <cell r="C1509" t="str">
            <v>Zipaquirá</v>
          </cell>
          <cell r="D1509" t="str">
            <v>CR 14 A 28 28</v>
          </cell>
          <cell r="E1509" t="str">
            <v>3214056835</v>
          </cell>
          <cell r="F1509" t="str">
            <v>gerencia.translap@gmail.com</v>
          </cell>
        </row>
        <row r="1510">
          <cell r="A1510">
            <v>4208995</v>
          </cell>
          <cell r="B1510" t="str">
            <v>MARTINEZ GÓMEZ EDWIN JULIÁN</v>
          </cell>
          <cell r="C1510" t="str">
            <v>Paipa</v>
          </cell>
          <cell r="D1510" t="str">
            <v>Paipa</v>
          </cell>
          <cell r="E1510" t="str">
            <v>0</v>
          </cell>
          <cell r="F1510" t="str">
            <v>jlnmartinez71@gmail.com</v>
          </cell>
        </row>
        <row r="1511">
          <cell r="A1511">
            <v>7321431</v>
          </cell>
          <cell r="B1511" t="str">
            <v>ORTIZ PINILLA ALVARO YESID</v>
          </cell>
          <cell r="C1511" t="str">
            <v>Paipa</v>
          </cell>
          <cell r="D1511" t="str">
            <v>Paipa</v>
          </cell>
          <cell r="E1511" t="str">
            <v>0</v>
          </cell>
          <cell r="F1511" t="str">
            <v>yesidor1870@hotmail.com</v>
          </cell>
        </row>
        <row r="1512">
          <cell r="A1512">
            <v>13275991</v>
          </cell>
          <cell r="B1512" t="str">
            <v>NAVARRO CAÑIZAREZ JUAN ISMAEL</v>
          </cell>
          <cell r="C1512" t="str">
            <v>Paipa</v>
          </cell>
          <cell r="D1512" t="str">
            <v>Paipa</v>
          </cell>
          <cell r="E1512" t="str">
            <v>0</v>
          </cell>
          <cell r="F1512" t="str">
            <v>juan.navaca.84@gmail.com</v>
          </cell>
        </row>
        <row r="1513">
          <cell r="A1513">
            <v>13541061</v>
          </cell>
          <cell r="B1513" t="str">
            <v>CAUSA BAEZ JOHN ALEXANDER</v>
          </cell>
          <cell r="C1513" t="str">
            <v>Paipa</v>
          </cell>
          <cell r="D1513" t="str">
            <v>Paipa</v>
          </cell>
          <cell r="E1513" t="str">
            <v>0</v>
          </cell>
          <cell r="F1513" t="str">
            <v>jcausa68@gmail.com</v>
          </cell>
        </row>
        <row r="1514">
          <cell r="A1514">
            <v>13543722</v>
          </cell>
          <cell r="B1514" t="str">
            <v>MARTINEZ ARDILA HUGO ERNESTO</v>
          </cell>
          <cell r="C1514" t="str">
            <v>Paipa</v>
          </cell>
          <cell r="D1514" t="str">
            <v>Paipa</v>
          </cell>
          <cell r="E1514" t="str">
            <v>0</v>
          </cell>
          <cell r="F1514" t="str">
            <v>hugonik@gmail.com</v>
          </cell>
        </row>
        <row r="1515">
          <cell r="A1515">
            <v>23637267</v>
          </cell>
          <cell r="B1515" t="str">
            <v>MARLENY CARREÑO</v>
          </cell>
          <cell r="C1515" t="str">
            <v>Paipa</v>
          </cell>
          <cell r="D1515" t="str">
            <v>Paipa</v>
          </cell>
          <cell r="E1515" t="str">
            <v>0</v>
          </cell>
          <cell r="F1515" t="str">
            <v>marlenycaba2@gmail.com</v>
          </cell>
        </row>
        <row r="1516">
          <cell r="A1516">
            <v>23857518</v>
          </cell>
          <cell r="B1516" t="str">
            <v>HIGUERA HIGUERA CORREDOR EUGENIA</v>
          </cell>
          <cell r="C1516" t="str">
            <v>Paipa</v>
          </cell>
          <cell r="D1516" t="str">
            <v>Paipa</v>
          </cell>
          <cell r="E1516" t="str">
            <v>0</v>
          </cell>
          <cell r="F1516" t="str">
            <v>eugeniacorredorpablovi@gmail.com</v>
          </cell>
        </row>
        <row r="1517">
          <cell r="A1517">
            <v>35375569</v>
          </cell>
          <cell r="B1517" t="str">
            <v>PALACIOS  LIBIA EMILSE</v>
          </cell>
          <cell r="C1517" t="str">
            <v>Paipa</v>
          </cell>
          <cell r="D1517" t="str">
            <v>Paipa</v>
          </cell>
          <cell r="E1517" t="str">
            <v>0</v>
          </cell>
          <cell r="F1517" t="str">
            <v>libiaemilse66@gmail.com</v>
          </cell>
        </row>
        <row r="1518">
          <cell r="A1518">
            <v>37279109</v>
          </cell>
          <cell r="B1518" t="str">
            <v>RANGEL LIZCANO NUBIA ESTHER</v>
          </cell>
          <cell r="C1518" t="str">
            <v>Paipa</v>
          </cell>
          <cell r="D1518" t="str">
            <v>Paipa</v>
          </cell>
          <cell r="E1518" t="str">
            <v>0</v>
          </cell>
          <cell r="F1518" t="str">
            <v>nubiarangel0601@gmail.com</v>
          </cell>
        </row>
        <row r="1519">
          <cell r="A1519">
            <v>46664720</v>
          </cell>
          <cell r="B1519" t="str">
            <v>LIZARAZO ZABALA CARLINA OMAIRA</v>
          </cell>
          <cell r="C1519" t="str">
            <v>Paipa</v>
          </cell>
          <cell r="D1519" t="str">
            <v>Paipa</v>
          </cell>
          <cell r="E1519" t="str">
            <v>0</v>
          </cell>
          <cell r="F1519" t="str">
            <v>caromaliza1@hotmail.com</v>
          </cell>
        </row>
        <row r="1520">
          <cell r="A1520">
            <v>46681152</v>
          </cell>
          <cell r="B1520" t="str">
            <v>PATARROYO PUERTO ILIDA YASMIN</v>
          </cell>
          <cell r="C1520" t="str">
            <v>Paipa</v>
          </cell>
          <cell r="D1520" t="str">
            <v>Paipa</v>
          </cell>
          <cell r="E1520" t="str">
            <v>0</v>
          </cell>
          <cell r="F1520" t="str">
            <v>jorgeandresbuitrago33@hotmail.com</v>
          </cell>
        </row>
        <row r="1521">
          <cell r="A1521">
            <v>47440592</v>
          </cell>
          <cell r="B1521" t="str">
            <v>ANA BARRETO</v>
          </cell>
          <cell r="C1521" t="str">
            <v>Paipa</v>
          </cell>
          <cell r="D1521" t="str">
            <v>Paipa</v>
          </cell>
          <cell r="E1521" t="str">
            <v>0</v>
          </cell>
          <cell r="F1521" t="str">
            <v>apba24_07@hotmail.com</v>
          </cell>
        </row>
        <row r="1522">
          <cell r="A1522">
            <v>51594170</v>
          </cell>
          <cell r="B1522" t="str">
            <v>PEÑA PINZON NURY KATHIUSKA</v>
          </cell>
          <cell r="C1522" t="str">
            <v>Paipa</v>
          </cell>
          <cell r="D1522" t="str">
            <v>Paipa</v>
          </cell>
          <cell r="E1522" t="str">
            <v>0</v>
          </cell>
          <cell r="F1522" t="str">
            <v>nury_kat@hotmail.com</v>
          </cell>
        </row>
        <row r="1523">
          <cell r="A1523">
            <v>52714779</v>
          </cell>
          <cell r="B1523" t="str">
            <v>APONTE MORENO MYRIAM LIZ</v>
          </cell>
          <cell r="C1523" t="str">
            <v>Paipa</v>
          </cell>
          <cell r="D1523" t="str">
            <v>Paipa</v>
          </cell>
          <cell r="E1523" t="str">
            <v>0</v>
          </cell>
          <cell r="F1523" t="str">
            <v>mylilox@gmail.com</v>
          </cell>
        </row>
        <row r="1524">
          <cell r="A1524">
            <v>52718546</v>
          </cell>
          <cell r="B1524" t="str">
            <v>CORREAL  MAYERLY GARCIA</v>
          </cell>
          <cell r="C1524" t="str">
            <v>Paipa</v>
          </cell>
          <cell r="D1524" t="str">
            <v>Paipa</v>
          </cell>
          <cell r="E1524" t="str">
            <v>0</v>
          </cell>
          <cell r="F1524" t="str">
            <v>mayergaco@hotmail.com</v>
          </cell>
        </row>
        <row r="1525">
          <cell r="A1525">
            <v>53050712</v>
          </cell>
          <cell r="B1525" t="str">
            <v>NATALIA RAMIREZ</v>
          </cell>
          <cell r="C1525" t="str">
            <v>Paipa</v>
          </cell>
          <cell r="D1525" t="str">
            <v>Paipa</v>
          </cell>
          <cell r="E1525" t="str">
            <v>0</v>
          </cell>
          <cell r="F1525" t="str">
            <v>natarapi@gmail.com</v>
          </cell>
        </row>
        <row r="1526">
          <cell r="A1526">
            <v>74322799</v>
          </cell>
          <cell r="B1526" t="str">
            <v>RODRIGUEZ  GONZALO FONSECA</v>
          </cell>
          <cell r="C1526" t="str">
            <v>Paipa</v>
          </cell>
          <cell r="D1526" t="str">
            <v>Paipa</v>
          </cell>
          <cell r="E1526" t="str">
            <v>0</v>
          </cell>
          <cell r="F1526" t="str">
            <v>comprasgonzalofonseca@gmail.com</v>
          </cell>
        </row>
        <row r="1527">
          <cell r="A1527">
            <v>74323654</v>
          </cell>
          <cell r="B1527" t="str">
            <v>ALVARADO NIÑO FRANCISCO JAVIER</v>
          </cell>
          <cell r="C1527" t="str">
            <v>Paipa</v>
          </cell>
          <cell r="D1527" t="str">
            <v>Paipa</v>
          </cell>
          <cell r="E1527" t="str">
            <v>0</v>
          </cell>
          <cell r="F1527" t="str">
            <v>agroalimentospaipa@gmail.com</v>
          </cell>
        </row>
        <row r="1528">
          <cell r="A1528">
            <v>74337226</v>
          </cell>
          <cell r="B1528" t="str">
            <v>CUY NINO JORGE HUMBERTO</v>
          </cell>
          <cell r="C1528" t="str">
            <v>Paipa</v>
          </cell>
          <cell r="D1528" t="str">
            <v>Paipa</v>
          </cell>
          <cell r="E1528" t="str">
            <v>0</v>
          </cell>
          <cell r="F1528" t="str">
            <v>beticocuni@yahoo.es</v>
          </cell>
        </row>
        <row r="1529">
          <cell r="A1529">
            <v>74359450</v>
          </cell>
          <cell r="B1529" t="str">
            <v>FLOREZ  WILLIAM PABON</v>
          </cell>
          <cell r="C1529" t="str">
            <v>Paipa</v>
          </cell>
          <cell r="D1529" t="str">
            <v>Paipa</v>
          </cell>
          <cell r="E1529" t="str">
            <v>0</v>
          </cell>
          <cell r="F1529" t="str">
            <v>wlillypa76@hotmail.com</v>
          </cell>
        </row>
        <row r="1530">
          <cell r="A1530">
            <v>74370000</v>
          </cell>
          <cell r="B1530" t="str">
            <v>BENITEZ NOCOBE ELKIN ORLANDO</v>
          </cell>
          <cell r="C1530" t="str">
            <v>Paipa</v>
          </cell>
          <cell r="D1530" t="str">
            <v>Paipa</v>
          </cell>
          <cell r="E1530" t="str">
            <v>0</v>
          </cell>
          <cell r="F1530" t="str">
            <v>elkin2104@hotmail.com</v>
          </cell>
        </row>
        <row r="1531">
          <cell r="A1531">
            <v>74814994</v>
          </cell>
          <cell r="B1531" t="str">
            <v>PÉREZ REYES JAVIER ABELARDO</v>
          </cell>
          <cell r="C1531" t="str">
            <v>Paipa</v>
          </cell>
          <cell r="D1531" t="str">
            <v>Paipa</v>
          </cell>
          <cell r="E1531" t="str">
            <v>0</v>
          </cell>
          <cell r="F1531" t="str">
            <v>dermajavier@gmail.com</v>
          </cell>
        </row>
        <row r="1532">
          <cell r="A1532">
            <v>79402471</v>
          </cell>
          <cell r="B1532" t="str">
            <v>GOMEZ BECERRA CAMILO HERNANDO</v>
          </cell>
          <cell r="C1532" t="str">
            <v>Paipa</v>
          </cell>
          <cell r="D1532" t="str">
            <v>Paipa</v>
          </cell>
          <cell r="E1532" t="str">
            <v>0</v>
          </cell>
          <cell r="F1532" t="str">
            <v>gomezchesg4@yahoo.com</v>
          </cell>
        </row>
        <row r="1533">
          <cell r="A1533">
            <v>79459437</v>
          </cell>
          <cell r="B1533" t="str">
            <v>ACOSTA COBOS JHON FREDY</v>
          </cell>
          <cell r="C1533" t="str">
            <v>Paipa</v>
          </cell>
          <cell r="D1533" t="str">
            <v>Paipa</v>
          </cell>
          <cell r="E1533" t="str">
            <v>0</v>
          </cell>
          <cell r="F1533" t="str">
            <v>johnfreddy968@gmail.com</v>
          </cell>
        </row>
        <row r="1534">
          <cell r="A1534">
            <v>79620235</v>
          </cell>
          <cell r="B1534" t="str">
            <v>MARTINEZ  URIEL GRACIA</v>
          </cell>
          <cell r="C1534" t="str">
            <v>Paipa</v>
          </cell>
          <cell r="D1534" t="str">
            <v>Paipa</v>
          </cell>
          <cell r="E1534" t="str">
            <v>0</v>
          </cell>
          <cell r="F1534" t="str">
            <v>urielgarciam23@gmail.com</v>
          </cell>
        </row>
        <row r="1535">
          <cell r="A1535">
            <v>79706798</v>
          </cell>
          <cell r="B1535" t="str">
            <v>SILVA  WILSOM DURAN</v>
          </cell>
          <cell r="C1535" t="str">
            <v>Paipa</v>
          </cell>
          <cell r="D1535" t="str">
            <v>Paipa</v>
          </cell>
          <cell r="E1535" t="str">
            <v>0</v>
          </cell>
          <cell r="F1535" t="str">
            <v>wilsom_duran@hotmail.com</v>
          </cell>
        </row>
        <row r="1536">
          <cell r="A1536">
            <v>79921454</v>
          </cell>
          <cell r="B1536" t="str">
            <v>CALDERON SANTIAGO ELVIS VLADIMIR</v>
          </cell>
          <cell r="C1536" t="str">
            <v>Paipa</v>
          </cell>
          <cell r="D1536" t="str">
            <v>Paipa</v>
          </cell>
          <cell r="E1536" t="str">
            <v>0</v>
          </cell>
          <cell r="F1536" t="str">
            <v>evcstablet@gmail.com</v>
          </cell>
        </row>
        <row r="1537">
          <cell r="A1537">
            <v>79942487</v>
          </cell>
          <cell r="B1537" t="str">
            <v>VILLALBA  FERNANDO ORTIZ</v>
          </cell>
          <cell r="C1537" t="str">
            <v>Paipa</v>
          </cell>
          <cell r="D1537" t="str">
            <v>Paipa</v>
          </cell>
          <cell r="E1537" t="str">
            <v>0</v>
          </cell>
          <cell r="F1537" t="str">
            <v>fernandoortizv@hotmail.com</v>
          </cell>
        </row>
        <row r="1538">
          <cell r="A1538">
            <v>80226615</v>
          </cell>
          <cell r="B1538" t="str">
            <v>RIVAS LÓPEZ JOSUE WILSON</v>
          </cell>
          <cell r="C1538" t="str">
            <v>Paipa</v>
          </cell>
          <cell r="D1538" t="str">
            <v>Paipa</v>
          </cell>
          <cell r="E1538" t="str">
            <v>0</v>
          </cell>
          <cell r="F1538" t="str">
            <v>wilson_rilo@yahoo.com</v>
          </cell>
        </row>
        <row r="1539">
          <cell r="A1539">
            <v>80820506</v>
          </cell>
          <cell r="B1539" t="str">
            <v>GUAUQUE JUNCO ALVARO DANIEL</v>
          </cell>
          <cell r="C1539" t="str">
            <v>Paipa</v>
          </cell>
          <cell r="D1539" t="str">
            <v>Paipa</v>
          </cell>
          <cell r="E1539" t="str">
            <v>0</v>
          </cell>
          <cell r="F1539" t="str">
            <v>alvarodanielj@gmail.com</v>
          </cell>
        </row>
        <row r="1540">
          <cell r="A1540">
            <v>88227278</v>
          </cell>
          <cell r="B1540" t="str">
            <v>RINCON CELIS TOBIAS LEONARDO</v>
          </cell>
          <cell r="C1540" t="str">
            <v>Paipa</v>
          </cell>
          <cell r="D1540" t="str">
            <v>Paipa</v>
          </cell>
          <cell r="E1540" t="str">
            <v>0</v>
          </cell>
          <cell r="F1540" t="str">
            <v>tobby_2003@hotmail.com</v>
          </cell>
        </row>
        <row r="1541">
          <cell r="A1541">
            <v>88265002</v>
          </cell>
          <cell r="B1541" t="str">
            <v>PACHECO  AUDIN ARENAS</v>
          </cell>
          <cell r="C1541" t="str">
            <v>Paipa</v>
          </cell>
          <cell r="D1541" t="str">
            <v>Paipa</v>
          </cell>
          <cell r="E1541" t="str">
            <v>0</v>
          </cell>
          <cell r="F1541" t="str">
            <v>audinarenas82@gmail.com</v>
          </cell>
        </row>
        <row r="1542">
          <cell r="A1542">
            <v>91293687</v>
          </cell>
          <cell r="B1542" t="str">
            <v>MORENO VILLAMIZAR MANUEL MAURICIO</v>
          </cell>
          <cell r="C1542" t="str">
            <v>Paipa</v>
          </cell>
          <cell r="D1542" t="str">
            <v>Paipa</v>
          </cell>
          <cell r="E1542" t="str">
            <v>0</v>
          </cell>
          <cell r="F1542" t="str">
            <v>morenovillamizar@hotmail.com</v>
          </cell>
        </row>
        <row r="1543">
          <cell r="A1543">
            <v>91511560</v>
          </cell>
          <cell r="B1543" t="str">
            <v>HIGUERA RUEDA CRISTHIAM LEONARDO</v>
          </cell>
          <cell r="C1543" t="str">
            <v>Paipa</v>
          </cell>
          <cell r="D1543" t="str">
            <v>Paipa</v>
          </cell>
          <cell r="E1543" t="str">
            <v>0</v>
          </cell>
          <cell r="F1543" t="str">
            <v>cristhiamhiguera@gmail.com</v>
          </cell>
        </row>
        <row r="1544">
          <cell r="A1544">
            <v>1010180275</v>
          </cell>
          <cell r="B1544" t="str">
            <v>CARRENO RAMIREZ PEDRO ALEXANDER</v>
          </cell>
          <cell r="C1544" t="str">
            <v>Paipa</v>
          </cell>
          <cell r="D1544" t="str">
            <v>Paipa</v>
          </cell>
          <cell r="E1544" t="str">
            <v>0</v>
          </cell>
          <cell r="F1544" t="str">
            <v>pedrocarre75@gmail.com</v>
          </cell>
        </row>
        <row r="1545">
          <cell r="A1545">
            <v>1015441974</v>
          </cell>
          <cell r="B1545" t="str">
            <v>MELO TAMAYO DAVID FELIPE</v>
          </cell>
          <cell r="C1545" t="str">
            <v>Paipa</v>
          </cell>
          <cell r="D1545" t="str">
            <v>Paipa</v>
          </cell>
          <cell r="E1545" t="str">
            <v>0</v>
          </cell>
          <cell r="F1545" t="str">
            <v>felipemelot@outlook.com</v>
          </cell>
        </row>
        <row r="1546">
          <cell r="A1546">
            <v>1016001344</v>
          </cell>
          <cell r="B1546" t="str">
            <v>MARTA ALVAREZ JONATTAN ADRIAN</v>
          </cell>
          <cell r="C1546" t="str">
            <v>Paipa</v>
          </cell>
          <cell r="D1546" t="str">
            <v>Paipa</v>
          </cell>
          <cell r="E1546" t="str">
            <v>0</v>
          </cell>
          <cell r="F1546" t="str">
            <v>jonattanadrian@gmail.com</v>
          </cell>
        </row>
        <row r="1547">
          <cell r="A1547">
            <v>1017222178</v>
          </cell>
          <cell r="B1547" t="str">
            <v>ROBLES PIRE JUAN DAVID</v>
          </cell>
          <cell r="C1547" t="str">
            <v>Paipa</v>
          </cell>
          <cell r="D1547" t="str">
            <v>Paipa</v>
          </cell>
          <cell r="E1547" t="str">
            <v>0</v>
          </cell>
          <cell r="F1547" t="str">
            <v>jdroblesp@unal.edu.co</v>
          </cell>
        </row>
        <row r="1548">
          <cell r="A1548">
            <v>1019115753</v>
          </cell>
          <cell r="B1548" t="str">
            <v>HUERTAS BABATIVA ALEJANDRO ALEJANDRO</v>
          </cell>
          <cell r="C1548" t="str">
            <v>Paipa</v>
          </cell>
          <cell r="D1548" t="str">
            <v>Paipa</v>
          </cell>
          <cell r="E1548" t="str">
            <v>0</v>
          </cell>
          <cell r="F1548" t="str">
            <v>alejoorchards96@gmail.com</v>
          </cell>
        </row>
        <row r="1549">
          <cell r="A1549">
            <v>1049621795</v>
          </cell>
          <cell r="B1549" t="str">
            <v>LOPEZ ESTUPIÑAN CRISTIAN DAVID</v>
          </cell>
          <cell r="C1549" t="str">
            <v>Paipa</v>
          </cell>
          <cell r="D1549" t="str">
            <v>Paipa</v>
          </cell>
          <cell r="E1549" t="str">
            <v>0</v>
          </cell>
          <cell r="F1549" t="str">
            <v>ldavid975@gmail.com</v>
          </cell>
        </row>
        <row r="1550">
          <cell r="A1550">
            <v>1053604153</v>
          </cell>
          <cell r="B1550" t="str">
            <v>BENITEZ  DIEGO ARMANDO</v>
          </cell>
          <cell r="C1550" t="str">
            <v>Paipa</v>
          </cell>
          <cell r="D1550" t="str">
            <v>Paipa</v>
          </cell>
          <cell r="E1550" t="str">
            <v>0</v>
          </cell>
          <cell r="F1550" t="str">
            <v>nathaliamayorga45@gmail.com</v>
          </cell>
        </row>
        <row r="1551">
          <cell r="A1551">
            <v>1053605450</v>
          </cell>
          <cell r="B1551" t="str">
            <v>SALAMANCA CAMARGO MANUEL ESTEBAN</v>
          </cell>
          <cell r="C1551" t="str">
            <v>Paipa</v>
          </cell>
          <cell r="D1551" t="str">
            <v>Paipa</v>
          </cell>
          <cell r="E1551" t="str">
            <v>0</v>
          </cell>
          <cell r="F1551" t="str">
            <v>msalamancacamargo82@gmqil.com</v>
          </cell>
        </row>
        <row r="1552">
          <cell r="A1552">
            <v>1057570954</v>
          </cell>
          <cell r="B1552" t="str">
            <v>NUNEZ SILVA YULY MARCELA</v>
          </cell>
          <cell r="C1552" t="str">
            <v>Paipa</v>
          </cell>
          <cell r="D1552" t="str">
            <v>Paipa</v>
          </cell>
          <cell r="E1552" t="str">
            <v>0</v>
          </cell>
          <cell r="F1552" t="str">
            <v>yuly_nusi@hotmail.com</v>
          </cell>
        </row>
        <row r="1553">
          <cell r="A1553">
            <v>1070602721</v>
          </cell>
          <cell r="B1553" t="str">
            <v>HERNANDEZ GARCÍA JOSE ANTONIO</v>
          </cell>
          <cell r="C1553" t="str">
            <v>Paipa</v>
          </cell>
          <cell r="D1553" t="str">
            <v>Paipa</v>
          </cell>
          <cell r="E1553" t="str">
            <v>0</v>
          </cell>
          <cell r="F1553" t="str">
            <v>claugomezdiaz99@gmail.com</v>
          </cell>
        </row>
        <row r="1554">
          <cell r="A1554">
            <v>1075232353</v>
          </cell>
          <cell r="B1554" t="str">
            <v>SOLORZANO LOZANO JHON HENRY</v>
          </cell>
          <cell r="C1554" t="str">
            <v>Paipa</v>
          </cell>
          <cell r="D1554" t="str">
            <v>Paipa</v>
          </cell>
          <cell r="E1554" t="str">
            <v>0</v>
          </cell>
          <cell r="F1554" t="str">
            <v>ing.joheso@outlook.com</v>
          </cell>
        </row>
        <row r="1555">
          <cell r="A1555">
            <v>1088288021</v>
          </cell>
          <cell r="B1555" t="str">
            <v>CUBIDES BERNAL NELCY VIVIANA</v>
          </cell>
          <cell r="C1555" t="str">
            <v>Paipa</v>
          </cell>
          <cell r="D1555" t="str">
            <v>Paipa</v>
          </cell>
          <cell r="E1555" t="str">
            <v>0</v>
          </cell>
          <cell r="F1555" t="str">
            <v>vivicubidesb@gmail.com</v>
          </cell>
        </row>
        <row r="1556">
          <cell r="A1556">
            <v>1144026203</v>
          </cell>
          <cell r="B1556" t="str">
            <v>PULIDO MOJICA DIANA ESTEFANIA</v>
          </cell>
          <cell r="C1556" t="str">
            <v>Paipa</v>
          </cell>
          <cell r="D1556" t="str">
            <v>Paipa</v>
          </cell>
          <cell r="E1556" t="str">
            <v>0</v>
          </cell>
          <cell r="F1556" t="str">
            <v>dianita2006@hotmail.com</v>
          </cell>
        </row>
        <row r="1557">
          <cell r="A1557">
            <v>900038043</v>
          </cell>
          <cell r="B1557" t="str">
            <v>COMERCIALIZADORA LM LTDA LIDERES EN</v>
          </cell>
          <cell r="C1557" t="str">
            <v>Paipa</v>
          </cell>
          <cell r="D1557" t="str">
            <v>Paipa</v>
          </cell>
          <cell r="E1557" t="str">
            <v>0</v>
          </cell>
          <cell r="F1557" t="str">
            <v>comercializadoralmltda4@hotmail.com</v>
          </cell>
        </row>
        <row r="1558">
          <cell r="A1558">
            <v>900328213</v>
          </cell>
          <cell r="B1558" t="str">
            <v>ECOSANGIL S.A.S</v>
          </cell>
          <cell r="C1558" t="str">
            <v>Paipa</v>
          </cell>
          <cell r="D1558" t="str">
            <v>Paipa</v>
          </cell>
          <cell r="E1558" t="str">
            <v>0</v>
          </cell>
          <cell r="F1558" t="str">
            <v>ecosangilsasesp@gmail.com</v>
          </cell>
        </row>
        <row r="1559">
          <cell r="A1559">
            <v>900490442</v>
          </cell>
          <cell r="B1559" t="str">
            <v>OMI FARM COLOMBIA SAS</v>
          </cell>
          <cell r="C1559" t="str">
            <v>Paipa</v>
          </cell>
          <cell r="D1559" t="str">
            <v>Paipa</v>
          </cell>
          <cell r="E1559" t="str">
            <v>0</v>
          </cell>
          <cell r="F1559" t="str">
            <v>omifarm@yahoo.com</v>
          </cell>
        </row>
        <row r="1560">
          <cell r="A1560">
            <v>900550912</v>
          </cell>
          <cell r="B1560" t="str">
            <v>RBL CONSTRUCTORA SAS</v>
          </cell>
          <cell r="C1560" t="str">
            <v>Paipa</v>
          </cell>
          <cell r="D1560" t="str">
            <v>Paipa</v>
          </cell>
          <cell r="E1560" t="str">
            <v>0</v>
          </cell>
          <cell r="F1560" t="str">
            <v>luisferbalaguera@gmail.com</v>
          </cell>
        </row>
        <row r="1561">
          <cell r="A1561">
            <v>900859164</v>
          </cell>
          <cell r="B1561" t="str">
            <v>INNOVACIÓNES Y PROYECTOS CR S.A.S</v>
          </cell>
          <cell r="C1561" t="str">
            <v>Paipa</v>
          </cell>
          <cell r="D1561" t="str">
            <v>Paipa</v>
          </cell>
          <cell r="E1561" t="str">
            <v>0</v>
          </cell>
          <cell r="F1561" t="str">
            <v>innprojectscr@gmail.com</v>
          </cell>
        </row>
        <row r="1562">
          <cell r="A1562">
            <v>901231566</v>
          </cell>
          <cell r="B1562" t="str">
            <v>INDUMETALEX FR SAS</v>
          </cell>
          <cell r="C1562" t="str">
            <v>Paipa</v>
          </cell>
          <cell r="D1562" t="str">
            <v>Paipa</v>
          </cell>
          <cell r="E1562" t="str">
            <v>0</v>
          </cell>
          <cell r="F1562" t="str">
            <v>facturacionindumetalexfr@gmail.com</v>
          </cell>
        </row>
        <row r="1563">
          <cell r="A1563">
            <v>901314598</v>
          </cell>
          <cell r="B1563" t="str">
            <v>COMPANIA DE ALIMENTOS BIFF SAS</v>
          </cell>
          <cell r="C1563" t="str">
            <v>Paipa</v>
          </cell>
          <cell r="D1563" t="str">
            <v>Paipa</v>
          </cell>
          <cell r="E1563" t="str">
            <v>0</v>
          </cell>
          <cell r="F1563" t="str">
            <v>contabilidad@biff.com.co</v>
          </cell>
        </row>
        <row r="1564">
          <cell r="A1564">
            <v>901327006</v>
          </cell>
          <cell r="B1564" t="str">
            <v>A.T.C. AIRES SAS</v>
          </cell>
          <cell r="C1564" t="str">
            <v>Paipa</v>
          </cell>
          <cell r="D1564" t="str">
            <v>Paipa</v>
          </cell>
          <cell r="E1564" t="str">
            <v>0</v>
          </cell>
          <cell r="F1564" t="str">
            <v>atcaires3826@gmail.com</v>
          </cell>
        </row>
        <row r="1565">
          <cell r="A1565">
            <v>901333307</v>
          </cell>
          <cell r="B1565" t="str">
            <v>CANTERA SAN JOSÉ MINERÍA Y MATERIAL</v>
          </cell>
          <cell r="C1565" t="str">
            <v>Paipa</v>
          </cell>
          <cell r="D1565" t="str">
            <v>Paipa</v>
          </cell>
          <cell r="E1565" t="str">
            <v>0</v>
          </cell>
          <cell r="F1565" t="str">
            <v>canterasanjosepaipa@gmail.com</v>
          </cell>
        </row>
        <row r="1566">
          <cell r="A1566">
            <v>901369695</v>
          </cell>
          <cell r="B1566" t="str">
            <v>MASTERCAT CONSTRUCCIONES</v>
          </cell>
          <cell r="C1566" t="str">
            <v>Paipa</v>
          </cell>
          <cell r="D1566" t="str">
            <v>Paipa</v>
          </cell>
          <cell r="E1566" t="str">
            <v>0</v>
          </cell>
          <cell r="F1566" t="str">
            <v>mastercatconstruciones@gmail.com</v>
          </cell>
        </row>
        <row r="1567">
          <cell r="A1567">
            <v>901412335</v>
          </cell>
          <cell r="B1567" t="str">
            <v>SANDOVAL CONSTRUCCIONES INDUSTRIALE</v>
          </cell>
          <cell r="C1567" t="str">
            <v>Paipa</v>
          </cell>
          <cell r="D1567" t="str">
            <v>Paipa</v>
          </cell>
          <cell r="E1567" t="str">
            <v>0</v>
          </cell>
          <cell r="F1567" t="str">
            <v>estructurasmetalicas14@gmail.com</v>
          </cell>
        </row>
        <row r="1568">
          <cell r="A1568">
            <v>901605034</v>
          </cell>
          <cell r="B1568" t="str">
            <v>MS INGENIERIA SOLUCIONES EN CONSTRU</v>
          </cell>
          <cell r="C1568" t="str">
            <v>Paipa</v>
          </cell>
          <cell r="D1568" t="str">
            <v>Paipa</v>
          </cell>
          <cell r="E1568" t="str">
            <v>0</v>
          </cell>
          <cell r="F1568" t="str">
            <v>ms.soluciones.ingenieria@gmail.com</v>
          </cell>
        </row>
        <row r="1569">
          <cell r="A1569">
            <v>901654938</v>
          </cell>
          <cell r="B1569" t="str">
            <v>LEGUIZAMO INMOBILIARIA SAS</v>
          </cell>
          <cell r="C1569" t="str">
            <v>Paipa</v>
          </cell>
          <cell r="D1569" t="str">
            <v>Paipa</v>
          </cell>
          <cell r="E1569" t="str">
            <v>0</v>
          </cell>
          <cell r="F1569" t="str">
            <v>carlos.legizamo@hotmail.es</v>
          </cell>
        </row>
        <row r="1570">
          <cell r="A1570">
            <v>901704733</v>
          </cell>
          <cell r="B1570" t="str">
            <v>ESPACIO CREATIVO AWD S.A.S</v>
          </cell>
          <cell r="C1570" t="str">
            <v>Paipa</v>
          </cell>
          <cell r="D1570" t="str">
            <v>Paipa</v>
          </cell>
          <cell r="E1570" t="str">
            <v>0</v>
          </cell>
          <cell r="F1570" t="str">
            <v>facturacion.awd@gmail.com</v>
          </cell>
        </row>
        <row r="1571">
          <cell r="A1571">
            <v>901834064</v>
          </cell>
          <cell r="B1571" t="str">
            <v>SIEMENS ENERGY DT</v>
          </cell>
          <cell r="C1571" t="str">
            <v>Paipa</v>
          </cell>
          <cell r="D1571" t="str">
            <v>Paipa</v>
          </cell>
          <cell r="E1571" t="str">
            <v>0</v>
          </cell>
          <cell r="F1571" t="str">
            <v>john.velez@siemens-energy.com</v>
          </cell>
        </row>
        <row r="1572">
          <cell r="A1572">
            <v>830017271</v>
          </cell>
          <cell r="B1572" t="str">
            <v>FEDERAL EXPRESS CORPORATION</v>
          </cell>
          <cell r="C1572" t="str">
            <v>Bogota D.C.</v>
          </cell>
          <cell r="D1572" t="str">
            <v>TRANVERSAL 93 51-98 BODEGA 1 Y 2</v>
          </cell>
          <cell r="E1572" t="str">
            <v xml:space="preserve">18000110339
</v>
          </cell>
          <cell r="F1572" t="str">
            <v>ebillingcol@serlefin.com;merynelda.lopez@fedex.com</v>
          </cell>
        </row>
        <row r="1573">
          <cell r="A1573">
            <v>7187128</v>
          </cell>
          <cell r="B1573" t="str">
            <v>ROJAS  CARLOS</v>
          </cell>
          <cell r="C1573" t="str">
            <v>Paipa</v>
          </cell>
          <cell r="D1573" t="str">
            <v>Paipa</v>
          </cell>
          <cell r="E1573" t="str">
            <v>0</v>
          </cell>
          <cell r="F1573" t="str">
            <v>carlosroja2019@gmail.com</v>
          </cell>
        </row>
        <row r="1574">
          <cell r="A1574">
            <v>7218318</v>
          </cell>
          <cell r="B1574" t="str">
            <v>AVELLA HERNANDEZ FREDY ALBERTO</v>
          </cell>
          <cell r="C1574" t="str">
            <v>Paipa</v>
          </cell>
          <cell r="D1574" t="str">
            <v>Paipa</v>
          </cell>
          <cell r="E1574" t="str">
            <v>0</v>
          </cell>
          <cell r="F1574" t="str">
            <v>freavella25@gmail.com</v>
          </cell>
        </row>
        <row r="1575">
          <cell r="A1575">
            <v>9534600</v>
          </cell>
          <cell r="B1575" t="str">
            <v>PEREZ  ORLANDO NUÑEZ</v>
          </cell>
          <cell r="C1575" t="str">
            <v>Paipa</v>
          </cell>
          <cell r="D1575" t="str">
            <v>Paipa</v>
          </cell>
          <cell r="E1575" t="str">
            <v>0</v>
          </cell>
          <cell r="F1575" t="str">
            <v>orlandonunezp11@gmail.com</v>
          </cell>
        </row>
        <row r="1576">
          <cell r="A1576">
            <v>12111200</v>
          </cell>
          <cell r="B1576" t="str">
            <v>CASTANO RUBIO JOSE RICARDO</v>
          </cell>
          <cell r="C1576" t="str">
            <v>Paipa</v>
          </cell>
          <cell r="D1576" t="str">
            <v>Paipa</v>
          </cell>
          <cell r="E1576" t="str">
            <v>0</v>
          </cell>
          <cell r="F1576" t="str">
            <v>joricastano@hotmail.com</v>
          </cell>
        </row>
        <row r="1577">
          <cell r="A1577">
            <v>15888977</v>
          </cell>
          <cell r="B1577" t="str">
            <v>RIVERA NIÑO ALVARO GERMAN</v>
          </cell>
          <cell r="C1577" t="str">
            <v>Paipa</v>
          </cell>
          <cell r="D1577" t="str">
            <v>Paipa</v>
          </cell>
          <cell r="E1577" t="str">
            <v>0</v>
          </cell>
          <cell r="F1577" t="str">
            <v>argardening11@yahoo.com</v>
          </cell>
        </row>
        <row r="1578">
          <cell r="A1578">
            <v>16603937</v>
          </cell>
          <cell r="B1578" t="str">
            <v>DIAZ  RODOLFO QUIROZ</v>
          </cell>
          <cell r="C1578" t="str">
            <v>Paipa</v>
          </cell>
          <cell r="D1578" t="str">
            <v>Paipa</v>
          </cell>
          <cell r="E1578" t="str">
            <v>0</v>
          </cell>
          <cell r="F1578" t="str">
            <v>cancionessondequiroz@gmail.com</v>
          </cell>
        </row>
        <row r="1579">
          <cell r="A1579">
            <v>19234638</v>
          </cell>
          <cell r="B1579" t="str">
            <v>BENITEZ MATEUS VICTOR JULIO CESAR</v>
          </cell>
          <cell r="C1579" t="str">
            <v>Paipa</v>
          </cell>
          <cell r="D1579" t="str">
            <v>Paipa</v>
          </cell>
          <cell r="E1579" t="str">
            <v>0</v>
          </cell>
          <cell r="F1579" t="str">
            <v>vbenitezmateus@gmail.com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29"/>
  <sheetViews>
    <sheetView tabSelected="1" zoomScale="75" zoomScaleNormal="75" workbookViewId="0">
      <pane ySplit="6" topLeftCell="A538" activePane="bottomLeft" state="frozen"/>
      <selection pane="bottomLeft" activeCell="D542" sqref="D542"/>
    </sheetView>
  </sheetViews>
  <sheetFormatPr baseColWidth="10" defaultColWidth="8.81640625" defaultRowHeight="14.5" x14ac:dyDescent="0.35"/>
  <cols>
    <col min="1" max="1" width="18.81640625" style="9" customWidth="1"/>
    <col min="2" max="2" width="8.81640625" style="9"/>
    <col min="3" max="3" width="63.1796875" style="9" customWidth="1"/>
    <col min="4" max="4" width="44" style="9" customWidth="1"/>
    <col min="5" max="5" width="13.54296875" style="9" customWidth="1"/>
    <col min="6" max="6" width="17.1796875" style="9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9" customWidth="1"/>
    <col min="11" max="11" width="20.453125" style="9" customWidth="1"/>
    <col min="12" max="12" width="19.26953125" style="9" customWidth="1"/>
    <col min="13" max="13" width="19.54296875" style="8" customWidth="1"/>
    <col min="14" max="142" width="8.81640625" style="8"/>
    <col min="143" max="16384" width="8.81640625" style="9"/>
  </cols>
  <sheetData>
    <row r="1" spans="1:142" ht="156.75" customHeight="1" x14ac:dyDescent="0.35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42" ht="15" customHeight="1" x14ac:dyDescent="0.35">
      <c r="A2" s="11" t="s">
        <v>2251</v>
      </c>
      <c r="B2" s="11"/>
      <c r="C2" s="11"/>
      <c r="D2" s="9">
        <v>901138291</v>
      </c>
      <c r="G2" s="8"/>
      <c r="H2" s="8"/>
      <c r="I2" s="8"/>
      <c r="J2" s="8"/>
      <c r="K2" s="8"/>
      <c r="L2" s="8"/>
    </row>
    <row r="3" spans="1:142" ht="15" customHeight="1" x14ac:dyDescent="0.35">
      <c r="A3" s="12" t="s">
        <v>2248</v>
      </c>
      <c r="B3" s="12"/>
      <c r="C3" s="12"/>
      <c r="D3" s="38" t="s">
        <v>2260</v>
      </c>
      <c r="E3" s="39"/>
      <c r="F3" s="39"/>
      <c r="G3" s="10"/>
      <c r="H3" s="10"/>
      <c r="I3" s="10"/>
      <c r="J3" s="10"/>
      <c r="K3" s="10"/>
      <c r="L3" s="10"/>
    </row>
    <row r="4" spans="1:142" ht="15" customHeight="1" x14ac:dyDescent="0.35">
      <c r="A4" s="11" t="s">
        <v>2250</v>
      </c>
      <c r="B4" s="11"/>
      <c r="C4" s="11"/>
      <c r="D4" s="38">
        <v>2024</v>
      </c>
      <c r="E4" s="39"/>
      <c r="F4" s="39"/>
      <c r="G4" s="10"/>
      <c r="H4" s="10"/>
      <c r="I4" s="10"/>
      <c r="J4" s="10"/>
      <c r="K4" s="10"/>
      <c r="L4" s="10"/>
    </row>
    <row r="5" spans="1:142" ht="15" customHeight="1" thickBot="1" x14ac:dyDescent="0.4">
      <c r="A5" s="12" t="s">
        <v>2249</v>
      </c>
      <c r="B5" s="12"/>
      <c r="C5" s="12"/>
      <c r="D5" s="41">
        <v>45896</v>
      </c>
      <c r="E5" s="40"/>
      <c r="F5" s="40"/>
      <c r="G5" s="10"/>
      <c r="H5" s="10"/>
      <c r="I5" s="10"/>
      <c r="J5" s="10"/>
      <c r="K5" s="10"/>
      <c r="L5" s="10"/>
    </row>
    <row r="6" spans="1:142" ht="44" thickBot="1" x14ac:dyDescent="0.4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42" x14ac:dyDescent="0.35">
      <c r="A7" s="9">
        <v>4285648</v>
      </c>
      <c r="B7" s="19">
        <v>1</v>
      </c>
      <c r="C7" s="9" t="str">
        <f>VLOOKUP(A7,'[1]terceros cto'!A$1:B$65536,2,0)</f>
        <v>FONSECA CHAVARRO CARLOS MARIO</v>
      </c>
      <c r="D7" s="20" t="str">
        <f>VLOOKUP(C7,'[1]terceros cto'!B$1:F$65536,5,0)</f>
        <v>carlosmario.f@hotmail.com</v>
      </c>
      <c r="E7" s="21" t="s">
        <v>2252</v>
      </c>
      <c r="F7" s="9" t="str">
        <f>VLOOKUP(C7,'[1]terceros cto'!B$1:D$65536,3,0)</f>
        <v>CALLE 25 # 13-34</v>
      </c>
      <c r="G7" s="21">
        <v>15516</v>
      </c>
      <c r="H7" s="9">
        <v>212</v>
      </c>
      <c r="I7" s="28">
        <v>5375645</v>
      </c>
      <c r="J7" s="29">
        <v>0</v>
      </c>
      <c r="K7" s="22">
        <v>0</v>
      </c>
      <c r="M7" s="9" t="e">
        <f>VLOOKUP(A7,[1]mc!B$1:C$65536,1,0)</f>
        <v>#N/A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</row>
    <row r="8" spans="1:142" x14ac:dyDescent="0.35">
      <c r="A8" s="9">
        <v>1052392551</v>
      </c>
      <c r="B8" s="19">
        <v>8</v>
      </c>
      <c r="C8" s="9" t="str">
        <f>VLOOKUP(A8,'[1]terceros cto'!A$1:B$65536,2,0)</f>
        <v>CELY CAMILO</v>
      </c>
      <c r="D8" s="20" t="str">
        <f>VLOOKUP(C8,'[1]terceros cto'!B$1:F$65536,5,0)</f>
        <v>cacv479@hotmail.com</v>
      </c>
      <c r="E8" s="21">
        <f>VLOOKUP(C8,'[1]terceros cto'!B$1:E$65536,4,0)</f>
        <v>3108167741</v>
      </c>
      <c r="F8" s="9" t="str">
        <f>VLOOKUP(C8,'[1]terceros cto'!B$1:D$65536,3,0)</f>
        <v>carrera 34b n 1a 10 oeste</v>
      </c>
      <c r="G8" s="21">
        <v>15516</v>
      </c>
      <c r="H8" s="9">
        <v>212</v>
      </c>
      <c r="I8" s="30">
        <v>2055945</v>
      </c>
      <c r="J8" s="31">
        <v>0</v>
      </c>
      <c r="K8" s="22">
        <v>0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</row>
    <row r="9" spans="1:142" x14ac:dyDescent="0.35">
      <c r="A9" s="9">
        <v>1053605453</v>
      </c>
      <c r="B9" s="19">
        <v>4</v>
      </c>
      <c r="C9" s="9" t="str">
        <f>VLOOKUP(A9,'[1]terceros cto'!A$1:B$65536,2,0)</f>
        <v>ECHEVERRIA DIAZ DIEGO ARMANDO</v>
      </c>
      <c r="D9" s="20" t="str">
        <f>VLOOKUP(C9,'[1]terceros cto'!B$1:F$65536,5,0)</f>
        <v>diegoe05297@gmail.com</v>
      </c>
      <c r="E9" s="21" t="s">
        <v>2252</v>
      </c>
      <c r="F9" s="9" t="str">
        <f>VLOOKUP(C9,'[1]terceros cto'!B$1:D$65536,3,0)</f>
        <v>No informada</v>
      </c>
      <c r="G9" s="21">
        <v>15516</v>
      </c>
      <c r="H9" s="9">
        <v>212</v>
      </c>
      <c r="I9" s="28">
        <v>80003</v>
      </c>
      <c r="J9" s="29">
        <v>0</v>
      </c>
      <c r="K9" s="22">
        <v>0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</row>
    <row r="10" spans="1:142" x14ac:dyDescent="0.35">
      <c r="A10" s="9">
        <v>1053608274</v>
      </c>
      <c r="B10" s="19">
        <v>6</v>
      </c>
      <c r="C10" s="9" t="str">
        <f>VLOOKUP(A10,'[1]terceros cto'!A$1:B$65536,2,0)</f>
        <v>IBAÑES LUIS FERNEY</v>
      </c>
      <c r="D10" s="20" t="str">
        <f>VLOOKUP(C10,'[1]terceros cto'!B$1:F$65536,5,0)</f>
        <v>luis.ibanes2399@correopolicia.gov.co</v>
      </c>
      <c r="E10" s="21" t="str">
        <f>VLOOKUP(C10,'[1]terceros cto'!B$1:E$65536,4,0)</f>
        <v>3125161684</v>
      </c>
      <c r="F10" s="9" t="str">
        <f>VLOOKUP(C10,'[1]terceros cto'!B$1:D$65536,3,0)</f>
        <v>CALLE 26 N 17-48</v>
      </c>
      <c r="G10" s="21">
        <v>15516</v>
      </c>
      <c r="H10" s="9">
        <v>212</v>
      </c>
      <c r="I10" s="30">
        <v>150001</v>
      </c>
      <c r="J10" s="31">
        <v>0</v>
      </c>
      <c r="K10" s="22">
        <v>0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</row>
    <row r="11" spans="1:142" x14ac:dyDescent="0.35">
      <c r="A11" s="9">
        <v>19191094</v>
      </c>
      <c r="B11" s="19">
        <v>1</v>
      </c>
      <c r="C11" s="9" t="str">
        <f>VLOOKUP(A11,'[1]terceros cto'!A$1:B$65536,2,0)</f>
        <v>PULGARIN GUZMAN MISAEL</v>
      </c>
      <c r="D11" s="20" t="str">
        <f>VLOOKUP(C11,'[1]terceros cto'!B$1:F$65536,5,0)</f>
        <v>turistica@outlook.com</v>
      </c>
      <c r="E11" s="21">
        <f>VLOOKUP(C11,'[1]terceros cto'!B$1:E$65536,4,0)</f>
        <v>3108678088</v>
      </c>
      <c r="F11" s="9" t="str">
        <f>VLOOKUP(C11,'[1]terceros cto'!B$1:D$65536,3,0)</f>
        <v>CARRERA 19 No. 26 - 45</v>
      </c>
      <c r="G11" s="21">
        <v>15516</v>
      </c>
      <c r="H11" s="9">
        <v>212</v>
      </c>
      <c r="I11" s="28">
        <v>50000</v>
      </c>
      <c r="J11" s="29">
        <v>0</v>
      </c>
      <c r="K11" s="22">
        <v>0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</row>
    <row r="12" spans="1:142" x14ac:dyDescent="0.35">
      <c r="A12" s="9">
        <v>4191854</v>
      </c>
      <c r="B12" s="19">
        <v>6</v>
      </c>
      <c r="C12" s="9" t="str">
        <f>VLOOKUP(A12,'[1]terceros cto'!A$1:B$65536,2,0)</f>
        <v>CAMARGO CAMARGO VICTOR MANUEL</v>
      </c>
      <c r="D12" s="20" t="str">
        <f>VLOOKUP(C12,'[1]terceros cto'!B$1:F$65536,5,0)</f>
        <v>victorcamargo565@gmail.com</v>
      </c>
      <c r="E12" s="21">
        <f>VLOOKUP(C12,'[1]terceros cto'!B$1:E$65536,4,0)</f>
        <v>3118751312</v>
      </c>
      <c r="F12" s="9" t="str">
        <f>VLOOKUP(C12,'[1]terceros cto'!B$1:D$65536,3,0)</f>
        <v>CARRERA 13 N 24B-50</v>
      </c>
      <c r="G12" s="21">
        <v>15516</v>
      </c>
      <c r="H12" s="9">
        <v>212</v>
      </c>
      <c r="I12" s="30">
        <v>4725131</v>
      </c>
      <c r="J12" s="31">
        <v>0</v>
      </c>
      <c r="K12" s="22">
        <v>0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</row>
    <row r="13" spans="1:142" x14ac:dyDescent="0.35">
      <c r="A13" s="9">
        <v>4191956</v>
      </c>
      <c r="B13" s="19">
        <v>9</v>
      </c>
      <c r="C13" s="9" t="str">
        <f>VLOOKUP(A13,'[1]terceros cto'!A$1:B$65536,2,0)</f>
        <v>MARTINEZ AVELLANEDA HECTOR HENRY</v>
      </c>
      <c r="D13" s="20" t="str">
        <f>VLOOKUP(C13,'[1]terceros cto'!B$1:F$65536,5,0)</f>
        <v>hhmartineza@gmail.com</v>
      </c>
      <c r="E13" s="21" t="s">
        <v>2252</v>
      </c>
      <c r="F13" s="9" t="str">
        <f>VLOOKUP(C13,'[1]terceros cto'!B$1:D$65536,3,0)</f>
        <v>EL CHARITE</v>
      </c>
      <c r="G13" s="21">
        <v>15516</v>
      </c>
      <c r="H13" s="9">
        <v>212</v>
      </c>
      <c r="I13" s="28">
        <v>1690084</v>
      </c>
      <c r="J13" s="29">
        <v>240031</v>
      </c>
      <c r="K13" s="22">
        <v>240031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</row>
    <row r="14" spans="1:142" x14ac:dyDescent="0.35">
      <c r="A14" s="9">
        <v>5765376</v>
      </c>
      <c r="B14" s="19">
        <v>5</v>
      </c>
      <c r="C14" s="9" t="str">
        <f>VLOOKUP(A14,'[1]terceros cto'!A$1:B$65536,2,0)</f>
        <v>TORRES BARAJAS MARCOS AUGUSTO</v>
      </c>
      <c r="D14" s="20" t="str">
        <f>VLOOKUP(C14,'[1]terceros cto'!B$1:F$65536,5,0)</f>
        <v>marcosagustorres1970@hotmail.com</v>
      </c>
      <c r="E14" s="21">
        <f>VLOOKUP(C14,'[1]terceros cto'!B$1:E$65536,4,0)</f>
        <v>3114812420</v>
      </c>
      <c r="F14" s="9" t="str">
        <f>VLOOKUP(C14,'[1]terceros cto'!B$1:D$65536,3,0)</f>
        <v>SAN DANIEL</v>
      </c>
      <c r="G14" s="21">
        <v>15516</v>
      </c>
      <c r="H14" s="9">
        <v>212</v>
      </c>
      <c r="I14" s="30">
        <v>130017</v>
      </c>
      <c r="J14" s="31">
        <v>0</v>
      </c>
      <c r="K14" s="22">
        <v>0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</row>
    <row r="15" spans="1:142" x14ac:dyDescent="0.35">
      <c r="A15" s="9">
        <v>7213708</v>
      </c>
      <c r="B15" s="19">
        <v>6</v>
      </c>
      <c r="C15" s="9" t="str">
        <f>VLOOKUP(A15,'[1]terceros cto'!A$1:B$65536,2,0)</f>
        <v>ESPEJO CAMARGO JOSE MARIO</v>
      </c>
      <c r="D15" s="20" t="s">
        <v>2252</v>
      </c>
      <c r="E15" s="21" t="s">
        <v>2252</v>
      </c>
      <c r="F15" s="9" t="str">
        <f>VLOOKUP(C15,'[1]terceros cto'!B$1:D$65536,3,0)</f>
        <v>BARRIO GAITAN</v>
      </c>
      <c r="G15" s="21">
        <v>15516</v>
      </c>
      <c r="H15" s="9">
        <v>212</v>
      </c>
      <c r="I15" s="28">
        <v>193305</v>
      </c>
      <c r="J15" s="29">
        <v>0</v>
      </c>
      <c r="K15" s="22">
        <v>0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</row>
    <row r="16" spans="1:142" x14ac:dyDescent="0.35">
      <c r="A16" s="9">
        <v>74360157</v>
      </c>
      <c r="B16" s="19">
        <v>0</v>
      </c>
      <c r="C16" s="9" t="str">
        <f>VLOOKUP(A16,'[1]terceros cto'!A$1:B$65536,2,0)</f>
        <v>FONSECA BECERRA EDWIN ALEXANDRO</v>
      </c>
      <c r="D16" s="20" t="str">
        <f>VLOOKUP(C16,'[1]terceros cto'!B$1:F$65536,5,0)</f>
        <v>eafonseca@comercialnutresa.com.co</v>
      </c>
      <c r="E16" s="21" t="s">
        <v>2252</v>
      </c>
      <c r="F16" s="9" t="str">
        <f>VLOOKUP(C16,'[1]terceros cto'!B$1:D$65536,3,0)</f>
        <v>CARRERA 17 23 70</v>
      </c>
      <c r="G16" s="21">
        <v>15516</v>
      </c>
      <c r="H16" s="9">
        <v>212</v>
      </c>
      <c r="I16" s="30">
        <v>590020</v>
      </c>
      <c r="J16" s="31">
        <v>0</v>
      </c>
      <c r="K16" s="22">
        <v>0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</row>
    <row r="17" spans="1:142" s="23" customFormat="1" x14ac:dyDescent="0.35">
      <c r="A17" s="23">
        <v>74370806</v>
      </c>
      <c r="B17" s="19">
        <v>5</v>
      </c>
      <c r="C17" s="9" t="str">
        <f>VLOOKUP(A17,'[1]terceros cto'!A$1:B$65536,2,0)</f>
        <v>ESTEPA GRANADOS FRANCISCO ANTONIO</v>
      </c>
      <c r="D17" s="20" t="str">
        <f>VLOOKUP(C17,'[1]terceros cto'!B$1:F$65536,5,0)</f>
        <v>franciscoestepa46@gmail.com</v>
      </c>
      <c r="E17" s="21" t="s">
        <v>2252</v>
      </c>
      <c r="F17" s="9" t="str">
        <f>VLOOKUP(C17,'[1]terceros cto'!B$1:D$65536,3,0)</f>
        <v>No informada</v>
      </c>
      <c r="G17" s="21">
        <v>15516</v>
      </c>
      <c r="H17" s="9">
        <v>212</v>
      </c>
      <c r="I17" s="32">
        <v>131098</v>
      </c>
      <c r="J17" s="33">
        <v>0</v>
      </c>
      <c r="K17" s="24">
        <v>0</v>
      </c>
    </row>
    <row r="18" spans="1:142" x14ac:dyDescent="0.35">
      <c r="A18" s="9">
        <v>900824281</v>
      </c>
      <c r="B18" s="19">
        <v>4</v>
      </c>
      <c r="C18" s="9" t="str">
        <f>VLOOKUP(A18,'[1]terceros cto'!A$1:B$65536,2,0)</f>
        <v>CHAM DISTRIBUCIONES SAS</v>
      </c>
      <c r="D18" s="20" t="str">
        <f>VLOOKUP(C18,'[1]terceros cto'!B$1:F$65536,5,0)</f>
        <v>chamdistribuciones@hotmail.com</v>
      </c>
      <c r="E18" s="21" t="s">
        <v>2252</v>
      </c>
      <c r="F18" s="9" t="str">
        <f>VLOOKUP(C18,'[1]terceros cto'!B$1:D$65536,3,0)</f>
        <v>CARRERA 2 N 40-45</v>
      </c>
      <c r="G18" s="21">
        <v>15516</v>
      </c>
      <c r="H18" s="9">
        <v>212</v>
      </c>
      <c r="I18" s="30">
        <v>50000</v>
      </c>
      <c r="J18" s="31">
        <v>0</v>
      </c>
      <c r="K18" s="25">
        <v>0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</row>
    <row r="19" spans="1:142" x14ac:dyDescent="0.35">
      <c r="A19" s="9">
        <v>1001216290</v>
      </c>
      <c r="B19" s="19">
        <v>2</v>
      </c>
      <c r="C19" s="9" t="str">
        <f>VLOOKUP(A19,'[1]terceros cto'!A$1:B$65536,2,0)</f>
        <v>SALGADO  NATALIA CASTAÑO</v>
      </c>
      <c r="D19" s="20" t="str">
        <f>VLOOKUP(C19,'[1]terceros cto'!B$1:F$65536,5,0)</f>
        <v>nata.li1999@hotmail.es</v>
      </c>
      <c r="E19" s="21" t="s">
        <v>2252</v>
      </c>
      <c r="F19" s="9" t="str">
        <f>VLOOKUP(C19,'[1]terceros cto'!B$1:D$65536,3,0)</f>
        <v>Paipa</v>
      </c>
      <c r="G19" s="21">
        <v>15516</v>
      </c>
      <c r="H19" s="9">
        <v>212</v>
      </c>
      <c r="I19" s="28">
        <v>98315</v>
      </c>
      <c r="J19" s="29">
        <v>0</v>
      </c>
      <c r="K19" s="25">
        <v>0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</row>
    <row r="20" spans="1:142" x14ac:dyDescent="0.35">
      <c r="A20" s="9">
        <v>1001310734</v>
      </c>
      <c r="B20" s="19">
        <v>2</v>
      </c>
      <c r="C20" s="9" t="str">
        <f>VLOOKUP(A20,'[1]terceros cto'!A$1:B$65536,2,0)</f>
        <v>SALAZAR  JOAN</v>
      </c>
      <c r="D20" s="20" t="str">
        <f>VLOOKUP(C20,'[1]terceros cto'!B$1:F$65536,5,0)</f>
        <v>joand1s.swg@gmail.com</v>
      </c>
      <c r="E20" s="21" t="s">
        <v>2252</v>
      </c>
      <c r="F20" s="9" t="str">
        <f>VLOOKUP(C20,'[1]terceros cto'!B$1:D$65536,3,0)</f>
        <v>Paipa</v>
      </c>
      <c r="G20" s="21">
        <v>15516</v>
      </c>
      <c r="H20" s="9">
        <v>212</v>
      </c>
      <c r="I20" s="30">
        <v>50000</v>
      </c>
      <c r="J20" s="31">
        <v>0</v>
      </c>
      <c r="K20" s="25">
        <v>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</row>
    <row r="21" spans="1:142" x14ac:dyDescent="0.35">
      <c r="A21" s="9">
        <v>1002367993</v>
      </c>
      <c r="B21" s="19">
        <v>2</v>
      </c>
      <c r="C21" s="9" t="str">
        <f>VLOOKUP(A21,'[1]terceros cto'!A$1:B$65536,2,0)</f>
        <v>GARAVITO TORRES FERNEY DAVID</v>
      </c>
      <c r="D21" s="20" t="str">
        <f>VLOOKUP(C21,'[1]terceros cto'!B$1:F$65536,5,0)</f>
        <v>ferneydavid9@gmail.com</v>
      </c>
      <c r="E21" s="21" t="s">
        <v>2252</v>
      </c>
      <c r="F21" s="9" t="str">
        <f>VLOOKUP(C21,'[1]terceros cto'!B$1:D$65536,3,0)</f>
        <v>VDA BOSIGAS CENTRO</v>
      </c>
      <c r="G21" s="21">
        <v>15516</v>
      </c>
      <c r="H21" s="9">
        <v>212</v>
      </c>
      <c r="I21" s="28">
        <v>7201645</v>
      </c>
      <c r="J21" s="29">
        <v>0</v>
      </c>
      <c r="K21" s="25">
        <v>0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</row>
    <row r="22" spans="1:142" x14ac:dyDescent="0.35">
      <c r="A22" s="9">
        <v>1002538880</v>
      </c>
      <c r="B22" s="19">
        <v>3</v>
      </c>
      <c r="C22" s="9" t="str">
        <f>VLOOKUP(A22,'[1]terceros cto'!A$1:B$65536,2,0)</f>
        <v>ESTEPA FONSECA FRANCISCO JAVIER</v>
      </c>
      <c r="D22" s="20" t="str">
        <f>VLOOKUP(C22,'[1]terceros cto'!B$1:F$65536,5,0)</f>
        <v>javierestepa07@gmail.com</v>
      </c>
      <c r="E22" s="21" t="s">
        <v>2252</v>
      </c>
      <c r="F22" s="9" t="str">
        <f>VLOOKUP(C22,'[1]terceros cto'!B$1:D$65536,3,0)</f>
        <v>Paipa</v>
      </c>
      <c r="G22" s="21">
        <v>15516</v>
      </c>
      <c r="H22" s="9">
        <v>212</v>
      </c>
      <c r="I22" s="30">
        <v>33041</v>
      </c>
      <c r="J22" s="31">
        <v>0</v>
      </c>
      <c r="K22" s="25">
        <v>0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x14ac:dyDescent="0.35">
      <c r="A23" s="9">
        <v>1002539023</v>
      </c>
      <c r="B23" s="19">
        <v>2</v>
      </c>
      <c r="C23" s="9" t="str">
        <f>VLOOKUP(A23,'[1]terceros cto'!A$1:B$65536,2,0)</f>
        <v>PAIPILLA SANCHEZ CAMILO ANDRES</v>
      </c>
      <c r="D23" s="20" t="str">
        <f>VLOOKUP(C23,'[1]terceros cto'!B$1:F$65536,5,0)</f>
        <v>camilopaipilla12@hotmail.com</v>
      </c>
      <c r="E23" s="21" t="s">
        <v>2252</v>
      </c>
      <c r="F23" s="9" t="str">
        <f>VLOOKUP(C23,'[1]terceros cto'!B$1:D$65536,3,0)</f>
        <v>Paipa</v>
      </c>
      <c r="G23" s="21">
        <v>15516</v>
      </c>
      <c r="H23" s="9">
        <v>212</v>
      </c>
      <c r="I23" s="28">
        <v>15000</v>
      </c>
      <c r="J23" s="29">
        <v>0</v>
      </c>
      <c r="K23" s="25">
        <v>0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x14ac:dyDescent="0.35">
      <c r="A24" s="9">
        <v>1007142516</v>
      </c>
      <c r="B24" s="19">
        <v>4</v>
      </c>
      <c r="C24" s="9" t="str">
        <f>VLOOKUP(A24,'[1]terceros cto'!A$1:B$65536,2,0)</f>
        <v>CUERVO TALERO PEDRO MIGUEL</v>
      </c>
      <c r="D24" s="20" t="str">
        <f>VLOOKUP(C24,'[1]terceros cto'!B$1:F$65536,5,0)</f>
        <v>pettercrow1007@gmail.com</v>
      </c>
      <c r="E24" s="21" t="s">
        <v>2252</v>
      </c>
      <c r="F24" s="9" t="str">
        <f>VLOOKUP(C24,'[1]terceros cto'!B$1:D$65536,3,0)</f>
        <v>Paipa</v>
      </c>
      <c r="G24" s="21">
        <v>15516</v>
      </c>
      <c r="H24" s="9">
        <v>212</v>
      </c>
      <c r="I24" s="30">
        <v>100000</v>
      </c>
      <c r="J24" s="31">
        <v>0</v>
      </c>
      <c r="K24" s="25">
        <v>0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</row>
    <row r="25" spans="1:142" x14ac:dyDescent="0.35">
      <c r="A25" s="9">
        <v>1010023865</v>
      </c>
      <c r="B25" s="19">
        <v>0</v>
      </c>
      <c r="C25" s="9" t="str">
        <f>VLOOKUP(A25,'[1]terceros cto'!A$1:B$65536,2,0)</f>
        <v>LLANOS BARON ANA MARIA</v>
      </c>
      <c r="D25" s="20" t="str">
        <f>VLOOKUP(C25,'[1]terceros cto'!B$1:F$65536,5,0)</f>
        <v>registrodiario23@gmail.com</v>
      </c>
      <c r="E25" s="21" t="s">
        <v>2252</v>
      </c>
      <c r="F25" s="9" t="str">
        <f>VLOOKUP(C25,'[1]terceros cto'!B$1:D$65536,3,0)</f>
        <v>Paipa</v>
      </c>
      <c r="G25" s="21">
        <v>15516</v>
      </c>
      <c r="H25" s="9">
        <v>212</v>
      </c>
      <c r="I25" s="28">
        <v>232591</v>
      </c>
      <c r="J25" s="29">
        <v>0</v>
      </c>
      <c r="K25" s="25">
        <v>0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</row>
    <row r="26" spans="1:142" x14ac:dyDescent="0.35">
      <c r="A26" s="9">
        <v>1010179780</v>
      </c>
      <c r="B26" s="19">
        <v>3</v>
      </c>
      <c r="C26" s="9" t="str">
        <f>VLOOKUP(A26,'[1]terceros cto'!A$1:B$65536,2,0)</f>
        <v>CASTILLO GALINDO MAURICIO</v>
      </c>
      <c r="D26" s="20" t="str">
        <f>VLOOKUP(C26,'[1]terceros cto'!B$1:F$65536,5,0)</f>
        <v>castle.mauricio@gmail.com</v>
      </c>
      <c r="E26" s="21" t="s">
        <v>2252</v>
      </c>
      <c r="F26" s="9" t="str">
        <f>VLOOKUP(C26,'[1]terceros cto'!B$1:D$65536,3,0)</f>
        <v>medellin</v>
      </c>
      <c r="G26" s="21">
        <v>15516</v>
      </c>
      <c r="H26" s="9">
        <v>212</v>
      </c>
      <c r="I26" s="30">
        <v>47870</v>
      </c>
      <c r="J26" s="31">
        <v>0</v>
      </c>
      <c r="K26" s="25">
        <v>0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</row>
    <row r="27" spans="1:142" x14ac:dyDescent="0.35">
      <c r="A27" s="9">
        <v>1010240302</v>
      </c>
      <c r="B27" s="19">
        <v>6</v>
      </c>
      <c r="C27" s="9" t="str">
        <f>VLOOKUP(A27,'[1]terceros cto'!A$1:B$65536,2,0)</f>
        <v>CASAS GÓMEZ FELIPE FELIPE</v>
      </c>
      <c r="D27" s="20" t="str">
        <f>VLOOKUP(C27,'[1]terceros cto'!B$1:F$65536,5,0)</f>
        <v>afcasasgomez@gmail.com</v>
      </c>
      <c r="E27" s="21" t="s">
        <v>2252</v>
      </c>
      <c r="F27" s="9" t="str">
        <f>VLOOKUP(C27,'[1]terceros cto'!B$1:D$65536,3,0)</f>
        <v>Paipa</v>
      </c>
      <c r="G27" s="21">
        <v>15516</v>
      </c>
      <c r="H27" s="9">
        <v>212</v>
      </c>
      <c r="I27" s="28">
        <v>415302</v>
      </c>
      <c r="J27" s="29">
        <v>0</v>
      </c>
      <c r="K27" s="25">
        <v>0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</row>
    <row r="28" spans="1:142" x14ac:dyDescent="0.35">
      <c r="A28" s="9">
        <v>1013603177</v>
      </c>
      <c r="B28" s="19">
        <v>1</v>
      </c>
      <c r="C28" s="9" t="str">
        <f>VLOOKUP(A28,'[1]terceros cto'!A$1:B$65536,2,0)</f>
        <v>GARCIA CAÑON OCTAVIO AGUSTO</v>
      </c>
      <c r="D28" s="20" t="str">
        <f>VLOOKUP(C28,'[1]terceros cto'!B$1:F$65536,5,0)</f>
        <v>octaviogarcia19899@gmail.com</v>
      </c>
      <c r="E28" s="21" t="s">
        <v>2252</v>
      </c>
      <c r="F28" s="9" t="str">
        <f>VLOOKUP(C28,'[1]terceros cto'!B$1:D$65536,3,0)</f>
        <v>CALLE 6#12A-46. ALTOS DE SIBERIA. T</v>
      </c>
      <c r="G28" s="21">
        <v>15516</v>
      </c>
      <c r="H28" s="9">
        <v>212</v>
      </c>
      <c r="I28" s="30">
        <v>125944</v>
      </c>
      <c r="J28" s="31">
        <v>0</v>
      </c>
      <c r="K28" s="25">
        <v>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</row>
    <row r="29" spans="1:142" x14ac:dyDescent="0.35">
      <c r="A29" s="9">
        <v>1013606806</v>
      </c>
      <c r="B29" s="19">
        <v>1</v>
      </c>
      <c r="C29" s="9" t="str">
        <f>VLOOKUP(A29,'[1]terceros cto'!A$1:B$65536,2,0)</f>
        <v>VELANDIA  MICHAEL BALLEN</v>
      </c>
      <c r="D29" s="20" t="str">
        <f>VLOOKUP(C29,'[1]terceros cto'!B$1:F$65536,5,0)</f>
        <v>ballenmichael1@gmail.com</v>
      </c>
      <c r="E29" s="21" t="s">
        <v>2252</v>
      </c>
      <c r="F29" s="9" t="str">
        <f>VLOOKUP(C29,'[1]terceros cto'!B$1:D$65536,3,0)</f>
        <v>Paipa</v>
      </c>
      <c r="G29" s="21">
        <v>15516</v>
      </c>
      <c r="H29" s="9">
        <v>212</v>
      </c>
      <c r="I29" s="28">
        <v>190049</v>
      </c>
      <c r="J29" s="29">
        <v>0</v>
      </c>
      <c r="K29" s="25">
        <v>0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</row>
    <row r="30" spans="1:142" x14ac:dyDescent="0.35">
      <c r="A30" s="9">
        <v>1014253699</v>
      </c>
      <c r="B30" s="19">
        <v>5</v>
      </c>
      <c r="C30" s="9" t="str">
        <f>VLOOKUP(A30,'[1]terceros cto'!A$1:B$65536,2,0)</f>
        <v>SALAZAR BOADA NATHALIA LIZETH</v>
      </c>
      <c r="D30" s="20" t="str">
        <f>VLOOKUP(C30,'[1]terceros cto'!B$1:F$65536,5,0)</f>
        <v>nathalia.lizeth.salazar@gmail.com</v>
      </c>
      <c r="E30" s="21" t="s">
        <v>2252</v>
      </c>
      <c r="F30" s="9" t="str">
        <f>VLOOKUP(C30,'[1]terceros cto'!B$1:D$65536,3,0)</f>
        <v>Paipa</v>
      </c>
      <c r="G30" s="21">
        <v>15516</v>
      </c>
      <c r="H30" s="9">
        <v>212</v>
      </c>
      <c r="I30" s="30">
        <v>115486</v>
      </c>
      <c r="J30" s="31">
        <v>0</v>
      </c>
      <c r="K30" s="25">
        <v>0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</row>
    <row r="31" spans="1:142" x14ac:dyDescent="0.35">
      <c r="A31" s="9">
        <v>1015398595</v>
      </c>
      <c r="B31" s="19">
        <v>4</v>
      </c>
      <c r="C31" s="9" t="str">
        <f>VLOOKUP(A31,'[1]terceros cto'!A$1:B$65536,2,0)</f>
        <v>MORENO RAMIREZ DIANA CAROLINA</v>
      </c>
      <c r="D31" s="20" t="str">
        <f>VLOOKUP(C31,'[1]terceros cto'!B$1:F$65536,5,0)</f>
        <v>daniel.alvarez@terpel.com</v>
      </c>
      <c r="E31" s="21" t="s">
        <v>2252</v>
      </c>
      <c r="F31" s="9" t="str">
        <f>VLOOKUP(C31,'[1]terceros cto'!B$1:D$65536,3,0)</f>
        <v>PAIPA</v>
      </c>
      <c r="G31" s="21">
        <v>15516</v>
      </c>
      <c r="H31" s="9">
        <v>212</v>
      </c>
      <c r="I31" s="28">
        <v>147015</v>
      </c>
      <c r="J31" s="29">
        <v>0</v>
      </c>
      <c r="K31" s="25">
        <v>0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</row>
    <row r="32" spans="1:142" x14ac:dyDescent="0.35">
      <c r="A32" s="9">
        <v>1015446288</v>
      </c>
      <c r="B32" s="19">
        <v>4</v>
      </c>
      <c r="C32" s="9" t="str">
        <f>VLOOKUP(A32,'[1]terceros cto'!A$1:B$65536,2,0)</f>
        <v>MOLINA OCHOA JULIAN DAVID</v>
      </c>
      <c r="D32" s="20" t="str">
        <f>VLOOKUP(C32,'[1]terceros cto'!B$1:F$65536,5,0)</f>
        <v>julimoli_94@hotmail.com</v>
      </c>
      <c r="E32" s="21" t="s">
        <v>2252</v>
      </c>
      <c r="F32" s="9" t="str">
        <f>VLOOKUP(C32,'[1]terceros cto'!B$1:D$65536,3,0)</f>
        <v>Paipa</v>
      </c>
      <c r="G32" s="21">
        <v>15516</v>
      </c>
      <c r="H32" s="9">
        <v>212</v>
      </c>
      <c r="I32" s="30">
        <v>180006</v>
      </c>
      <c r="J32" s="31">
        <v>0</v>
      </c>
      <c r="K32" s="25">
        <v>0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</row>
    <row r="33" spans="1:142" x14ac:dyDescent="0.35">
      <c r="A33" s="9">
        <v>1016040228</v>
      </c>
      <c r="B33" s="19">
        <v>2</v>
      </c>
      <c r="C33" s="9" t="str">
        <f>VLOOKUP(A33,'[1]terceros cto'!A$1:B$65536,2,0)</f>
        <v>RODRÍGUEZ GUZMÁN FERNANDO ENRIQUE</v>
      </c>
      <c r="D33" s="20" t="str">
        <f>VLOOKUP(C33,'[1]terceros cto'!B$1:F$65536,5,0)</f>
        <v>fernandoroguz10@outlook.com</v>
      </c>
      <c r="E33" s="21" t="s">
        <v>2252</v>
      </c>
      <c r="F33" s="9" t="str">
        <f>VLOOKUP(C33,'[1]terceros cto'!B$1:D$65536,3,0)</f>
        <v>Paipa</v>
      </c>
      <c r="G33" s="21">
        <v>15516</v>
      </c>
      <c r="H33" s="9">
        <v>212</v>
      </c>
      <c r="I33" s="28">
        <v>170095</v>
      </c>
      <c r="J33" s="29">
        <v>0</v>
      </c>
      <c r="K33" s="25">
        <v>0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</row>
    <row r="34" spans="1:142" x14ac:dyDescent="0.35">
      <c r="A34" s="9">
        <v>1016041756</v>
      </c>
      <c r="B34" s="19">
        <v>4</v>
      </c>
      <c r="C34" s="9" t="str">
        <f>VLOOKUP(A34,'[1]terceros cto'!A$1:B$65536,2,0)</f>
        <v>OCHOA PARDO JORGE LUIS</v>
      </c>
      <c r="D34" s="20" t="str">
        <f>VLOOKUP(C34,'[1]terceros cto'!B$1:F$65536,5,0)</f>
        <v>nomada.al@hotmail.com</v>
      </c>
      <c r="E34" s="21" t="s">
        <v>2252</v>
      </c>
      <c r="F34" s="9" t="str">
        <f>VLOOKUP(C34,'[1]terceros cto'!B$1:D$65536,3,0)</f>
        <v>Paipa</v>
      </c>
      <c r="G34" s="21">
        <v>15516</v>
      </c>
      <c r="H34" s="9">
        <v>212</v>
      </c>
      <c r="I34" s="30">
        <v>240000</v>
      </c>
      <c r="J34" s="31">
        <v>0</v>
      </c>
      <c r="K34" s="25">
        <v>0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</row>
    <row r="35" spans="1:142" x14ac:dyDescent="0.35">
      <c r="A35" s="9">
        <v>1016050210</v>
      </c>
      <c r="B35" s="19">
        <v>3</v>
      </c>
      <c r="C35" s="9" t="str">
        <f>VLOOKUP(A35,'[1]terceros cto'!A$1:B$65536,2,0)</f>
        <v>PUERTAS ESCAMILLA ROBINSON STILSON</v>
      </c>
      <c r="D35" s="20" t="str">
        <f>VLOOKUP(C35,'[1]terceros cto'!B$1:F$65536,5,0)</f>
        <v>robinsonpuertass@hotmail.com</v>
      </c>
      <c r="E35" s="21" t="s">
        <v>2252</v>
      </c>
      <c r="F35" s="9" t="str">
        <f>VLOOKUP(C35,'[1]terceros cto'!B$1:D$65536,3,0)</f>
        <v>paipa</v>
      </c>
      <c r="G35" s="21">
        <v>15516</v>
      </c>
      <c r="H35" s="9">
        <v>212</v>
      </c>
      <c r="I35" s="28">
        <v>1070140</v>
      </c>
      <c r="J35" s="29">
        <v>0</v>
      </c>
      <c r="K35" s="25">
        <v>0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</row>
    <row r="36" spans="1:142" x14ac:dyDescent="0.35">
      <c r="A36" s="9">
        <v>1018455487</v>
      </c>
      <c r="B36" s="19">
        <v>2</v>
      </c>
      <c r="C36" s="9" t="str">
        <f>VLOOKUP(A36,'[1]terceros cto'!A$1:B$65536,2,0)</f>
        <v>RIAÑO BARRERA DANIEL FELIPE</v>
      </c>
      <c r="D36" s="20" t="str">
        <f>VLOOKUP(C36,'[1]terceros cto'!B$1:F$65536,5,0)</f>
        <v>ingfeliperb@gmail.com</v>
      </c>
      <c r="E36" s="21" t="s">
        <v>2252</v>
      </c>
      <c r="F36" s="9" t="str">
        <f>VLOOKUP(C36,'[1]terceros cto'!B$1:D$65536,3,0)</f>
        <v>PAIPA</v>
      </c>
      <c r="G36" s="21">
        <v>15516</v>
      </c>
      <c r="H36" s="9">
        <v>212</v>
      </c>
      <c r="I36" s="30">
        <v>100000</v>
      </c>
      <c r="J36" s="31">
        <v>0</v>
      </c>
      <c r="K36" s="25">
        <v>0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</row>
    <row r="37" spans="1:142" x14ac:dyDescent="0.35">
      <c r="A37" s="9">
        <v>1020784353</v>
      </c>
      <c r="B37" s="19">
        <v>2</v>
      </c>
      <c r="C37" s="9" t="str">
        <f>VLOOKUP(A37,'[1]terceros cto'!A$1:B$65536,2,0)</f>
        <v>PAPAGAYO BENREY MARIA CAMILA</v>
      </c>
      <c r="D37" s="20" t="str">
        <f>VLOOKUP(C37,'[1]terceros cto'!B$1:F$65536,5,0)</f>
        <v>camipapagayo@gmail.com</v>
      </c>
      <c r="E37" s="21" t="s">
        <v>2252</v>
      </c>
      <c r="F37" s="9" t="str">
        <f>VLOOKUP(C37,'[1]terceros cto'!B$1:D$65536,3,0)</f>
        <v>Paipa</v>
      </c>
      <c r="G37" s="21">
        <v>15516</v>
      </c>
      <c r="H37" s="9">
        <v>212</v>
      </c>
      <c r="I37" s="28">
        <v>120009</v>
      </c>
      <c r="J37" s="29">
        <v>0</v>
      </c>
      <c r="K37" s="25">
        <v>0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</row>
    <row r="38" spans="1:142" x14ac:dyDescent="0.35">
      <c r="A38" s="9">
        <v>1026255770</v>
      </c>
      <c r="B38" s="19">
        <v>3</v>
      </c>
      <c r="C38" s="9" t="str">
        <f>VLOOKUP(A38,'[1]terceros cto'!A$1:B$65536,2,0)</f>
        <v>HERRERA RAMIREZ ANDRES ANDRES</v>
      </c>
      <c r="D38" s="20" t="str">
        <f>VLOOKUP(C38,'[1]terceros cto'!B$1:F$65536,5,0)</f>
        <v>jahr.8705@gmail.com</v>
      </c>
      <c r="E38" s="21" t="s">
        <v>2252</v>
      </c>
      <c r="F38" s="9" t="str">
        <f>VLOOKUP(C38,'[1]terceros cto'!B$1:D$65536,3,0)</f>
        <v>Paipa</v>
      </c>
      <c r="G38" s="21">
        <v>15516</v>
      </c>
      <c r="H38" s="9">
        <v>212</v>
      </c>
      <c r="I38" s="30">
        <v>98061</v>
      </c>
      <c r="J38" s="31">
        <v>0</v>
      </c>
      <c r="K38" s="25">
        <v>0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</row>
    <row r="39" spans="1:142" x14ac:dyDescent="0.35">
      <c r="A39" s="9">
        <v>1026264513</v>
      </c>
      <c r="B39" s="19">
        <v>5</v>
      </c>
      <c r="C39" s="9" t="str">
        <f>VLOOKUP(A39,'[1]terceros cto'!A$1:B$65536,2,0)</f>
        <v>DIAZ PEREZ ANGELICA VANNESA</v>
      </c>
      <c r="D39" s="20" t="str">
        <f>VLOOKUP(C39,'[1]terceros cto'!B$1:F$65536,5,0)</f>
        <v>vannediazp@gmail.com</v>
      </c>
      <c r="E39" s="21" t="s">
        <v>2252</v>
      </c>
      <c r="F39" s="9" t="str">
        <f>VLOOKUP(C39,'[1]terceros cto'!B$1:D$65536,3,0)</f>
        <v>Paipa</v>
      </c>
      <c r="G39" s="21">
        <v>15516</v>
      </c>
      <c r="H39" s="9">
        <v>212</v>
      </c>
      <c r="I39" s="28">
        <v>204072</v>
      </c>
      <c r="J39" s="29">
        <v>0</v>
      </c>
      <c r="K39" s="25">
        <v>0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</row>
    <row r="40" spans="1:142" x14ac:dyDescent="0.35">
      <c r="A40" s="9">
        <v>1026557644</v>
      </c>
      <c r="B40" s="19">
        <v>1</v>
      </c>
      <c r="C40" s="9" t="str">
        <f>VLOOKUP(A40,'[1]terceros cto'!A$1:B$65536,2,0)</f>
        <v>ALONSO  DIYIRETH GUERRERO</v>
      </c>
      <c r="D40" s="20" t="str">
        <f>VLOOKUP(C40,'[1]terceros cto'!B$1:F$65536,5,0)</f>
        <v>ventasbogotaalianza@gmail.com</v>
      </c>
      <c r="E40" s="21" t="s">
        <v>2252</v>
      </c>
      <c r="F40" s="9" t="str">
        <f>VLOOKUP(C40,'[1]terceros cto'!B$1:D$65536,3,0)</f>
        <v>Paipa</v>
      </c>
      <c r="G40" s="21">
        <v>15516</v>
      </c>
      <c r="H40" s="9">
        <v>212</v>
      </c>
      <c r="I40" s="30">
        <v>60068</v>
      </c>
      <c r="J40" s="31">
        <v>0</v>
      </c>
      <c r="K40" s="25">
        <v>0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</row>
    <row r="41" spans="1:142" x14ac:dyDescent="0.35">
      <c r="A41" s="9">
        <v>1026584203</v>
      </c>
      <c r="B41" s="19">
        <v>1</v>
      </c>
      <c r="C41" s="9" t="str">
        <f>VLOOKUP(A41,'[1]terceros cto'!A$1:B$65536,2,0)</f>
        <v>PULIDO  ANDREA VASQUEZ</v>
      </c>
      <c r="D41" s="20" t="str">
        <f>VLOOKUP(C41,'[1]terceros cto'!B$1:F$65536,5,0)</f>
        <v>vasqxandw@gmail.com</v>
      </c>
      <c r="E41" s="21" t="s">
        <v>2252</v>
      </c>
      <c r="F41" s="9" t="str">
        <f>VLOOKUP(C41,'[1]terceros cto'!B$1:D$65536,3,0)</f>
        <v>Paipa</v>
      </c>
      <c r="G41" s="21">
        <v>15516</v>
      </c>
      <c r="H41" s="9">
        <v>212</v>
      </c>
      <c r="I41" s="28">
        <v>768965</v>
      </c>
      <c r="J41" s="29">
        <v>0</v>
      </c>
      <c r="K41" s="22">
        <v>0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</row>
    <row r="42" spans="1:142" x14ac:dyDescent="0.35">
      <c r="A42" s="9">
        <v>1030560015</v>
      </c>
      <c r="B42" s="19">
        <v>2</v>
      </c>
      <c r="C42" s="9" t="str">
        <f>VLOOKUP(A42,'[1]terceros cto'!A$1:B$65536,2,0)</f>
        <v>DIAZ NIETO SAMIR SHNEYDER</v>
      </c>
      <c r="D42" s="20" t="str">
        <f>VLOOKUP(C42,'[1]terceros cto'!B$1:F$65536,5,0)</f>
        <v>samirdiaznieto@hotmail.com</v>
      </c>
      <c r="E42" s="21" t="s">
        <v>2252</v>
      </c>
      <c r="F42" s="9" t="str">
        <f>VLOOKUP(C42,'[1]terceros cto'!B$1:D$65536,3,0)</f>
        <v>Paipa</v>
      </c>
      <c r="G42" s="21">
        <v>15516</v>
      </c>
      <c r="H42" s="9">
        <v>212</v>
      </c>
      <c r="I42" s="30">
        <v>20000</v>
      </c>
      <c r="J42" s="31">
        <v>0</v>
      </c>
      <c r="K42" s="22">
        <v>0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</row>
    <row r="43" spans="1:142" x14ac:dyDescent="0.35">
      <c r="A43" s="9">
        <v>1030564554</v>
      </c>
      <c r="B43" s="19">
        <v>9</v>
      </c>
      <c r="C43" s="9" t="str">
        <f>VLOOKUP(A43,'[1]terceros cto'!A$1:B$65536,2,0)</f>
        <v>BRINEZ CORONADO HECTOR LEONIDAS</v>
      </c>
      <c r="D43" s="20" t="str">
        <f>VLOOKUP(C43,'[1]terceros cto'!B$1:F$65536,5,0)</f>
        <v>hector.brinez89@gmail.com</v>
      </c>
      <c r="E43" s="21" t="s">
        <v>2252</v>
      </c>
      <c r="F43" s="9" t="str">
        <f>VLOOKUP(C43,'[1]terceros cto'!B$1:D$65536,3,0)</f>
        <v>Paipa</v>
      </c>
      <c r="G43" s="21">
        <v>15516</v>
      </c>
      <c r="H43" s="9">
        <v>212</v>
      </c>
      <c r="I43" s="28">
        <v>100000</v>
      </c>
      <c r="J43" s="29">
        <v>0</v>
      </c>
      <c r="K43" s="22">
        <v>0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</row>
    <row r="44" spans="1:142" x14ac:dyDescent="0.35">
      <c r="A44" s="9">
        <v>1032416357</v>
      </c>
      <c r="B44" s="19">
        <v>8</v>
      </c>
      <c r="C44" s="9" t="str">
        <f>VLOOKUP(A44,'[1]terceros cto'!A$1:B$65536,2,0)</f>
        <v>MEDINA MATEUS DICKSON HERNANDO</v>
      </c>
      <c r="D44" s="20" t="str">
        <f>VLOOKUP(C44,'[1]terceros cto'!B$1:F$65536,5,0)</f>
        <v>dihmedinama@unal.edu.co</v>
      </c>
      <c r="E44" s="21" t="s">
        <v>2252</v>
      </c>
      <c r="F44" s="9" t="str">
        <f>VLOOKUP(C44,'[1]terceros cto'!B$1:D$65536,3,0)</f>
        <v>CALLE 22 N # 17-15</v>
      </c>
      <c r="G44" s="21">
        <v>15516</v>
      </c>
      <c r="H44" s="9">
        <v>212</v>
      </c>
      <c r="I44" s="30">
        <v>101909</v>
      </c>
      <c r="J44" s="31">
        <v>0</v>
      </c>
      <c r="K44" s="22">
        <v>0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</row>
    <row r="45" spans="1:142" x14ac:dyDescent="0.35">
      <c r="A45" s="9">
        <v>1032446256</v>
      </c>
      <c r="B45" s="19">
        <v>0</v>
      </c>
      <c r="C45" s="9" t="str">
        <f>VLOOKUP(A45,'[1]terceros cto'!A$1:B$65536,2,0)</f>
        <v>TORRES PACHÓN WILSON CAMILO</v>
      </c>
      <c r="D45" s="20" t="str">
        <f>VLOOKUP(C45,'[1]terceros cto'!B$1:F$65536,5,0)</f>
        <v>torresseguridadelectronica@gmail.com</v>
      </c>
      <c r="E45" s="21" t="s">
        <v>2252</v>
      </c>
      <c r="F45" s="9" t="str">
        <f>VLOOKUP(C45,'[1]terceros cto'!B$1:D$65536,3,0)</f>
        <v>Paipa</v>
      </c>
      <c r="G45" s="21">
        <v>15516</v>
      </c>
      <c r="H45" s="9">
        <v>212</v>
      </c>
      <c r="I45" s="28">
        <v>50000</v>
      </c>
      <c r="J45" s="29">
        <v>0</v>
      </c>
      <c r="K45" s="22">
        <v>0</v>
      </c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</row>
    <row r="46" spans="1:142" x14ac:dyDescent="0.35">
      <c r="A46" s="9">
        <v>1048847392</v>
      </c>
      <c r="B46" s="19">
        <v>3</v>
      </c>
      <c r="C46" s="9" t="str">
        <f>VLOOKUP(A46,'[1]terceros cto'!A$1:B$65536,2,0)</f>
        <v>PUCHIGAY CARDOZO JULIO ESNEIDER</v>
      </c>
      <c r="D46" s="20" t="str">
        <f>VLOOKUP(C46,'[1]terceros cto'!B$1:F$65536,5,0)</f>
        <v>juliopuchigay@gmail.com</v>
      </c>
      <c r="E46" s="21" t="s">
        <v>2252</v>
      </c>
      <c r="F46" s="9" t="str">
        <f>VLOOKUP(C46,'[1]terceros cto'!B$1:D$65536,3,0)</f>
        <v>Paipa</v>
      </c>
      <c r="G46" s="21">
        <v>15516</v>
      </c>
      <c r="H46" s="9">
        <v>212</v>
      </c>
      <c r="I46" s="30">
        <v>790978</v>
      </c>
      <c r="J46" s="31">
        <v>0</v>
      </c>
      <c r="K46" s="22">
        <v>0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</row>
    <row r="47" spans="1:142" x14ac:dyDescent="0.35">
      <c r="A47" s="9">
        <v>1049603778</v>
      </c>
      <c r="B47" s="19">
        <v>9</v>
      </c>
      <c r="C47" s="9" t="str">
        <f>VLOOKUP(A47,'[1]terceros cto'!A$1:B$65536,2,0)</f>
        <v>GARCIA MORCOTE CESAR AUGUSTO</v>
      </c>
      <c r="D47" s="20" t="str">
        <f>VLOOKUP(C47,'[1]terceros cto'!B$1:F$65536,5,0)</f>
        <v>cesargarciamorcote@outlook.com</v>
      </c>
      <c r="E47" s="21" t="s">
        <v>2252</v>
      </c>
      <c r="F47" s="9" t="str">
        <f>VLOOKUP(C47,'[1]terceros cto'!B$1:D$65536,3,0)</f>
        <v>Paipa</v>
      </c>
      <c r="G47" s="21">
        <v>15516</v>
      </c>
      <c r="H47" s="9">
        <v>212</v>
      </c>
      <c r="I47" s="28">
        <v>26297</v>
      </c>
      <c r="J47" s="29">
        <v>0</v>
      </c>
      <c r="K47" s="22">
        <v>0</v>
      </c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</row>
    <row r="48" spans="1:142" x14ac:dyDescent="0.35">
      <c r="A48" s="9">
        <v>1049610326</v>
      </c>
      <c r="B48" s="19">
        <v>2</v>
      </c>
      <c r="C48" s="9" t="str">
        <f>VLOOKUP(A48,'[1]terceros cto'!A$1:B$65536,2,0)</f>
        <v>ALVARADO  ARTURO COY</v>
      </c>
      <c r="D48" s="20" t="str">
        <f>VLOOKUP(C48,'[1]terceros cto'!B$1:F$65536,5,0)</f>
        <v>ingarturocoy264@gmail.com</v>
      </c>
      <c r="E48" s="21" t="s">
        <v>2252</v>
      </c>
      <c r="F48" s="9" t="str">
        <f>VLOOKUP(C48,'[1]terceros cto'!B$1:D$65536,3,0)</f>
        <v>Paipa</v>
      </c>
      <c r="G48" s="21">
        <v>15516</v>
      </c>
      <c r="H48" s="9">
        <v>212</v>
      </c>
      <c r="I48" s="30">
        <v>821478</v>
      </c>
      <c r="J48" s="31">
        <v>0</v>
      </c>
      <c r="K48" s="22">
        <v>0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</row>
    <row r="49" spans="1:142" x14ac:dyDescent="0.35">
      <c r="A49" s="9">
        <v>1049612417</v>
      </c>
      <c r="B49" s="19">
        <v>3</v>
      </c>
      <c r="C49" s="9" t="str">
        <f>VLOOKUP(A49,'[1]terceros cto'!A$1:B$65536,2,0)</f>
        <v>CARDENAS SORACA NANCY ESPERANZA</v>
      </c>
      <c r="D49" s="20" t="str">
        <f>VLOOKUP(C49,'[1]terceros cto'!B$1:F$65536,5,0)</f>
        <v>nancyesperanza186@gmal.com</v>
      </c>
      <c r="E49" s="21" t="s">
        <v>2252</v>
      </c>
      <c r="F49" s="9" t="str">
        <f>VLOOKUP(C49,'[1]terceros cto'!B$1:D$65536,3,0)</f>
        <v>Paipa</v>
      </c>
      <c r="G49" s="21">
        <v>15516</v>
      </c>
      <c r="H49" s="9">
        <v>212</v>
      </c>
      <c r="I49" s="28">
        <v>50000</v>
      </c>
      <c r="J49" s="29">
        <v>0</v>
      </c>
      <c r="K49" s="22">
        <v>0</v>
      </c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</row>
    <row r="50" spans="1:142" x14ac:dyDescent="0.35">
      <c r="A50" s="9">
        <v>1049614313</v>
      </c>
      <c r="B50" s="19">
        <v>5</v>
      </c>
      <c r="C50" s="9" t="str">
        <f>VLOOKUP(A50,'[1]terceros cto'!A$1:B$65536,2,0)</f>
        <v>GARCIA SAENZ HEIVER ARMANDO</v>
      </c>
      <c r="D50" s="20" t="str">
        <f>VLOOKUP(C50,'[1]terceros cto'!B$1:F$65536,5,0)</f>
        <v>garciasaenz15@gmail.com</v>
      </c>
      <c r="E50" s="21" t="s">
        <v>2252</v>
      </c>
      <c r="F50" s="9" t="str">
        <f>VLOOKUP(C50,'[1]terceros cto'!B$1:D$65536,3,0)</f>
        <v>Paipa</v>
      </c>
      <c r="G50" s="21">
        <v>15516</v>
      </c>
      <c r="H50" s="9">
        <v>212</v>
      </c>
      <c r="I50" s="30">
        <v>384059</v>
      </c>
      <c r="J50" s="31">
        <v>0</v>
      </c>
      <c r="K50" s="22">
        <v>0</v>
      </c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</row>
    <row r="51" spans="1:142" x14ac:dyDescent="0.35">
      <c r="A51" s="9">
        <v>1049640086</v>
      </c>
      <c r="B51" s="19">
        <v>8</v>
      </c>
      <c r="C51" s="9" t="str">
        <f>VLOOKUP(A51,'[1]terceros cto'!A$1:B$65536,2,0)</f>
        <v>GUIO TORRES YARDIN AURELIO</v>
      </c>
      <c r="D51" s="20" t="str">
        <f>VLOOKUP(C51,'[1]terceros cto'!B$1:F$65536,5,0)</f>
        <v>yardin3010@hotmail.com</v>
      </c>
      <c r="E51" s="21" t="s">
        <v>2252</v>
      </c>
      <c r="F51" s="9" t="str">
        <f>VLOOKUP(C51,'[1]terceros cto'!B$1:D$65536,3,0)</f>
        <v>Paipa</v>
      </c>
      <c r="G51" s="21">
        <v>15516</v>
      </c>
      <c r="H51" s="9">
        <v>212</v>
      </c>
      <c r="I51" s="28">
        <v>111090</v>
      </c>
      <c r="J51" s="29">
        <v>0</v>
      </c>
      <c r="K51" s="22">
        <v>0</v>
      </c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</row>
    <row r="52" spans="1:142" x14ac:dyDescent="0.35">
      <c r="A52" s="9">
        <v>1049648223</v>
      </c>
      <c r="B52" s="19">
        <v>7</v>
      </c>
      <c r="C52" s="9" t="str">
        <f>VLOOKUP(A52,'[1]terceros cto'!A$1:B$65536,2,0)</f>
        <v>DE ANTONIO PAULA ANDREA</v>
      </c>
      <c r="D52" s="20" t="str">
        <f>VLOOKUP(C52,'[1]terceros cto'!B$1:F$65536,5,0)</f>
        <v>paudean0909@gmail.com</v>
      </c>
      <c r="E52" s="21" t="s">
        <v>2252</v>
      </c>
      <c r="F52" s="9" t="str">
        <f>VLOOKUP(C52,'[1]terceros cto'!B$1:D$65536,3,0)</f>
        <v>Paipa</v>
      </c>
      <c r="G52" s="21">
        <v>15516</v>
      </c>
      <c r="H52" s="9">
        <v>212</v>
      </c>
      <c r="I52" s="30">
        <v>50000</v>
      </c>
      <c r="J52" s="31">
        <v>0</v>
      </c>
      <c r="K52" s="22">
        <v>0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</row>
    <row r="53" spans="1:142" x14ac:dyDescent="0.35">
      <c r="A53" s="9">
        <v>1051588259</v>
      </c>
      <c r="B53" s="19">
        <v>0</v>
      </c>
      <c r="C53" s="9" t="str">
        <f>VLOOKUP(A53,'[1]terceros cto'!A$1:B$65536,2,0)</f>
        <v>NIÑO BERNAL JAIRO ANDRES</v>
      </c>
      <c r="D53" s="20" t="str">
        <f>VLOOKUP(C53,'[1]terceros cto'!B$1:F$65536,5,0)</f>
        <v>nioandrez@gmail.com</v>
      </c>
      <c r="E53" s="21" t="s">
        <v>2252</v>
      </c>
      <c r="F53" s="9" t="str">
        <f>VLOOKUP(C53,'[1]terceros cto'!B$1:D$65536,3,0)</f>
        <v>Paipa</v>
      </c>
      <c r="G53" s="21">
        <v>15516</v>
      </c>
      <c r="H53" s="9">
        <v>212</v>
      </c>
      <c r="I53" s="28">
        <v>50000</v>
      </c>
      <c r="J53" s="29">
        <v>0</v>
      </c>
      <c r="K53" s="22">
        <v>0</v>
      </c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</row>
    <row r="54" spans="1:142" x14ac:dyDescent="0.35">
      <c r="A54" s="9">
        <v>1051588455</v>
      </c>
      <c r="B54" s="19">
        <v>8</v>
      </c>
      <c r="C54" s="9" t="str">
        <f>VLOOKUP(A54,'[1]terceros cto'!A$1:B$65536,2,0)</f>
        <v>ROMERO AVELLA JOSE ALEXANDER</v>
      </c>
      <c r="D54" s="20" t="str">
        <f>VLOOKUP(C54,'[1]terceros cto'!B$1:F$65536,5,0)</f>
        <v>cheojr15@gmail.com</v>
      </c>
      <c r="E54" s="21" t="s">
        <v>2252</v>
      </c>
      <c r="F54" s="9" t="str">
        <f>VLOOKUP(C54,'[1]terceros cto'!B$1:D$65536,3,0)</f>
        <v>MANZANA F CASA 12</v>
      </c>
      <c r="G54" s="21">
        <v>15516</v>
      </c>
      <c r="H54" s="9">
        <v>212</v>
      </c>
      <c r="I54" s="30">
        <v>310019</v>
      </c>
      <c r="J54" s="31">
        <v>0</v>
      </c>
      <c r="K54" s="22">
        <v>0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</row>
    <row r="55" spans="1:142" x14ac:dyDescent="0.35">
      <c r="A55" s="9">
        <v>1051589272</v>
      </c>
      <c r="B55" s="19">
        <v>1</v>
      </c>
      <c r="C55" s="9" t="str">
        <f>VLOOKUP(A55,'[1]terceros cto'!A$1:B$65536,2,0)</f>
        <v>CASTAÑEDA VELAZCO DIANA MERCEDES</v>
      </c>
      <c r="D55" s="20" t="str">
        <f>VLOOKUP(C55,'[1]terceros cto'!B$1:F$65536,5,0)</f>
        <v>dianysvelasco@gmail.com</v>
      </c>
      <c r="E55" s="21" t="s">
        <v>2252</v>
      </c>
      <c r="F55" s="9" t="str">
        <f>VLOOKUP(C55,'[1]terceros cto'!B$1:D$65536,3,0)</f>
        <v>Paipa</v>
      </c>
      <c r="G55" s="21">
        <v>15516</v>
      </c>
      <c r="H55" s="9">
        <v>212</v>
      </c>
      <c r="I55" s="28">
        <v>50000</v>
      </c>
      <c r="J55" s="29">
        <v>0</v>
      </c>
      <c r="K55" s="22">
        <v>0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</row>
    <row r="56" spans="1:142" x14ac:dyDescent="0.35">
      <c r="A56" s="9">
        <v>1052020622</v>
      </c>
      <c r="B56" s="19">
        <v>7</v>
      </c>
      <c r="C56" s="9" t="str">
        <f>VLOOKUP(A56,'[1]terceros cto'!A$1:B$65536,2,0)</f>
        <v>VARGAS MANOSALVA MAYE LILIANA</v>
      </c>
      <c r="D56" s="20" t="str">
        <f>VLOOKUP(C56,'[1]terceros cto'!B$1:F$65536,5,0)</f>
        <v>contadormayevargas@gmail.com</v>
      </c>
      <c r="E56" s="21">
        <f>VLOOKUP(C56,'[1]terceros cto'!B$1:E$65536,4,0)</f>
        <v>3144438079</v>
      </c>
      <c r="F56" s="9" t="str">
        <f>VLOOKUP(C56,'[1]terceros cto'!B$1:D$65536,3,0)</f>
        <v>CLL 18 A 11 A 70</v>
      </c>
      <c r="G56" s="21">
        <v>15516</v>
      </c>
      <c r="H56" s="9">
        <v>212</v>
      </c>
      <c r="I56" s="30">
        <v>16403415</v>
      </c>
      <c r="J56" s="31">
        <v>0</v>
      </c>
      <c r="K56" s="22">
        <v>0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</row>
    <row r="57" spans="1:142" x14ac:dyDescent="0.35">
      <c r="A57" s="9">
        <v>1052380786</v>
      </c>
      <c r="B57" s="19">
        <v>1</v>
      </c>
      <c r="C57" s="9" t="str">
        <f>VLOOKUP(A57,'[1]terceros cto'!A$1:B$65536,2,0)</f>
        <v>BENAVIDES RUIZ DARWIN ALEXANDER</v>
      </c>
      <c r="D57" s="20" t="str">
        <f>VLOOKUP(C57,'[1]terceros cto'!B$1:F$65536,5,0)</f>
        <v>alexanderbenavides11@gmail.com</v>
      </c>
      <c r="E57" s="21" t="s">
        <v>2252</v>
      </c>
      <c r="F57" s="9" t="str">
        <f>VLOOKUP(C57,'[1]terceros cto'!B$1:D$65536,3,0)</f>
        <v>PAIPA</v>
      </c>
      <c r="G57" s="21">
        <v>15516</v>
      </c>
      <c r="H57" s="9">
        <v>212</v>
      </c>
      <c r="I57" s="28">
        <v>350000</v>
      </c>
      <c r="J57" s="29">
        <v>0</v>
      </c>
      <c r="K57" s="22">
        <v>0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</row>
    <row r="58" spans="1:142" x14ac:dyDescent="0.35">
      <c r="A58" s="9">
        <v>1052381009</v>
      </c>
      <c r="B58" s="19">
        <v>1</v>
      </c>
      <c r="C58" s="9" t="str">
        <f>VLOOKUP(A58,'[1]terceros cto'!A$1:B$65536,2,0)</f>
        <v>CANO HERNANDEZ HUGO ALBERTO</v>
      </c>
      <c r="D58" s="20" t="str">
        <f>VLOOKUP(C58,'[1]terceros cto'!B$1:F$65536,5,0)</f>
        <v>hugo.acano@hotmail.com</v>
      </c>
      <c r="E58" s="21" t="s">
        <v>2252</v>
      </c>
      <c r="F58" s="9" t="str">
        <f>VLOOKUP(C58,'[1]terceros cto'!B$1:D$65536,3,0)</f>
        <v>Paipa</v>
      </c>
      <c r="G58" s="21">
        <v>15516</v>
      </c>
      <c r="H58" s="9">
        <v>212</v>
      </c>
      <c r="I58" s="30">
        <v>48076</v>
      </c>
      <c r="J58" s="31">
        <v>0</v>
      </c>
      <c r="K58" s="22">
        <v>0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</row>
    <row r="59" spans="1:142" x14ac:dyDescent="0.35">
      <c r="A59" s="9">
        <v>1052382455</v>
      </c>
      <c r="B59" s="19">
        <v>6</v>
      </c>
      <c r="C59" s="9" t="str">
        <f>VLOOKUP(A59,'[1]terceros cto'!A$1:B$65536,2,0)</f>
        <v>BRICEÑO BLANCO LYDA CONSTANZA</v>
      </c>
      <c r="D59" s="20" t="str">
        <f>VLOOKUP(C59,'[1]terceros cto'!B$1:F$65536,5,0)</f>
        <v>lyconniecontador@gmail.com</v>
      </c>
      <c r="E59" s="21" t="s">
        <v>2252</v>
      </c>
      <c r="F59" s="9" t="s">
        <v>2254</v>
      </c>
      <c r="G59" s="21">
        <v>15516</v>
      </c>
      <c r="H59" s="9">
        <v>212</v>
      </c>
      <c r="I59" s="28">
        <v>1039350</v>
      </c>
      <c r="J59" s="29">
        <v>0</v>
      </c>
      <c r="K59" s="22">
        <v>0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</row>
    <row r="60" spans="1:142" x14ac:dyDescent="0.35">
      <c r="A60" s="9">
        <v>1052386637</v>
      </c>
      <c r="B60" s="19">
        <v>8</v>
      </c>
      <c r="C60" s="9" t="str">
        <f>VLOOKUP(A60,'[1]terceros cto'!A$1:B$65536,2,0)</f>
        <v>GONZALEZ  GUSTAVO ADOLFO</v>
      </c>
      <c r="D60" s="20" t="str">
        <f>VLOOKUP(C60,'[1]terceros cto'!B$1:F$65536,5,0)</f>
        <v>g.gusgonzalez16@gmail.com</v>
      </c>
      <c r="E60" s="21" t="s">
        <v>2252</v>
      </c>
      <c r="F60" s="9" t="str">
        <f>VLOOKUP(C60,'[1]terceros cto'!B$1:D$65536,3,0)</f>
        <v>Paipa</v>
      </c>
      <c r="G60" s="21">
        <v>15516</v>
      </c>
      <c r="H60" s="9">
        <v>212</v>
      </c>
      <c r="I60" s="30">
        <v>30000</v>
      </c>
      <c r="J60" s="31">
        <v>0</v>
      </c>
      <c r="K60" s="22">
        <v>0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x14ac:dyDescent="0.35">
      <c r="A61" s="9">
        <v>1052388252</v>
      </c>
      <c r="B61" s="19">
        <v>5</v>
      </c>
      <c r="C61" s="9" t="str">
        <f>VLOOKUP(A61,'[1]terceros cto'!A$1:B$65536,2,0)</f>
        <v>GALINDO PUERTO JORGE  LEONARDO</v>
      </c>
      <c r="D61" s="20" t="str">
        <f>VLOOKUP(C61,'[1]terceros cto'!B$1:F$65536,5,0)</f>
        <v>jorge.galindo015@gmail.com</v>
      </c>
      <c r="E61" s="21" t="s">
        <v>2252</v>
      </c>
      <c r="F61" s="9" t="str">
        <f>VLOOKUP(C61,'[1]terceros cto'!B$1:D$65536,3,0)</f>
        <v>CARRERA 19 N 23-43</v>
      </c>
      <c r="G61" s="21">
        <v>15516</v>
      </c>
      <c r="H61" s="9">
        <v>212</v>
      </c>
      <c r="I61" s="28">
        <v>50000</v>
      </c>
      <c r="J61" s="29">
        <v>0</v>
      </c>
      <c r="K61" s="22">
        <v>0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x14ac:dyDescent="0.35">
      <c r="A62" s="9">
        <v>1052388873</v>
      </c>
      <c r="B62" s="19">
        <v>9</v>
      </c>
      <c r="C62" s="9" t="str">
        <f>VLOOKUP(A62,'[1]terceros cto'!A$1:B$65536,2,0)</f>
        <v>MARTINEZ BECERRA EDINSON RAUL</v>
      </c>
      <c r="D62" s="20" t="str">
        <f>VLOOKUP(C62,'[1]terceros cto'!B$1:F$65536,5,0)</f>
        <v>edisonraul.09@gmail.com</v>
      </c>
      <c r="E62" s="21" t="s">
        <v>2252</v>
      </c>
      <c r="F62" s="9" t="str">
        <f>VLOOKUP(C62,'[1]terceros cto'!B$1:D$65536,3,0)</f>
        <v>VIDA QUEBRADA DE BECERRAS</v>
      </c>
      <c r="G62" s="21">
        <v>15516</v>
      </c>
      <c r="H62" s="9">
        <v>212</v>
      </c>
      <c r="I62" s="30">
        <v>2952984</v>
      </c>
      <c r="J62" s="31">
        <v>0</v>
      </c>
      <c r="K62" s="22">
        <v>0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x14ac:dyDescent="0.35">
      <c r="A63" s="9">
        <v>1052391988</v>
      </c>
      <c r="B63" s="19">
        <v>8</v>
      </c>
      <c r="C63" s="9" t="str">
        <f>VLOOKUP(A63,'[1]terceros cto'!A$1:B$65536,2,0)</f>
        <v>PIZA CASTILLO ANGELO ANTONIO</v>
      </c>
      <c r="D63" s="20" t="str">
        <f>VLOOKUP(C63,'[1]terceros cto'!B$1:F$65536,5,0)</f>
        <v>angelopizac@hotmail.es</v>
      </c>
      <c r="E63" s="21" t="s">
        <v>2252</v>
      </c>
      <c r="F63" s="9" t="str">
        <f>VLOOKUP(C63,'[1]terceros cto'!B$1:D$65536,3,0)</f>
        <v>Paipa</v>
      </c>
      <c r="G63" s="21">
        <v>15516</v>
      </c>
      <c r="H63" s="9">
        <v>212</v>
      </c>
      <c r="I63" s="28">
        <v>176659</v>
      </c>
      <c r="J63" s="29">
        <v>0</v>
      </c>
      <c r="K63" s="22">
        <v>0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x14ac:dyDescent="0.35">
      <c r="A64" s="9">
        <v>1052392122</v>
      </c>
      <c r="B64" s="19">
        <v>1</v>
      </c>
      <c r="C64" s="9" t="str">
        <f>VLOOKUP(A64,'[1]terceros cto'!A$1:B$65536,2,0)</f>
        <v>DUENAS PALENCIA DAVID DAVID</v>
      </c>
      <c r="D64" s="20" t="str">
        <f>VLOOKUP(C64,'[1]terceros cto'!B$1:F$65536,5,0)</f>
        <v>jedadupa@gmail.com</v>
      </c>
      <c r="E64" s="21" t="s">
        <v>2252</v>
      </c>
      <c r="F64" s="9" t="str">
        <f>VLOOKUP(C64,'[1]terceros cto'!B$1:D$65536,3,0)</f>
        <v>Paipa</v>
      </c>
      <c r="G64" s="21">
        <v>15516</v>
      </c>
      <c r="H64" s="9">
        <v>212</v>
      </c>
      <c r="I64" s="30">
        <v>100000</v>
      </c>
      <c r="J64" s="31">
        <v>0</v>
      </c>
      <c r="K64" s="22">
        <v>0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</row>
    <row r="65" spans="1:142" x14ac:dyDescent="0.35">
      <c r="A65" s="9">
        <v>1052392621</v>
      </c>
      <c r="B65" s="19">
        <v>5</v>
      </c>
      <c r="C65" s="9" t="str">
        <f>VLOOKUP(A65,'[1]terceros cto'!A$1:B$65536,2,0)</f>
        <v>BLANCO  JUAN</v>
      </c>
      <c r="D65" s="20" t="str">
        <f>VLOOKUP(C65,'[1]terceros cto'!B$1:F$65536,5,0)</f>
        <v>aquileoblancomartinez@gmail.com</v>
      </c>
      <c r="E65" s="21" t="s">
        <v>2252</v>
      </c>
      <c r="F65" s="9" t="str">
        <f>VLOOKUP(C65,'[1]terceros cto'!B$1:D$65536,3,0)</f>
        <v>Paipa</v>
      </c>
      <c r="G65" s="21">
        <v>15516</v>
      </c>
      <c r="H65" s="9">
        <v>212</v>
      </c>
      <c r="I65" s="28">
        <v>50000</v>
      </c>
      <c r="J65" s="29">
        <v>0</v>
      </c>
      <c r="K65" s="22">
        <v>0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</row>
    <row r="66" spans="1:142" x14ac:dyDescent="0.35">
      <c r="A66" s="9">
        <v>1052393431</v>
      </c>
      <c r="B66" s="19">
        <v>7</v>
      </c>
      <c r="C66" s="9" t="str">
        <f>VLOOKUP(A66,'[1]terceros cto'!A$1:B$65536,2,0)</f>
        <v>SILVA TIBADUIZA EDWIN JAVIER</v>
      </c>
      <c r="D66" s="20" t="str">
        <f>VLOOKUP(C66,'[1]terceros cto'!B$1:F$65536,5,0)</f>
        <v>financiera@ladrilleramaguncia.com</v>
      </c>
      <c r="E66" s="21" t="s">
        <v>2252</v>
      </c>
      <c r="F66" s="9" t="str">
        <f>VLOOKUP(C66,'[1]terceros cto'!B$1:D$65536,3,0)</f>
        <v>paipa</v>
      </c>
      <c r="G66" s="21">
        <v>15516</v>
      </c>
      <c r="H66" s="9">
        <v>212</v>
      </c>
      <c r="I66" s="30">
        <v>12080</v>
      </c>
      <c r="J66" s="31">
        <v>0</v>
      </c>
      <c r="K66" s="22">
        <v>0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</row>
    <row r="67" spans="1:142" x14ac:dyDescent="0.35">
      <c r="A67" s="9">
        <v>1052402767</v>
      </c>
      <c r="B67" s="19">
        <v>6</v>
      </c>
      <c r="C67" s="9" t="str">
        <f>VLOOKUP(A67,'[1]terceros cto'!A$1:B$65536,2,0)</f>
        <v>SANCHEZ LOPEZ EDWIN GIOVANNY</v>
      </c>
      <c r="D67" s="20" t="str">
        <f>VLOOKUP(C67,'[1]terceros cto'!B$1:F$65536,5,0)</f>
        <v>patricialop.07@gmail.com</v>
      </c>
      <c r="E67" s="21" t="s">
        <v>2252</v>
      </c>
      <c r="F67" s="9" t="str">
        <f>VLOOKUP(C67,'[1]terceros cto'!B$1:D$65536,3,0)</f>
        <v>Paipa</v>
      </c>
      <c r="G67" s="21">
        <v>15516</v>
      </c>
      <c r="H67" s="9">
        <v>212</v>
      </c>
      <c r="I67" s="28">
        <v>100000</v>
      </c>
      <c r="J67" s="29">
        <v>0</v>
      </c>
      <c r="K67" s="22">
        <v>0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</row>
    <row r="68" spans="1:142" x14ac:dyDescent="0.35">
      <c r="A68" s="9">
        <v>1052406461</v>
      </c>
      <c r="B68" s="19">
        <v>6</v>
      </c>
      <c r="C68" s="9" t="str">
        <f>VLOOKUP(A68,'[1]terceros cto'!A$1:B$65536,2,0)</f>
        <v>QUINTERO FLOREZ MARIA DEL</v>
      </c>
      <c r="D68" s="20" t="str">
        <f>VLOOKUP(C68,'[1]terceros cto'!B$1:F$65536,5,0)</f>
        <v>pilarquintero2303@gmail.com</v>
      </c>
      <c r="E68" s="21" t="s">
        <v>2252</v>
      </c>
      <c r="F68" s="9" t="str">
        <f>VLOOKUP(C68,'[1]terceros cto'!B$1:D$65536,3,0)</f>
        <v>Paipa</v>
      </c>
      <c r="G68" s="21">
        <v>15516</v>
      </c>
      <c r="H68" s="9">
        <v>212</v>
      </c>
      <c r="I68" s="30">
        <v>50000</v>
      </c>
      <c r="J68" s="31">
        <v>0</v>
      </c>
      <c r="K68" s="22">
        <v>0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</row>
    <row r="69" spans="1:142" x14ac:dyDescent="0.35">
      <c r="A69" s="9">
        <v>1052406956</v>
      </c>
      <c r="B69" s="19">
        <v>1</v>
      </c>
      <c r="C69" s="9" t="str">
        <f>VLOOKUP(A69,'[1]terceros cto'!A$1:B$65536,2,0)</f>
        <v>BALLESTEROS SEBASTIAN</v>
      </c>
      <c r="D69" s="20" t="str">
        <f>VLOOKUP(C69,'[1]terceros cto'!B$1:F$65536,5,0)</f>
        <v>juansebasbp@gmail.com</v>
      </c>
      <c r="E69" s="21" t="s">
        <v>2252</v>
      </c>
      <c r="F69" s="9" t="str">
        <f>VLOOKUP(C69,'[1]terceros cto'!B$1:D$65536,3,0)</f>
        <v>paipa</v>
      </c>
      <c r="G69" s="21">
        <v>15516</v>
      </c>
      <c r="H69" s="9">
        <v>212</v>
      </c>
      <c r="I69" s="28">
        <v>320000</v>
      </c>
      <c r="J69" s="29">
        <v>0</v>
      </c>
      <c r="K69" s="22">
        <v>0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</row>
    <row r="70" spans="1:142" x14ac:dyDescent="0.35">
      <c r="A70" s="9">
        <v>1053323217</v>
      </c>
      <c r="B70" s="19">
        <v>1</v>
      </c>
      <c r="C70" s="9" t="str">
        <f>VLOOKUP(A70,'[1]terceros cto'!A$1:B$65536,2,0)</f>
        <v>DIAZ BELEÑO CARLOS RICARDO</v>
      </c>
      <c r="D70" s="20" t="str">
        <f>VLOOKUP(C70,'[1]terceros cto'!B$1:F$65536,5,0)</f>
        <v>facturapaipa@gmail.com</v>
      </c>
      <c r="E70" s="21">
        <f>VLOOKUP(C70,'[1]terceros cto'!B$1:E$65536,4,0)</f>
        <v>3014314768</v>
      </c>
      <c r="F70" s="9" t="str">
        <f>VLOOKUP(C70,'[1]terceros cto'!B$1:D$65536,3,0)</f>
        <v>CALLE 12 N 35-33</v>
      </c>
      <c r="G70" s="21">
        <v>15516</v>
      </c>
      <c r="H70" s="9">
        <v>212</v>
      </c>
      <c r="I70" s="30">
        <v>1312373</v>
      </c>
      <c r="J70" s="31">
        <v>0</v>
      </c>
      <c r="K70" s="22">
        <v>0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</row>
    <row r="71" spans="1:142" x14ac:dyDescent="0.35">
      <c r="A71" s="9">
        <v>1053346197</v>
      </c>
      <c r="B71" s="19">
        <v>1</v>
      </c>
      <c r="C71" s="9" t="str">
        <f>VLOOKUP(A71,'[1]terceros cto'!A$1:B$65536,2,0)</f>
        <v>COCA RODRÍGUEZ JOSE SEBASTIÁN</v>
      </c>
      <c r="D71" s="20" t="str">
        <f>VLOOKUP(C71,'[1]terceros cto'!B$1:F$65536,5,0)</f>
        <v>sebastiancoca96.com@gmail.com</v>
      </c>
      <c r="E71" s="21" t="s">
        <v>2252</v>
      </c>
      <c r="F71" s="9" t="str">
        <f>VLOOKUP(C71,'[1]terceros cto'!B$1:D$65536,3,0)</f>
        <v>Paipa</v>
      </c>
      <c r="G71" s="21">
        <v>15516</v>
      </c>
      <c r="H71" s="9">
        <v>212</v>
      </c>
      <c r="I71" s="28">
        <v>668013</v>
      </c>
      <c r="J71" s="29">
        <v>0</v>
      </c>
      <c r="K71" s="22">
        <v>0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</row>
    <row r="72" spans="1:142" x14ac:dyDescent="0.35">
      <c r="A72" s="9">
        <v>1053604155</v>
      </c>
      <c r="B72" s="19">
        <v>1</v>
      </c>
      <c r="C72" s="9" t="str">
        <f>VLOOKUP(A72,'[1]terceros cto'!A$1:B$65536,2,0)</f>
        <v>PEDRAZA HERNÁNDEZ EDISON FABIÁN</v>
      </c>
      <c r="D72" s="20" t="str">
        <f>VLOOKUP(C72,'[1]terceros cto'!B$1:F$65536,5,0)</f>
        <v>edisonpedraza@hotmail.com</v>
      </c>
      <c r="E72" s="21" t="s">
        <v>2252</v>
      </c>
      <c r="F72" s="9" t="str">
        <f>VLOOKUP(C72,'[1]terceros cto'!B$1:D$65536,3,0)</f>
        <v>Paipa</v>
      </c>
      <c r="G72" s="21">
        <v>15516</v>
      </c>
      <c r="H72" s="9">
        <v>212</v>
      </c>
      <c r="I72" s="30">
        <v>210071</v>
      </c>
      <c r="J72" s="31">
        <v>0</v>
      </c>
      <c r="K72" s="22">
        <v>0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</row>
    <row r="73" spans="1:142" x14ac:dyDescent="0.35">
      <c r="A73" s="9">
        <v>1053604625</v>
      </c>
      <c r="B73" s="19">
        <v>1</v>
      </c>
      <c r="C73" s="9" t="str">
        <f>VLOOKUP(A73,'[1]terceros cto'!A$1:B$65536,2,0)</f>
        <v>GAMA GRANADOS PAOLA CAROLINA</v>
      </c>
      <c r="D73" s="20" t="str">
        <f>VLOOKUP(C73,'[1]terceros cto'!B$1:F$65536,5,0)</f>
        <v>paogam49@gmail.com</v>
      </c>
      <c r="E73" s="21" t="s">
        <v>2252</v>
      </c>
      <c r="F73" s="9" t="str">
        <f>VLOOKUP(C73,'[1]terceros cto'!B$1:D$65536,3,0)</f>
        <v>Paipa</v>
      </c>
      <c r="G73" s="21">
        <v>15516</v>
      </c>
      <c r="H73" s="9">
        <v>212</v>
      </c>
      <c r="I73" s="28">
        <v>169991</v>
      </c>
      <c r="J73" s="29">
        <v>0</v>
      </c>
      <c r="K73" s="22">
        <v>0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</row>
    <row r="74" spans="1:142" x14ac:dyDescent="0.35">
      <c r="A74" s="9">
        <v>1053604690</v>
      </c>
      <c r="B74" s="19">
        <v>9</v>
      </c>
      <c r="C74" s="9" t="str">
        <f>VLOOKUP(A74,'[1]terceros cto'!A$1:B$65536,2,0)</f>
        <v>RIVERA FONSECA JULIAN BERNARDO</v>
      </c>
      <c r="D74" s="20" t="str">
        <f>VLOOKUP(C74,'[1]terceros cto'!B$1:F$65536,5,0)</f>
        <v>julianrivera690@gmail.com</v>
      </c>
      <c r="E74" s="21" t="s">
        <v>2252</v>
      </c>
      <c r="F74" s="9" t="str">
        <f>VLOOKUP(C74,'[1]terceros cto'!B$1:D$65536,3,0)</f>
        <v>Paipa</v>
      </c>
      <c r="G74" s="21">
        <v>15516</v>
      </c>
      <c r="H74" s="9">
        <v>212</v>
      </c>
      <c r="I74" s="30">
        <v>63480</v>
      </c>
      <c r="J74" s="31">
        <v>0</v>
      </c>
      <c r="K74" s="22">
        <v>0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</row>
    <row r="75" spans="1:142" x14ac:dyDescent="0.35">
      <c r="A75" s="9">
        <v>1053605030</v>
      </c>
      <c r="B75" s="19">
        <v>2</v>
      </c>
      <c r="C75" s="9" t="str">
        <f>VLOOKUP(A75,'[1]terceros cto'!A$1:B$65536,2,0)</f>
        <v>BONILLA PATARROYO FABIÁN ALBERTO</v>
      </c>
      <c r="D75" s="20" t="str">
        <f>VLOOKUP(C75,'[1]terceros cto'!B$1:F$65536,5,0)</f>
        <v>fabianbonilla.p87@gmail.com</v>
      </c>
      <c r="E75" s="21" t="s">
        <v>2252</v>
      </c>
      <c r="F75" s="9" t="str">
        <f>VLOOKUP(C75,'[1]terceros cto'!B$1:D$65536,3,0)</f>
        <v>Paipa</v>
      </c>
      <c r="G75" s="21">
        <v>15516</v>
      </c>
      <c r="H75" s="9">
        <v>212</v>
      </c>
      <c r="I75" s="28">
        <v>123421</v>
      </c>
      <c r="J75" s="29">
        <v>0</v>
      </c>
      <c r="K75" s="22">
        <v>0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</row>
    <row r="76" spans="1:142" x14ac:dyDescent="0.35">
      <c r="A76" s="9">
        <v>1053605261</v>
      </c>
      <c r="B76" s="19">
        <v>7</v>
      </c>
      <c r="C76" s="9" t="str">
        <f>VLOOKUP(A76,'[1]terceros cto'!A$1:B$65536,2,0)</f>
        <v>LOPEZ RODRIGUEZ ANGELA ROCIO</v>
      </c>
      <c r="D76" s="20" t="str">
        <f>VLOOKUP(C76,'[1]terceros cto'!B$1:F$65536,5,0)</f>
        <v>facturacion.paipacheese@gmail.com</v>
      </c>
      <c r="E76" s="21" t="s">
        <v>2252</v>
      </c>
      <c r="F76" s="9" t="str">
        <f>VLOOKUP(C76,'[1]terceros cto'!B$1:D$65536,3,0)</f>
        <v>Paipa</v>
      </c>
      <c r="G76" s="21">
        <v>15516</v>
      </c>
      <c r="H76" s="9">
        <v>212</v>
      </c>
      <c r="I76" s="30">
        <v>133721</v>
      </c>
      <c r="J76" s="31">
        <v>0</v>
      </c>
      <c r="K76" s="22">
        <v>0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</row>
    <row r="77" spans="1:142" x14ac:dyDescent="0.35">
      <c r="A77" s="9">
        <v>1053606020</v>
      </c>
      <c r="B77" s="19">
        <v>3</v>
      </c>
      <c r="C77" s="9" t="str">
        <f>VLOOKUP(A77,'[1]terceros cto'!A$1:B$65536,2,0)</f>
        <v>LARA SOSA BRIAN MAURICIO</v>
      </c>
      <c r="D77" s="20" t="str">
        <f>VLOOKUP(C77,'[1]terceros cto'!B$1:F$65536,5,0)</f>
        <v>brian_lara87@hotmail.com</v>
      </c>
      <c r="E77" s="21" t="s">
        <v>2252</v>
      </c>
      <c r="F77" s="9" t="str">
        <f>VLOOKUP(C77,'[1]terceros cto'!B$1:D$65536,3,0)</f>
        <v>Paipa</v>
      </c>
      <c r="G77" s="21">
        <v>15516</v>
      </c>
      <c r="H77" s="9">
        <v>212</v>
      </c>
      <c r="I77" s="28">
        <v>100000</v>
      </c>
      <c r="J77" s="29">
        <v>0</v>
      </c>
      <c r="K77" s="22">
        <v>0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</row>
    <row r="78" spans="1:142" x14ac:dyDescent="0.35">
      <c r="A78" s="9">
        <v>1053606271</v>
      </c>
      <c r="B78" s="19">
        <v>5</v>
      </c>
      <c r="C78" s="9" t="str">
        <f>VLOOKUP(A78,'[1]terceros cto'!A$1:B$65536,2,0)</f>
        <v>SUAREZ BOCIGA YIMMI FAVIAN</v>
      </c>
      <c r="D78" s="20" t="str">
        <f>VLOOKUP(C78,'[1]terceros cto'!B$1:F$65536,5,0)</f>
        <v>yimmifsb21@hotmail.com</v>
      </c>
      <c r="E78" s="21" t="s">
        <v>2252</v>
      </c>
      <c r="F78" s="9" t="str">
        <f>VLOOKUP(C78,'[1]terceros cto'!B$1:D$65536,3,0)</f>
        <v>Paipa</v>
      </c>
      <c r="G78" s="21">
        <v>15516</v>
      </c>
      <c r="H78" s="9">
        <v>212</v>
      </c>
      <c r="I78" s="30">
        <v>1920027</v>
      </c>
      <c r="J78" s="31">
        <v>0</v>
      </c>
      <c r="K78" s="22">
        <v>0</v>
      </c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</row>
    <row r="79" spans="1:142" x14ac:dyDescent="0.35">
      <c r="A79" s="9">
        <v>1053606283</v>
      </c>
      <c r="B79" s="19">
        <v>3</v>
      </c>
      <c r="C79" s="9" t="str">
        <f>VLOOKUP(A79,'[1]terceros cto'!A$1:B$65536,2,0)</f>
        <v>RODRIGUEZ OCHOA RAMON</v>
      </c>
      <c r="D79" s="20" t="str">
        <f>VLOOKUP(C79,'[1]terceros cto'!B$1:F$65536,5,0)</f>
        <v>ramonochoa22@hotmail.com</v>
      </c>
      <c r="E79" s="21" t="s">
        <v>2252</v>
      </c>
      <c r="F79" s="9" t="str">
        <f>VLOOKUP(C79,'[1]terceros cto'!B$1:D$65536,3,0)</f>
        <v>Cr 27B 21 26</v>
      </c>
      <c r="G79" s="21">
        <v>15516</v>
      </c>
      <c r="H79" s="9">
        <v>212</v>
      </c>
      <c r="I79" s="28">
        <v>1180063</v>
      </c>
      <c r="J79" s="29">
        <v>0</v>
      </c>
      <c r="K79" s="22">
        <v>0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</row>
    <row r="80" spans="1:142" x14ac:dyDescent="0.35">
      <c r="A80" s="9">
        <v>1053606304</v>
      </c>
      <c r="B80" s="19">
        <v>1</v>
      </c>
      <c r="C80" s="9" t="str">
        <f>VLOOKUP(A80,'[1]terceros cto'!A$1:B$65536,2,0)</f>
        <v>BARON CIPAGAUTA EDDY BALBINO</v>
      </c>
      <c r="D80" s="20" t="str">
        <f>VLOOKUP(C80,'[1]terceros cto'!B$1:F$65536,5,0)</f>
        <v>j.balbin.com2375@gmail.com</v>
      </c>
      <c r="E80" s="21" t="s">
        <v>2252</v>
      </c>
      <c r="F80" s="9" t="str">
        <f>VLOOKUP(C80,'[1]terceros cto'!B$1:D$65536,3,0)</f>
        <v>Paipa</v>
      </c>
      <c r="G80" s="21">
        <v>15516</v>
      </c>
      <c r="H80" s="9">
        <v>212</v>
      </c>
      <c r="I80" s="30">
        <v>100000</v>
      </c>
      <c r="J80" s="31">
        <v>0</v>
      </c>
      <c r="K80" s="22">
        <v>0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</row>
    <row r="81" spans="1:142" x14ac:dyDescent="0.35">
      <c r="A81" s="9">
        <v>1053606640</v>
      </c>
      <c r="B81" s="19">
        <v>1</v>
      </c>
      <c r="C81" s="9" t="str">
        <f>VLOOKUP(A81,'[1]terceros cto'!A$1:B$65536,2,0)</f>
        <v>GONZALEZ MANOSALVA NUBIA LILIANA</v>
      </c>
      <c r="D81" s="20" t="str">
        <f>VLOOKUP(C81,'[1]terceros cto'!B$1:F$65536,5,0)</f>
        <v>nulilima88@gmail.com</v>
      </c>
      <c r="E81" s="21" t="s">
        <v>2252</v>
      </c>
      <c r="F81" s="9" t="str">
        <f>VLOOKUP(C81,'[1]terceros cto'!B$1:D$65536,3,0)</f>
        <v>Paipa</v>
      </c>
      <c r="G81" s="21">
        <v>15516</v>
      </c>
      <c r="H81" s="9">
        <v>212</v>
      </c>
      <c r="I81" s="28">
        <v>100072</v>
      </c>
      <c r="J81" s="29">
        <v>0</v>
      </c>
      <c r="K81" s="22">
        <v>0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</row>
    <row r="82" spans="1:142" x14ac:dyDescent="0.35">
      <c r="A82" s="9">
        <v>1053606981</v>
      </c>
      <c r="B82" s="19">
        <v>6</v>
      </c>
      <c r="C82" s="9" t="str">
        <f>VLOOKUP(A82,'[1]terceros cto'!A$1:B$65536,2,0)</f>
        <v>OCHOA OCHOA ELIZABETH</v>
      </c>
      <c r="D82" s="20" t="str">
        <f>VLOOKUP(C82,'[1]terceros cto'!B$1:F$65536,5,0)</f>
        <v>eliza.ochoa@gmail.com</v>
      </c>
      <c r="E82" s="21" t="s">
        <v>2252</v>
      </c>
      <c r="F82" s="9" t="str">
        <f>VLOOKUP(C82,'[1]terceros cto'!B$1:D$65536,3,0)</f>
        <v xml:space="preserve"> CALLE 152 #48-04 3-210, INTERIOR 3</v>
      </c>
      <c r="G82" s="21">
        <v>15516</v>
      </c>
      <c r="H82" s="9">
        <v>212</v>
      </c>
      <c r="I82" s="30">
        <v>163013</v>
      </c>
      <c r="J82" s="31">
        <v>0</v>
      </c>
      <c r="K82" s="22">
        <v>0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</row>
    <row r="83" spans="1:142" x14ac:dyDescent="0.35">
      <c r="A83" s="9">
        <v>1053607013</v>
      </c>
      <c r="B83" s="19">
        <v>6</v>
      </c>
      <c r="C83" s="9" t="str">
        <f>VLOOKUP(A83,'[1]terceros cto'!A$1:B$65536,2,0)</f>
        <v>HURTADO SANCHEZ OLGA CAROLINA</v>
      </c>
      <c r="D83" s="20" t="str">
        <f>VLOOKUP(C83,'[1]terceros cto'!B$1:F$65536,5,0)</f>
        <v>olgacarolinahurtados@hotmail.com</v>
      </c>
      <c r="E83" s="21" t="s">
        <v>2252</v>
      </c>
      <c r="F83" s="9" t="str">
        <f>VLOOKUP(C83,'[1]terceros cto'!B$1:D$65536,3,0)</f>
        <v>duitama</v>
      </c>
      <c r="G83" s="21">
        <v>15516</v>
      </c>
      <c r="H83" s="9">
        <v>212</v>
      </c>
      <c r="I83" s="28">
        <v>50000</v>
      </c>
      <c r="J83" s="29">
        <v>0</v>
      </c>
      <c r="K83" s="22">
        <v>0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</row>
    <row r="84" spans="1:142" x14ac:dyDescent="0.35">
      <c r="A84" s="9">
        <v>1053607233</v>
      </c>
      <c r="B84" s="19">
        <v>1</v>
      </c>
      <c r="C84" s="9" t="str">
        <f>VLOOKUP(A84,'[1]terceros cto'!A$1:B$65536,2,0)</f>
        <v>CAMARGO SÁNCHEZ YEISON FABIAN</v>
      </c>
      <c r="D84" s="20" t="str">
        <f>VLOOKUP(C84,'[1]terceros cto'!B$1:F$65536,5,0)</f>
        <v>yeisonfcamargo@hotmail.com</v>
      </c>
      <c r="E84" s="21" t="s">
        <v>2252</v>
      </c>
      <c r="F84" s="9" t="str">
        <f>VLOOKUP(C84,'[1]terceros cto'!B$1:D$65536,3,0)</f>
        <v>Paipa</v>
      </c>
      <c r="G84" s="21">
        <v>15516</v>
      </c>
      <c r="H84" s="9">
        <v>212</v>
      </c>
      <c r="I84" s="30">
        <v>474418</v>
      </c>
      <c r="J84" s="31">
        <v>0</v>
      </c>
      <c r="K84" s="22">
        <v>0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</row>
    <row r="85" spans="1:142" x14ac:dyDescent="0.35">
      <c r="A85" s="9">
        <v>1053607624</v>
      </c>
      <c r="B85" s="19">
        <v>6</v>
      </c>
      <c r="C85" s="9" t="str">
        <f>VLOOKUP(A85,'[1]terceros cto'!A$1:B$65536,2,0)</f>
        <v>MONROY  STIVER URQUIJO</v>
      </c>
      <c r="D85" s="20" t="str">
        <f>VLOOKUP(C85,'[1]terceros cto'!B$1:F$65536,5,0)</f>
        <v>hotelsalvatore2023@gmail.com</v>
      </c>
      <c r="E85" s="21" t="s">
        <v>2252</v>
      </c>
      <c r="F85" s="9" t="str">
        <f>VLOOKUP(C85,'[1]terceros cto'!B$1:D$65536,3,0)</f>
        <v>Paipa</v>
      </c>
      <c r="G85" s="21">
        <v>15516</v>
      </c>
      <c r="H85" s="9">
        <v>212</v>
      </c>
      <c r="I85" s="28">
        <v>650000</v>
      </c>
      <c r="J85" s="29">
        <v>0</v>
      </c>
      <c r="K85" s="22">
        <v>0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</row>
    <row r="86" spans="1:142" x14ac:dyDescent="0.35">
      <c r="A86" s="9">
        <v>1053607727</v>
      </c>
      <c r="B86" s="19">
        <v>6</v>
      </c>
      <c r="C86" s="9" t="str">
        <f>VLOOKUP(A86,'[1]terceros cto'!A$1:B$65536,2,0)</f>
        <v>RUIZ OJEDA ERIKA TATIANA</v>
      </c>
      <c r="D86" s="20" t="str">
        <f>VLOOKUP(C86,'[1]terceros cto'!B$1:F$65536,5,0)</f>
        <v>tati2999@hotmail.com</v>
      </c>
      <c r="E86" s="21" t="s">
        <v>2252</v>
      </c>
      <c r="F86" s="9" t="str">
        <f>VLOOKUP(C86,'[1]terceros cto'!B$1:D$65536,3,0)</f>
        <v>CLL 24 NO. 22-47</v>
      </c>
      <c r="G86" s="21">
        <v>15516</v>
      </c>
      <c r="H86" s="9">
        <v>212</v>
      </c>
      <c r="I86" s="30">
        <v>349305</v>
      </c>
      <c r="J86" s="31">
        <v>0</v>
      </c>
      <c r="K86" s="22">
        <v>0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</row>
    <row r="87" spans="1:142" x14ac:dyDescent="0.35">
      <c r="A87" s="9">
        <v>1053608017</v>
      </c>
      <c r="B87" s="19">
        <v>1</v>
      </c>
      <c r="C87" s="9" t="str">
        <f>VLOOKUP(A87,'[1]terceros cto'!A$1:B$65536,2,0)</f>
        <v>VARGAS ESPEJO DIEGO ARMANDO</v>
      </c>
      <c r="D87" s="20" t="str">
        <f>VLOOKUP(C87,'[1]terceros cto'!B$1:F$65536,5,0)</f>
        <v>diego.var13@hotmail.com</v>
      </c>
      <c r="E87" s="21" t="s">
        <v>2252</v>
      </c>
      <c r="F87" s="9" t="str">
        <f>VLOOKUP(C87,'[1]terceros cto'!B$1:D$65536,3,0)</f>
        <v>CARRERA 24 19A  56_x000D_
_x000D_
_x000D_
_x000D_
_x000D_
A 29 26 54</v>
      </c>
      <c r="G87" s="21">
        <v>15516</v>
      </c>
      <c r="H87" s="9">
        <v>212</v>
      </c>
      <c r="I87" s="28">
        <v>25237777</v>
      </c>
      <c r="J87" s="29">
        <v>0</v>
      </c>
      <c r="K87" s="22">
        <v>0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</row>
    <row r="88" spans="1:142" x14ac:dyDescent="0.35">
      <c r="A88" s="9">
        <v>1053608085</v>
      </c>
      <c r="B88" s="19">
        <v>0</v>
      </c>
      <c r="C88" s="9" t="str">
        <f>VLOOKUP(A88,'[1]terceros cto'!A$1:B$65536,2,0)</f>
        <v>GIRATA BAEZ ALVARO ANTONIO</v>
      </c>
      <c r="D88" s="20" t="str">
        <f>VLOOKUP(C88,'[1]terceros cto'!B$1:F$65536,5,0)</f>
        <v>radiolapaz710am@hotmail.com</v>
      </c>
      <c r="E88" s="21" t="s">
        <v>2252</v>
      </c>
      <c r="F88" s="9" t="str">
        <f>VLOOKUP(C88,'[1]terceros cto'!B$1:D$65536,3,0)</f>
        <v>Paipa</v>
      </c>
      <c r="G88" s="21">
        <v>15516</v>
      </c>
      <c r="H88" s="9">
        <v>212</v>
      </c>
      <c r="I88" s="30">
        <v>545087</v>
      </c>
      <c r="J88" s="31">
        <v>0</v>
      </c>
      <c r="K88" s="22">
        <v>0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</row>
    <row r="89" spans="1:142" x14ac:dyDescent="0.35">
      <c r="A89" s="9">
        <v>1053608137</v>
      </c>
      <c r="B89" s="19">
        <v>5</v>
      </c>
      <c r="C89" s="9" t="str">
        <f>VLOOKUP(A89,'[1]terceros cto'!A$1:B$65536,2,0)</f>
        <v>VARGAS  LEONARDO</v>
      </c>
      <c r="D89" s="20" t="str">
        <f>VLOOKUP(C89,'[1]terceros cto'!B$1:F$65536,5,0)</f>
        <v>levix48@gmail.com</v>
      </c>
      <c r="E89" s="21" t="s">
        <v>2252</v>
      </c>
      <c r="F89" s="9" t="str">
        <f>VLOOKUP(C89,'[1]terceros cto'!B$1:D$65536,3,0)</f>
        <v>Paipa</v>
      </c>
      <c r="G89" s="21">
        <v>15516</v>
      </c>
      <c r="H89" s="9">
        <v>212</v>
      </c>
      <c r="I89" s="28">
        <v>54000</v>
      </c>
      <c r="J89" s="29">
        <v>0</v>
      </c>
      <c r="K89" s="22">
        <v>0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</row>
    <row r="90" spans="1:142" x14ac:dyDescent="0.35">
      <c r="A90" s="9">
        <v>1053608365</v>
      </c>
      <c r="B90" s="19">
        <v>8</v>
      </c>
      <c r="C90" s="9" t="str">
        <f>VLOOKUP(A90,'[1]terceros cto'!A$1:B$65536,2,0)</f>
        <v>SAAVEDRA MARTINEZ FABIAN DAVID</v>
      </c>
      <c r="D90" s="20" t="str">
        <f>VLOOKUP(C90,'[1]terceros cto'!B$1:F$65536,5,0)</f>
        <v>bistrorokas@gmail.com</v>
      </c>
      <c r="E90" s="21" t="s">
        <v>2252</v>
      </c>
      <c r="F90" s="9" t="str">
        <f>VLOOKUP(C90,'[1]terceros cto'!B$1:D$65536,3,0)</f>
        <v>MK 4 VIA PANTANO DE VARGAS</v>
      </c>
      <c r="G90" s="21">
        <v>15516</v>
      </c>
      <c r="H90" s="9">
        <v>212</v>
      </c>
      <c r="I90" s="30">
        <v>522423</v>
      </c>
      <c r="J90" s="31">
        <v>0</v>
      </c>
      <c r="K90" s="22">
        <v>0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</row>
    <row r="91" spans="1:142" x14ac:dyDescent="0.35">
      <c r="A91" s="9">
        <v>1053608417</v>
      </c>
      <c r="B91" s="19">
        <v>2</v>
      </c>
      <c r="C91" s="9" t="str">
        <f>VLOOKUP(A91,'[1]terceros cto'!A$1:B$65536,2,0)</f>
        <v>VELANDOA PACHECO ERIKA YERALDIN</v>
      </c>
      <c r="D91" s="20" t="str">
        <f>VLOOKUP(C91,'[1]terceros cto'!B$1:F$65536,5,0)</f>
        <v>erivela.23@gmail.com</v>
      </c>
      <c r="E91" s="21" t="s">
        <v>2252</v>
      </c>
      <c r="F91" s="9" t="str">
        <f>VLOOKUP(C91,'[1]terceros cto'!B$1:D$65536,3,0)</f>
        <v>Paipa</v>
      </c>
      <c r="G91" s="21">
        <v>15516</v>
      </c>
      <c r="H91" s="9">
        <v>212</v>
      </c>
      <c r="I91" s="28">
        <v>119676</v>
      </c>
      <c r="J91" s="29">
        <v>0</v>
      </c>
      <c r="K91" s="22">
        <v>0</v>
      </c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</row>
    <row r="92" spans="1:142" x14ac:dyDescent="0.35">
      <c r="A92" s="9">
        <v>1053608517</v>
      </c>
      <c r="B92" s="19">
        <v>0</v>
      </c>
      <c r="C92" s="9" t="str">
        <f>VLOOKUP(A92,'[1]terceros cto'!A$1:B$65536,2,0)</f>
        <v>LEON CLAUDIA</v>
      </c>
      <c r="D92" s="20" t="str">
        <f>VLOOKUP(C92,'[1]terceros cto'!B$1:F$65536,5,0)</f>
        <v>clamaleca@hotmail.com</v>
      </c>
      <c r="E92" s="21" t="s">
        <v>2252</v>
      </c>
      <c r="F92" s="9" t="str">
        <f>VLOOKUP(C92,'[1]terceros cto'!B$1:D$65536,3,0)</f>
        <v>PAIPA</v>
      </c>
      <c r="G92" s="21">
        <v>15516</v>
      </c>
      <c r="H92" s="9">
        <v>212</v>
      </c>
      <c r="I92" s="30">
        <v>150000</v>
      </c>
      <c r="J92" s="31">
        <v>0</v>
      </c>
      <c r="K92" s="22">
        <v>0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</row>
    <row r="93" spans="1:142" x14ac:dyDescent="0.35">
      <c r="A93" s="9">
        <v>1053608701</v>
      </c>
      <c r="B93" s="19">
        <v>1</v>
      </c>
      <c r="C93" s="9" t="str">
        <f>VLOOKUP(A93,'[1]terceros cto'!A$1:B$65536,2,0)</f>
        <v>CHAPARRO RUIZ MANUEL ALEJANDRO</v>
      </c>
      <c r="D93" s="20" t="str">
        <f>VLOOKUP(C93,'[1]terceros cto'!B$1:F$65536,5,0)</f>
        <v>chaparroruizmanuelalejandro@gmail.com</v>
      </c>
      <c r="E93" s="21" t="s">
        <v>2252</v>
      </c>
      <c r="F93" s="9" t="str">
        <f>VLOOKUP(C93,'[1]terceros cto'!B$1:D$65536,3,0)</f>
        <v>Paipa</v>
      </c>
      <c r="G93" s="21">
        <v>15516</v>
      </c>
      <c r="H93" s="9">
        <v>212</v>
      </c>
      <c r="I93" s="28">
        <v>140000</v>
      </c>
      <c r="J93" s="29">
        <v>0</v>
      </c>
      <c r="K93" s="22">
        <v>0</v>
      </c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</row>
    <row r="94" spans="1:142" x14ac:dyDescent="0.35">
      <c r="A94" s="9">
        <v>1053608962</v>
      </c>
      <c r="B94" s="19">
        <v>5</v>
      </c>
      <c r="C94" s="9" t="str">
        <f>VLOOKUP(A94,'[1]terceros cto'!A$1:B$65536,2,0)</f>
        <v>SANABRIA BUITRAGO CARLOS HUMBERTO</v>
      </c>
      <c r="D94" s="20" t="str">
        <f>VLOOKUP(C94,'[1]terceros cto'!B$1:F$65536,5,0)</f>
        <v>carloshum09z@gmail.com</v>
      </c>
      <c r="E94" s="21" t="s">
        <v>2252</v>
      </c>
      <c r="F94" s="9" t="str">
        <f>VLOOKUP(C94,'[1]terceros cto'!B$1:D$65536,3,0)</f>
        <v>Paipa</v>
      </c>
      <c r="G94" s="21">
        <v>15516</v>
      </c>
      <c r="H94" s="9">
        <v>212</v>
      </c>
      <c r="I94" s="30">
        <v>2212502</v>
      </c>
      <c r="J94" s="31">
        <v>0</v>
      </c>
      <c r="K94" s="22">
        <v>0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</row>
    <row r="95" spans="1:142" x14ac:dyDescent="0.35">
      <c r="A95" s="9">
        <v>1053609480</v>
      </c>
      <c r="B95" s="19">
        <v>1</v>
      </c>
      <c r="C95" s="9" t="str">
        <f>VLOOKUP(A95,'[1]terceros cto'!A$1:B$65536,2,0)</f>
        <v>GARCIA JHON</v>
      </c>
      <c r="D95" s="20" t="str">
        <f>VLOOKUP(C95,'[1]terceros cto'!B$1:F$65536,5,0)</f>
        <v>johngarcia480@hotmail.com</v>
      </c>
      <c r="E95" s="21" t="s">
        <v>2252</v>
      </c>
      <c r="F95" s="9" t="str">
        <f>VLOOKUP(C95,'[1]terceros cto'!B$1:D$65536,3,0)</f>
        <v>PAIPA</v>
      </c>
      <c r="G95" s="21">
        <v>15516</v>
      </c>
      <c r="H95" s="9">
        <v>212</v>
      </c>
      <c r="I95" s="28">
        <v>100000</v>
      </c>
      <c r="J95" s="29">
        <v>0</v>
      </c>
      <c r="K95" s="22">
        <v>0</v>
      </c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</row>
    <row r="96" spans="1:142" x14ac:dyDescent="0.35">
      <c r="A96" s="9">
        <v>1053609697</v>
      </c>
      <c r="B96" s="19">
        <v>2</v>
      </c>
      <c r="C96" s="9" t="str">
        <f>VLOOKUP(A96,'[1]terceros cto'!A$1:B$65536,2,0)</f>
        <v>MARTINEZ LACHE YOHANNA ANDREA</v>
      </c>
      <c r="D96" s="20" t="str">
        <f>VLOOKUP(C96,'[1]terceros cto'!B$1:F$65536,5,0)</f>
        <v>yohannamartinezlache@gmail.com</v>
      </c>
      <c r="E96" s="21" t="s">
        <v>2252</v>
      </c>
      <c r="F96" s="9" t="str">
        <f>VLOOKUP(C96,'[1]terceros cto'!B$1:D$65536,3,0)</f>
        <v>CALLE25 NÚMERO 26-94</v>
      </c>
      <c r="G96" s="21">
        <v>15516</v>
      </c>
      <c r="H96" s="9">
        <v>212</v>
      </c>
      <c r="I96" s="30">
        <v>900011</v>
      </c>
      <c r="J96" s="31">
        <v>0</v>
      </c>
      <c r="K96" s="22">
        <v>0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</row>
    <row r="97" spans="1:142" x14ac:dyDescent="0.35">
      <c r="A97" s="9">
        <v>1053609703</v>
      </c>
      <c r="B97" s="19">
        <v>9</v>
      </c>
      <c r="C97" s="9" t="str">
        <f>VLOOKUP(A97,'[1]terceros cto'!A$1:B$65536,2,0)</f>
        <v>SALCEDO MESA HECTOR LEONARDO</v>
      </c>
      <c r="D97" s="20" t="str">
        <f>VLOOKUP(C97,'[1]terceros cto'!B$1:F$65536,5,0)</f>
        <v>lmesa92@outlook.com</v>
      </c>
      <c r="E97" s="21" t="s">
        <v>2252</v>
      </c>
      <c r="F97" s="9" t="str">
        <f>VLOOKUP(C97,'[1]terceros cto'!B$1:D$65536,3,0)</f>
        <v>VDA LA ESPERANZA</v>
      </c>
      <c r="G97" s="21">
        <v>15516</v>
      </c>
      <c r="H97" s="9">
        <v>212</v>
      </c>
      <c r="I97" s="28">
        <v>1084083</v>
      </c>
      <c r="J97" s="29">
        <v>0</v>
      </c>
      <c r="K97" s="22">
        <v>0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</row>
    <row r="98" spans="1:142" x14ac:dyDescent="0.35">
      <c r="A98" s="9">
        <v>1053609838</v>
      </c>
      <c r="B98" s="19">
        <v>4</v>
      </c>
      <c r="C98" s="9" t="str">
        <f>VLOOKUP(A98,'[1]terceros cto'!A$1:B$65536,2,0)</f>
        <v>SOCHE  IGNACIO GRANADOS</v>
      </c>
      <c r="D98" s="20" t="str">
        <f>VLOOKUP(C98,'[1]terceros cto'!B$1:F$65536,5,0)</f>
        <v>nachogranados197@gmail.com</v>
      </c>
      <c r="E98" s="21" t="s">
        <v>2252</v>
      </c>
      <c r="F98" s="9" t="str">
        <f>VLOOKUP(C98,'[1]terceros cto'!B$1:D$65536,3,0)</f>
        <v>Paipa</v>
      </c>
      <c r="G98" s="21">
        <v>15516</v>
      </c>
      <c r="H98" s="9">
        <v>212</v>
      </c>
      <c r="I98" s="30">
        <v>318967</v>
      </c>
      <c r="J98" s="31">
        <v>0</v>
      </c>
      <c r="K98" s="22">
        <v>0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x14ac:dyDescent="0.35">
      <c r="A99" s="9">
        <v>1053609886</v>
      </c>
      <c r="B99" s="19">
        <v>8</v>
      </c>
      <c r="C99" s="9" t="str">
        <f>VLOOKUP(A99,'[1]terceros cto'!A$1:B$65536,2,0)</f>
        <v>BONILLA HURTADO WILMER FABIAN</v>
      </c>
      <c r="D99" s="20" t="str">
        <f>VLOOKUP(C99,'[1]terceros cto'!B$1:F$65536,5,0)</f>
        <v>w.fabianb31@gmail.com</v>
      </c>
      <c r="E99" s="21" t="s">
        <v>2252</v>
      </c>
      <c r="F99" s="9" t="str">
        <f>VLOOKUP(C99,'[1]terceros cto'!B$1:D$65536,3,0)</f>
        <v>CAÑÑE 23 17A 06</v>
      </c>
      <c r="G99" s="21">
        <v>15516</v>
      </c>
      <c r="H99" s="9">
        <v>212</v>
      </c>
      <c r="I99" s="28">
        <v>24529996</v>
      </c>
      <c r="J99" s="29">
        <v>0</v>
      </c>
      <c r="K99" s="22">
        <v>0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x14ac:dyDescent="0.35">
      <c r="A100" s="9">
        <v>1053610043</v>
      </c>
      <c r="B100" s="19">
        <v>8</v>
      </c>
      <c r="C100" s="9" t="str">
        <f>VLOOKUP(A100,'[1]terceros cto'!A$1:B$65536,2,0)</f>
        <v>SANABRIA  BUITRAGO ITALO JULIO</v>
      </c>
      <c r="D100" s="20" t="str">
        <f>VLOOKUP(C100,'[1]terceros cto'!B$1:F$65536,5,0)</f>
        <v>italocatjul@hotmail.com</v>
      </c>
      <c r="E100" s="21" t="s">
        <v>2252</v>
      </c>
      <c r="F100" s="9" t="str">
        <f>VLOOKUP(C100,'[1]terceros cto'!B$1:D$65536,3,0)</f>
        <v>paipa</v>
      </c>
      <c r="G100" s="21">
        <v>15516</v>
      </c>
      <c r="H100" s="9">
        <v>212</v>
      </c>
      <c r="I100" s="30">
        <v>18257089</v>
      </c>
      <c r="J100" s="31">
        <v>0</v>
      </c>
      <c r="K100" s="22">
        <v>0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</row>
    <row r="101" spans="1:142" x14ac:dyDescent="0.35">
      <c r="A101" s="9">
        <v>1053610376</v>
      </c>
      <c r="B101" s="19">
        <v>5</v>
      </c>
      <c r="C101" s="9" t="str">
        <f>VLOOKUP(A101,'[1]terceros cto'!A$1:B$65536,2,0)</f>
        <v>PEDRAZA PEDRAZA JUAN CARLOS</v>
      </c>
      <c r="D101" s="20" t="str">
        <f>VLOOKUP(C101,'[1]terceros cto'!B$1:F$65536,5,0)</f>
        <v>pedraza.juan.carlos@hotmail.com</v>
      </c>
      <c r="E101" s="21" t="s">
        <v>2252</v>
      </c>
      <c r="F101" s="9" t="str">
        <f>VLOOKUP(C101,'[1]terceros cto'!B$1:D$65536,3,0)</f>
        <v>Paipa</v>
      </c>
      <c r="G101" s="21">
        <v>15516</v>
      </c>
      <c r="H101" s="9">
        <v>212</v>
      </c>
      <c r="I101" s="28">
        <v>521187</v>
      </c>
      <c r="J101" s="29">
        <v>0</v>
      </c>
      <c r="K101" s="22">
        <v>0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</row>
    <row r="102" spans="1:142" x14ac:dyDescent="0.35">
      <c r="A102" s="9">
        <v>1053610567</v>
      </c>
      <c r="B102" s="19">
        <v>5</v>
      </c>
      <c r="C102" s="9" t="str">
        <f>VLOOKUP(A102,'[1]terceros cto'!A$1:B$65536,2,0)</f>
        <v>RAMIREZ GUILLERMO</v>
      </c>
      <c r="D102" s="20" t="str">
        <f>VLOOKUP(C102,'[1]terceros cto'!B$1:F$65536,5,0)</f>
        <v>gramirez567@uan.edu.co</v>
      </c>
      <c r="E102" s="21" t="s">
        <v>2252</v>
      </c>
      <c r="F102" s="9" t="str">
        <f>VLOOKUP(C102,'[1]terceros cto'!B$1:D$65536,3,0)</f>
        <v>paipa</v>
      </c>
      <c r="G102" s="21">
        <v>15516</v>
      </c>
      <c r="H102" s="9">
        <v>212</v>
      </c>
      <c r="I102" s="30">
        <v>207500</v>
      </c>
      <c r="J102" s="31">
        <v>0</v>
      </c>
      <c r="K102" s="22">
        <v>0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x14ac:dyDescent="0.35">
      <c r="A103" s="9">
        <v>1053610748</v>
      </c>
      <c r="B103" s="19">
        <v>1</v>
      </c>
      <c r="C103" s="9" t="str">
        <f>VLOOKUP(A103,'[1]terceros cto'!A$1:B$65536,2,0)</f>
        <v>CASTRO ECHEVERRIA JUAN MANUEL</v>
      </c>
      <c r="D103" s="20" t="str">
        <f>VLOOKUP(C103,'[1]terceros cto'!B$1:F$65536,5,0)</f>
        <v>juan.castro.guitar@gmail.com</v>
      </c>
      <c r="E103" s="21" t="s">
        <v>2252</v>
      </c>
      <c r="F103" s="9" t="str">
        <f>VLOOKUP(C103,'[1]terceros cto'!B$1:D$65536,3,0)</f>
        <v>PAIPA</v>
      </c>
      <c r="G103" s="21">
        <v>15516</v>
      </c>
      <c r="H103" s="9">
        <v>212</v>
      </c>
      <c r="I103" s="28">
        <v>1975588</v>
      </c>
      <c r="J103" s="29">
        <v>0</v>
      </c>
      <c r="K103" s="22">
        <v>0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x14ac:dyDescent="0.35">
      <c r="A104" s="9">
        <v>1053610982</v>
      </c>
      <c r="B104" s="19">
        <v>9</v>
      </c>
      <c r="C104" s="9" t="str">
        <f>VLOOKUP(A104,'[1]terceros cto'!A$1:B$65536,2,0)</f>
        <v>OCHOA  LUCINIO MUÑOZ</v>
      </c>
      <c r="D104" s="20" t="str">
        <f>VLOOKUP(C104,'[1]terceros cto'!B$1:F$65536,5,0)</f>
        <v>lucinio47@gmail.com</v>
      </c>
      <c r="E104" s="21" t="s">
        <v>2252</v>
      </c>
      <c r="F104" s="9" t="str">
        <f>VLOOKUP(C104,'[1]terceros cto'!B$1:D$65536,3,0)</f>
        <v>Paipa</v>
      </c>
      <c r="G104" s="21">
        <v>15516</v>
      </c>
      <c r="H104" s="9">
        <v>212</v>
      </c>
      <c r="I104" s="30">
        <v>60000</v>
      </c>
      <c r="J104" s="31">
        <v>0</v>
      </c>
      <c r="K104" s="22">
        <v>0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</row>
    <row r="105" spans="1:142" x14ac:dyDescent="0.35">
      <c r="A105" s="9">
        <v>1053611017</v>
      </c>
      <c r="B105" s="19">
        <v>0</v>
      </c>
      <c r="C105" s="9" t="str">
        <f>VLOOKUP(A105,'[1]terceros cto'!A$1:B$65536,2,0)</f>
        <v>SANCHEZ AVELLANEDA IVAN RENE</v>
      </c>
      <c r="D105" s="20" t="str">
        <f>VLOOKUP(C105,'[1]terceros cto'!B$1:F$65536,5,0)</f>
        <v>avellanedaivan90@gmail.com</v>
      </c>
      <c r="E105" s="21" t="s">
        <v>2252</v>
      </c>
      <c r="F105" s="9" t="str">
        <f>VLOOKUP(C105,'[1]terceros cto'!B$1:D$65536,3,0)</f>
        <v>CARRERA 27A NO 27-20</v>
      </c>
      <c r="G105" s="21">
        <v>15516</v>
      </c>
      <c r="H105" s="9">
        <v>212</v>
      </c>
      <c r="I105" s="28">
        <v>20002</v>
      </c>
      <c r="J105" s="29">
        <v>0</v>
      </c>
      <c r="K105" s="22">
        <v>0</v>
      </c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</row>
    <row r="106" spans="1:142" x14ac:dyDescent="0.35">
      <c r="A106" s="9">
        <v>1053611232</v>
      </c>
      <c r="B106" s="19">
        <v>8</v>
      </c>
      <c r="C106" s="9" t="str">
        <f>VLOOKUP(A106,'[1]terceros cto'!A$1:B$65536,2,0)</f>
        <v>HOSTTOS AYALA DIANA PAOLA</v>
      </c>
      <c r="D106" s="20" t="str">
        <f>VLOOKUP(C106,'[1]terceros cto'!B$1:F$65536,5,0)</f>
        <v>dianahosttos@gmail.com</v>
      </c>
      <c r="E106" s="21" t="s">
        <v>2252</v>
      </c>
      <c r="F106" s="9" t="str">
        <f>VLOOKUP(C106,'[1]terceros cto'!B$1:D$65536,3,0)</f>
        <v>Paipa</v>
      </c>
      <c r="G106" s="21">
        <v>15516</v>
      </c>
      <c r="H106" s="9">
        <v>212</v>
      </c>
      <c r="I106" s="30">
        <v>206310</v>
      </c>
      <c r="J106" s="31">
        <v>0</v>
      </c>
      <c r="K106" s="22">
        <v>0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</row>
    <row r="107" spans="1:142" x14ac:dyDescent="0.35">
      <c r="A107" s="9">
        <v>1053611525</v>
      </c>
      <c r="B107" s="19">
        <v>0</v>
      </c>
      <c r="C107" s="9" t="str">
        <f>VLOOKUP(A107,'[1]terceros cto'!A$1:B$65536,2,0)</f>
        <v>BECERRA JOSE DANIEL</v>
      </c>
      <c r="D107" s="20" t="str">
        <f>VLOOKUP(C107,'[1]terceros cto'!B$1:F$65536,5,0)</f>
        <v>danibec1053@gmail.com</v>
      </c>
      <c r="E107" s="21" t="s">
        <v>2252</v>
      </c>
      <c r="F107" s="9" t="str">
        <f>VLOOKUP(C107,'[1]terceros cto'!B$1:D$65536,3,0)</f>
        <v>LA ESTACION</v>
      </c>
      <c r="G107" s="21">
        <v>15516</v>
      </c>
      <c r="H107" s="9">
        <v>212</v>
      </c>
      <c r="I107" s="28">
        <v>2379857</v>
      </c>
      <c r="J107" s="29">
        <v>0</v>
      </c>
      <c r="K107" s="22">
        <v>0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</row>
    <row r="108" spans="1:142" x14ac:dyDescent="0.35">
      <c r="A108" s="9">
        <v>1053611534</v>
      </c>
      <c r="B108" s="19">
        <v>7</v>
      </c>
      <c r="C108" s="9" t="str">
        <f>VLOOKUP(A108,'[1]terceros cto'!A$1:B$65536,2,0)</f>
        <v>HERNANDEZ LEGALIZADO JOSE ISAIAS</v>
      </c>
      <c r="D108" s="20" t="str">
        <f>VLOOKUP(C108,'[1]terceros cto'!B$1:F$65536,5,0)</f>
        <v>jose23.jihl@gmail.com</v>
      </c>
      <c r="E108" s="21" t="s">
        <v>2252</v>
      </c>
      <c r="F108" s="9" t="str">
        <f>VLOOKUP(C108,'[1]terceros cto'!B$1:D$65536,3,0)</f>
        <v>PAIPA</v>
      </c>
      <c r="G108" s="21">
        <v>15516</v>
      </c>
      <c r="H108" s="9">
        <v>212</v>
      </c>
      <c r="I108" s="30">
        <v>60000</v>
      </c>
      <c r="J108" s="31">
        <v>0</v>
      </c>
      <c r="K108" s="22">
        <v>0</v>
      </c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</row>
    <row r="109" spans="1:142" x14ac:dyDescent="0.35">
      <c r="A109" s="9">
        <v>1053611770</v>
      </c>
      <c r="B109" s="19">
        <v>9</v>
      </c>
      <c r="C109" s="9" t="str">
        <f>VLOOKUP(A109,'[1]terceros cto'!A$1:B$65536,2,0)</f>
        <v>CAMARGO  WILSON</v>
      </c>
      <c r="D109" s="20" t="str">
        <f>VLOOKUP(C109,'[1]terceros cto'!B$1:F$65536,5,0)</f>
        <v>wiaucaro@gmail.com</v>
      </c>
      <c r="E109" s="21" t="s">
        <v>2252</v>
      </c>
      <c r="F109" s="9" t="str">
        <f>VLOOKUP(C109,'[1]terceros cto'!B$1:D$65536,3,0)</f>
        <v>Paipa</v>
      </c>
      <c r="G109" s="21">
        <v>15516</v>
      </c>
      <c r="H109" s="9">
        <v>212</v>
      </c>
      <c r="I109" s="28">
        <v>50000</v>
      </c>
      <c r="J109" s="29">
        <v>0</v>
      </c>
      <c r="K109" s="22">
        <v>0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</row>
    <row r="110" spans="1:142" x14ac:dyDescent="0.35">
      <c r="A110" s="9">
        <v>1053612970</v>
      </c>
      <c r="B110" s="19">
        <v>1</v>
      </c>
      <c r="C110" s="9" t="str">
        <f>VLOOKUP(A110,'[1]terceros cto'!A$1:B$65536,2,0)</f>
        <v>RODRIGUEZ ALBA MIGUEL MIGUEL</v>
      </c>
      <c r="D110" s="20" t="str">
        <f>VLOOKUP(C110,'[1]terceros cto'!B$1:F$65536,5,0)</f>
        <v>luismiguelrodriguezalba00@gmail.com</v>
      </c>
      <c r="E110" s="21" t="s">
        <v>2252</v>
      </c>
      <c r="F110" s="9" t="str">
        <f>VLOOKUP(C110,'[1]terceros cto'!B$1:D$65536,3,0)</f>
        <v>Paipa</v>
      </c>
      <c r="G110" s="21">
        <v>15516</v>
      </c>
      <c r="H110" s="9">
        <v>212</v>
      </c>
      <c r="I110" s="30">
        <v>50000</v>
      </c>
      <c r="J110" s="31">
        <v>0</v>
      </c>
      <c r="K110" s="22">
        <v>0</v>
      </c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</row>
    <row r="111" spans="1:142" x14ac:dyDescent="0.35">
      <c r="A111" s="9">
        <v>1053612985</v>
      </c>
      <c r="B111" s="19">
        <v>1</v>
      </c>
      <c r="C111" s="9" t="str">
        <f>VLOOKUP(A111,'[1]terceros cto'!A$1:B$65536,2,0)</f>
        <v>MOSQUERA  CIFUENTES LUIS MAURICIO</v>
      </c>
      <c r="D111" s="20" t="str">
        <f>VLOOKUP(C111,'[1]terceros cto'!B$1:F$65536,5,0)</f>
        <v>luis.mauricio.06@gmail.com</v>
      </c>
      <c r="E111" s="21" t="s">
        <v>2252</v>
      </c>
      <c r="F111" s="9" t="str">
        <f>VLOOKUP(C111,'[1]terceros cto'!B$1:D$65536,3,0)</f>
        <v>PAIPA</v>
      </c>
      <c r="G111" s="21">
        <v>15516</v>
      </c>
      <c r="H111" s="9">
        <v>212</v>
      </c>
      <c r="I111" s="28">
        <v>100000</v>
      </c>
      <c r="J111" s="29">
        <v>0</v>
      </c>
      <c r="K111" s="22">
        <v>0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</row>
    <row r="112" spans="1:142" x14ac:dyDescent="0.35">
      <c r="A112" s="9">
        <v>1053613930</v>
      </c>
      <c r="B112" s="19">
        <v>1</v>
      </c>
      <c r="C112" s="27" t="s">
        <v>2256</v>
      </c>
      <c r="D112" s="20" t="s">
        <v>2252</v>
      </c>
      <c r="E112" s="21" t="s">
        <v>2252</v>
      </c>
      <c r="F112" s="9" t="s">
        <v>2254</v>
      </c>
      <c r="G112" s="21" t="e">
        <f>VLOOKUP(H112,[1]mc!B$1:C$65536,2,0)</f>
        <v>#N/A</v>
      </c>
      <c r="H112" s="9">
        <v>212</v>
      </c>
      <c r="I112" s="30">
        <v>590000</v>
      </c>
      <c r="J112" s="31">
        <v>0</v>
      </c>
      <c r="K112" s="22">
        <v>0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</row>
    <row r="113" spans="1:142" s="23" customFormat="1" x14ac:dyDescent="0.35">
      <c r="A113" s="23">
        <v>1053614204</v>
      </c>
      <c r="B113" s="19">
        <v>5</v>
      </c>
      <c r="C113" s="9" t="str">
        <f>VLOOKUP(A113,'[1]terceros cto'!A$1:B$65536,2,0)</f>
        <v>CAMARGO MATEUS OSMAN ARLEY</v>
      </c>
      <c r="D113" s="20" t="str">
        <f>VLOOKUP(C113,'[1]terceros cto'!B$1:F$65536,5,0)</f>
        <v>osmanarleycamargomateus@gmail.com</v>
      </c>
      <c r="E113" s="21" t="s">
        <v>2252</v>
      </c>
      <c r="F113" s="9" t="str">
        <f>VLOOKUP(C113,'[1]terceros cto'!B$1:D$65536,3,0)</f>
        <v>Paipa</v>
      </c>
      <c r="G113" s="21">
        <v>15516</v>
      </c>
      <c r="H113" s="9">
        <v>212</v>
      </c>
      <c r="I113" s="32">
        <v>126892</v>
      </c>
      <c r="J113" s="33">
        <v>0</v>
      </c>
      <c r="K113" s="26">
        <v>0</v>
      </c>
    </row>
    <row r="114" spans="1:142" x14ac:dyDescent="0.35">
      <c r="A114" s="9">
        <v>1053614896</v>
      </c>
      <c r="B114" s="19">
        <v>1</v>
      </c>
      <c r="C114" s="9" t="str">
        <f>VLOOKUP(A114,'[1]terceros cto'!A$1:B$65536,2,0)</f>
        <v>PUERTO AMADOR YESIKA PAOLA</v>
      </c>
      <c r="D114" s="20" t="str">
        <f>VLOOKUP(C114,'[1]terceros cto'!B$1:F$65536,5,0)</f>
        <v>ykamador11@outlook.com</v>
      </c>
      <c r="E114" s="21" t="s">
        <v>2252</v>
      </c>
      <c r="F114" s="9" t="str">
        <f>VLOOKUP(C114,'[1]terceros cto'!B$1:D$65536,3,0)</f>
        <v>Paipa</v>
      </c>
      <c r="G114" s="21">
        <v>15516</v>
      </c>
      <c r="H114" s="9">
        <v>212</v>
      </c>
      <c r="I114" s="30">
        <v>350002</v>
      </c>
      <c r="J114" s="31">
        <v>0</v>
      </c>
      <c r="K114" s="22">
        <v>0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</row>
    <row r="115" spans="1:142" x14ac:dyDescent="0.35">
      <c r="A115" s="9">
        <v>1053615940</v>
      </c>
      <c r="B115" s="19">
        <v>2</v>
      </c>
      <c r="C115" s="9" t="str">
        <f>VLOOKUP(A115,'[1]terceros cto'!A$1:B$65536,2,0)</f>
        <v>BOHORQUEZ SANCHEZ BAIRON ALEJANDRO</v>
      </c>
      <c r="D115" s="20" t="str">
        <f>VLOOKUP(C115,'[1]terceros cto'!B$1:F$65536,5,0)</f>
        <v>baironalejo9@gmail.com</v>
      </c>
      <c r="E115" s="21" t="s">
        <v>2252</v>
      </c>
      <c r="F115" s="9" t="str">
        <f>VLOOKUP(C115,'[1]terceros cto'!B$1:D$65536,3,0)</f>
        <v>Paipa</v>
      </c>
      <c r="G115" s="21">
        <v>15516</v>
      </c>
      <c r="H115" s="9">
        <v>212</v>
      </c>
      <c r="I115" s="28">
        <v>40000</v>
      </c>
      <c r="J115" s="29">
        <v>0</v>
      </c>
      <c r="K115" s="22">
        <v>0</v>
      </c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</row>
    <row r="116" spans="1:142" x14ac:dyDescent="0.35">
      <c r="A116" s="9">
        <v>1053616327</v>
      </c>
      <c r="B116" s="19">
        <v>1</v>
      </c>
      <c r="C116" s="9" t="str">
        <f>VLOOKUP(A116,'[1]terceros cto'!A$1:B$65536,2,0)</f>
        <v>BOHÓRQUEZ ESPITIA SANDRA VANESSA</v>
      </c>
      <c r="D116" s="20" t="str">
        <f>VLOOKUP(C116,'[1]terceros cto'!B$1:F$65536,5,0)</f>
        <v>sandra_vanessa99@hotmail.com</v>
      </c>
      <c r="E116" s="21" t="s">
        <v>2252</v>
      </c>
      <c r="F116" s="9" t="str">
        <f>VLOOKUP(C116,'[1]terceros cto'!B$1:D$65536,3,0)</f>
        <v>Paipa</v>
      </c>
      <c r="G116" s="21">
        <v>15516</v>
      </c>
      <c r="H116" s="9">
        <v>212</v>
      </c>
      <c r="I116" s="30">
        <v>300000</v>
      </c>
      <c r="J116" s="31">
        <v>0</v>
      </c>
      <c r="K116" s="22">
        <v>0</v>
      </c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</row>
    <row r="117" spans="1:142" x14ac:dyDescent="0.35">
      <c r="A117" s="9">
        <v>1053616624</v>
      </c>
      <c r="B117" s="19">
        <v>4</v>
      </c>
      <c r="C117" s="9" t="str">
        <f>VLOOKUP(A117,'[1]terceros cto'!A$1:B$65536,2,0)</f>
        <v>OSORIO MORENO JULIAN ANDRES</v>
      </c>
      <c r="D117" s="20" t="str">
        <f>VLOOKUP(C117,'[1]terceros cto'!B$1:F$65536,5,0)</f>
        <v>anjuosmo1999@hotmail.com</v>
      </c>
      <c r="E117" s="21" t="s">
        <v>2252</v>
      </c>
      <c r="F117" s="9" t="str">
        <f>VLOOKUP(C117,'[1]terceros cto'!B$1:D$65536,3,0)</f>
        <v>Paipa</v>
      </c>
      <c r="G117" s="21">
        <v>15516</v>
      </c>
      <c r="H117" s="9">
        <v>212</v>
      </c>
      <c r="I117" s="28">
        <v>111740</v>
      </c>
      <c r="J117" s="29">
        <v>0</v>
      </c>
      <c r="K117" s="22">
        <v>0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</row>
    <row r="118" spans="1:142" x14ac:dyDescent="0.35">
      <c r="A118" s="9">
        <v>1055332151</v>
      </c>
      <c r="B118" s="19">
        <v>1</v>
      </c>
      <c r="C118" s="9" t="str">
        <f>VLOOKUP(A118,'[1]terceros cto'!A$1:B$65536,2,0)</f>
        <v>ROJAS FIGUEREDO CAMILO ERNESTO</v>
      </c>
      <c r="D118" s="20" t="str">
        <f>VLOOKUP(C118,'[1]terceros cto'!B$1:F$65536,5,0)</f>
        <v>ing.camilorojasf@gmail.com</v>
      </c>
      <c r="E118" s="21" t="s">
        <v>2252</v>
      </c>
      <c r="F118" s="9" t="str">
        <f>VLOOKUP(C118,'[1]terceros cto'!B$1:D$65536,3,0)</f>
        <v>CARRERA 7 N 7-68</v>
      </c>
      <c r="G118" s="21">
        <v>15516</v>
      </c>
      <c r="H118" s="9">
        <v>212</v>
      </c>
      <c r="I118" s="30">
        <v>270059</v>
      </c>
      <c r="J118" s="31">
        <v>0</v>
      </c>
      <c r="K118" s="22">
        <v>0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</row>
    <row r="119" spans="1:142" x14ac:dyDescent="0.35">
      <c r="A119" s="9">
        <v>1056572171</v>
      </c>
      <c r="B119" s="19">
        <v>1</v>
      </c>
      <c r="C119" s="9" t="str">
        <f>VLOOKUP(A119,'[1]terceros cto'!A$1:B$65536,2,0)</f>
        <v>CANO PULIDO ANDRES OSWALDO</v>
      </c>
      <c r="D119" s="20" t="str">
        <f>VLOOKUP(C119,'[1]terceros cto'!B$1:F$65536,5,0)</f>
        <v>joli911027@hotmail.com</v>
      </c>
      <c r="E119" s="21">
        <f>VLOOKUP(C119,'[1]terceros cto'!B$1:E$65536,4,0)</f>
        <v>3115349350</v>
      </c>
      <c r="F119" s="9" t="str">
        <f>VLOOKUP(C119,'[1]terceros cto'!B$1:D$65536,3,0)</f>
        <v>BOSIGAS NORTE SOTAQUIRA</v>
      </c>
      <c r="G119" s="21">
        <v>15516</v>
      </c>
      <c r="H119" s="9">
        <v>212</v>
      </c>
      <c r="I119" s="28">
        <v>12995739</v>
      </c>
      <c r="J119" s="29">
        <v>0</v>
      </c>
      <c r="K119" s="22">
        <v>0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</row>
    <row r="120" spans="1:142" x14ac:dyDescent="0.35">
      <c r="A120" s="9">
        <v>1056930944</v>
      </c>
      <c r="B120" s="19">
        <v>2</v>
      </c>
      <c r="C120" s="9" t="str">
        <f>VLOOKUP(A120,'[1]terceros cto'!A$1:B$65536,2,0)</f>
        <v>MARTINEZ IZARIZA EDWIN DARIO</v>
      </c>
      <c r="D120" s="20" t="str">
        <f>VLOOKUP(C120,'[1]terceros cto'!B$1:F$65536,5,0)</f>
        <v>edwinizariza@outlook.com</v>
      </c>
      <c r="E120" s="21" t="s">
        <v>2252</v>
      </c>
      <c r="F120" s="9" t="str">
        <f>VLOOKUP(C120,'[1]terceros cto'!B$1:D$65536,3,0)</f>
        <v>bogota</v>
      </c>
      <c r="G120" s="21">
        <v>15516</v>
      </c>
      <c r="H120" s="9">
        <v>212</v>
      </c>
      <c r="I120" s="30">
        <v>50000</v>
      </c>
      <c r="J120" s="31">
        <v>0</v>
      </c>
      <c r="K120" s="22">
        <v>0</v>
      </c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</row>
    <row r="121" spans="1:142" x14ac:dyDescent="0.35">
      <c r="A121" s="9">
        <v>1057588107</v>
      </c>
      <c r="B121" s="19">
        <v>1</v>
      </c>
      <c r="C121" s="9" t="str">
        <f>VLOOKUP(A121,'[1]terceros cto'!A$1:B$65536,2,0)</f>
        <v>ESPINEL LOPEZ JULIAN GERARDO</v>
      </c>
      <c r="D121" s="20" t="str">
        <f>VLOOKUP(C121,'[1]terceros cto'!B$1:F$65536,5,0)</f>
        <v>julianespinel07@gmail.com</v>
      </c>
      <c r="E121" s="21" t="s">
        <v>2252</v>
      </c>
      <c r="F121" s="9" t="str">
        <f>VLOOKUP(C121,'[1]terceros cto'!B$1:D$65536,3,0)</f>
        <v>Paipa</v>
      </c>
      <c r="G121" s="21">
        <v>15516</v>
      </c>
      <c r="H121" s="9">
        <v>212</v>
      </c>
      <c r="I121" s="28">
        <v>100000</v>
      </c>
      <c r="J121" s="29">
        <v>0</v>
      </c>
      <c r="K121" s="22">
        <v>0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</row>
    <row r="122" spans="1:142" x14ac:dyDescent="0.35">
      <c r="A122" s="9">
        <v>1057590867</v>
      </c>
      <c r="B122" s="19">
        <v>7</v>
      </c>
      <c r="C122" s="9" t="str">
        <f>VLOOKUP(A122,'[1]terceros cto'!A$1:B$65536,2,0)</f>
        <v>PEDRAZA ACEVEDO FELIPE ANDRES</v>
      </c>
      <c r="D122" s="20" t="str">
        <f>VLOOKUP(C122,'[1]terceros cto'!B$1:F$65536,5,0)</f>
        <v>felipea-pedraza@hotmail.com</v>
      </c>
      <c r="E122" s="21">
        <f>VLOOKUP(C122,'[1]terceros cto'!B$1:E$65536,4,0)</f>
        <v>3124296761</v>
      </c>
      <c r="F122" s="9" t="str">
        <f>VLOOKUP(C122,'[1]terceros cto'!B$1:D$65536,3,0)</f>
        <v>VEREDA PRIMERA CHORRERA</v>
      </c>
      <c r="G122" s="21">
        <v>15516</v>
      </c>
      <c r="H122" s="9">
        <v>212</v>
      </c>
      <c r="I122" s="30">
        <v>13517825</v>
      </c>
      <c r="J122" s="31">
        <v>0</v>
      </c>
      <c r="K122" s="22">
        <v>0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</row>
    <row r="123" spans="1:142" x14ac:dyDescent="0.35">
      <c r="A123" s="9">
        <v>1057601526</v>
      </c>
      <c r="B123" s="19">
        <v>1</v>
      </c>
      <c r="C123" s="9" t="str">
        <f>VLOOKUP(A123,'[1]terceros cto'!A$1:B$65536,2,0)</f>
        <v>BENAVIDES RUIZ CRISTIAN JEFERSON</v>
      </c>
      <c r="D123" s="20" t="str">
        <f>VLOOKUP(C123,'[1]terceros cto'!B$1:F$65536,5,0)</f>
        <v>cristianbenavides.05@outlook.com</v>
      </c>
      <c r="E123" s="21" t="s">
        <v>2252</v>
      </c>
      <c r="F123" s="9" t="str">
        <f>VLOOKUP(C123,'[1]terceros cto'!B$1:D$65536,3,0)</f>
        <v>Paipa</v>
      </c>
      <c r="G123" s="21">
        <v>15516</v>
      </c>
      <c r="H123" s="9">
        <v>212</v>
      </c>
      <c r="I123" s="28">
        <v>90000</v>
      </c>
      <c r="J123" s="29">
        <v>0</v>
      </c>
      <c r="K123" s="22">
        <v>0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</row>
    <row r="124" spans="1:142" x14ac:dyDescent="0.35">
      <c r="A124" s="9">
        <v>1069728209</v>
      </c>
      <c r="B124" s="19">
        <v>1</v>
      </c>
      <c r="C124" s="9" t="str">
        <f>VLOOKUP(A124,'[1]terceros cto'!A$1:B$65536,2,0)</f>
        <v>PRIETO MARTINEZ ALEJANDRA MARIA</v>
      </c>
      <c r="D124" s="20" t="str">
        <f>VLOOKUP(C124,'[1]terceros cto'!B$1:F$65536,5,0)</f>
        <v>gerencia@sacgestionambiental.com</v>
      </c>
      <c r="E124" s="21" t="s">
        <v>2252</v>
      </c>
      <c r="F124" s="9" t="str">
        <f>VLOOKUP(C124,'[1]terceros cto'!B$1:D$65536,3,0)</f>
        <v>Carrera 5c # 17 - 86</v>
      </c>
      <c r="G124" s="21">
        <v>15516</v>
      </c>
      <c r="H124" s="9">
        <v>212</v>
      </c>
      <c r="I124" s="30">
        <v>100009</v>
      </c>
      <c r="J124" s="31">
        <v>0</v>
      </c>
      <c r="K124" s="22">
        <v>0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</row>
    <row r="125" spans="1:142" x14ac:dyDescent="0.35">
      <c r="A125" s="9">
        <v>1072648947</v>
      </c>
      <c r="B125" s="19">
        <v>4</v>
      </c>
      <c r="C125" s="9" t="str">
        <f>VLOOKUP(A125,'[1]terceros cto'!A$1:B$65536,2,0)</f>
        <v>CAMARGO BOHADA CAMILO FERNANDO</v>
      </c>
      <c r="D125" s="20" t="str">
        <f>VLOOKUP(C125,'[1]terceros cto'!B$1:F$65536,5,0)</f>
        <v>mv.camilocamargo@gmail.com</v>
      </c>
      <c r="E125" s="21" t="s">
        <v>2252</v>
      </c>
      <c r="F125" s="9" t="str">
        <f>VLOOKUP(C125,'[1]terceros cto'!B$1:D$65536,3,0)</f>
        <v>CALLE 5 # 8-42 INT 3 APTO 211</v>
      </c>
      <c r="G125" s="21">
        <v>15516</v>
      </c>
      <c r="H125" s="9">
        <v>212</v>
      </c>
      <c r="I125" s="28">
        <v>170006</v>
      </c>
      <c r="J125" s="29">
        <v>0</v>
      </c>
      <c r="K125" s="22">
        <v>0</v>
      </c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</row>
    <row r="126" spans="1:142" x14ac:dyDescent="0.35">
      <c r="A126" s="9">
        <v>1075671361</v>
      </c>
      <c r="B126" s="19">
        <v>6</v>
      </c>
      <c r="C126" s="9" t="str">
        <f>VLOOKUP(A126,'[1]terceros cto'!A$1:B$65536,2,0)</f>
        <v>SALAZAR  MENDIVELSO JONATAN DAVID</v>
      </c>
      <c r="D126" s="20" t="str">
        <f>VLOOKUP(C126,'[1]terceros cto'!B$1:F$65536,5,0)</f>
        <v>salazar.jondavid18@gmail.com</v>
      </c>
      <c r="E126" s="21" t="s">
        <v>2252</v>
      </c>
      <c r="F126" s="9" t="str">
        <f>VLOOKUP(C126,'[1]terceros cto'!B$1:D$65536,3,0)</f>
        <v>paipa</v>
      </c>
      <c r="G126" s="21">
        <v>15516</v>
      </c>
      <c r="H126" s="9">
        <v>212</v>
      </c>
      <c r="I126" s="30">
        <v>100000</v>
      </c>
      <c r="J126" s="31">
        <v>0</v>
      </c>
      <c r="K126" s="22">
        <v>0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</row>
    <row r="127" spans="1:142" x14ac:dyDescent="0.35">
      <c r="A127" s="9">
        <v>1076649582</v>
      </c>
      <c r="B127" s="19">
        <v>9</v>
      </c>
      <c r="C127" s="9" t="str">
        <f>VLOOKUP(A127,'[1]terceros cto'!A$1:B$65536,2,0)</f>
        <v>FORERO OLAYA CONSTANZA YASMIN</v>
      </c>
      <c r="D127" s="20" t="str">
        <f>VLOOKUP(C127,'[1]terceros cto'!B$1:F$65536,5,0)</f>
        <v>3constanza33@gmail.com</v>
      </c>
      <c r="E127" s="21" t="s">
        <v>2252</v>
      </c>
      <c r="F127" s="9" t="str">
        <f>VLOOKUP(C127,'[1]terceros cto'!B$1:D$65536,3,0)</f>
        <v>VRD SAN NICOLAS</v>
      </c>
      <c r="G127" s="21">
        <v>15516</v>
      </c>
      <c r="H127" s="9">
        <v>212</v>
      </c>
      <c r="I127" s="28">
        <v>4176595</v>
      </c>
      <c r="J127" s="29">
        <v>0</v>
      </c>
      <c r="K127" s="22">
        <v>0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</row>
    <row r="128" spans="1:142" x14ac:dyDescent="0.35">
      <c r="A128" s="9">
        <v>1094272103</v>
      </c>
      <c r="B128" s="19">
        <v>1</v>
      </c>
      <c r="C128" s="9" t="str">
        <f>VLOOKUP(A128,'[1]terceros cto'!A$1:B$65536,2,0)</f>
        <v>CARVAJAL JULIO ANDRES</v>
      </c>
      <c r="D128" s="20" t="str">
        <f>VLOOKUP(C128,'[1]terceros cto'!B$1:F$65536,5,0)</f>
        <v>quesorico.nobsa@hotmail.com</v>
      </c>
      <c r="E128" s="21" t="s">
        <v>2252</v>
      </c>
      <c r="F128" s="9" t="str">
        <f>VLOOKUP(C128,'[1]terceros cto'!B$1:D$65536,3,0)</f>
        <v>PAIPA</v>
      </c>
      <c r="G128" s="21">
        <v>15516</v>
      </c>
      <c r="H128" s="9">
        <v>212</v>
      </c>
      <c r="I128" s="30">
        <v>150000</v>
      </c>
      <c r="J128" s="31">
        <v>0</v>
      </c>
      <c r="K128" s="22">
        <v>0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</row>
    <row r="129" spans="1:142" x14ac:dyDescent="0.35">
      <c r="A129" s="9">
        <v>1094574728</v>
      </c>
      <c r="B129" s="19">
        <v>9</v>
      </c>
      <c r="C129" s="9" t="str">
        <f>VLOOKUP(A129,'[1]terceros cto'!A$1:B$65536,2,0)</f>
        <v>ORTIZ MOSQUERA YENICA LILIANA</v>
      </c>
      <c r="D129" s="20" t="str">
        <f>VLOOKUP(C129,'[1]terceros cto'!B$1:F$65536,5,0)</f>
        <v>sointel@live.com</v>
      </c>
      <c r="E129" s="21" t="s">
        <v>2252</v>
      </c>
      <c r="F129" s="9" t="str">
        <f>VLOOKUP(C129,'[1]terceros cto'!B$1:D$65536,3,0)</f>
        <v>Paipa</v>
      </c>
      <c r="G129" s="21">
        <v>15516</v>
      </c>
      <c r="H129" s="9">
        <v>212</v>
      </c>
      <c r="I129" s="28">
        <v>163001</v>
      </c>
      <c r="J129" s="29">
        <v>0</v>
      </c>
      <c r="K129" s="22">
        <v>0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</row>
    <row r="130" spans="1:142" x14ac:dyDescent="0.35">
      <c r="A130" s="9">
        <v>1098646020</v>
      </c>
      <c r="B130" s="19">
        <v>8</v>
      </c>
      <c r="C130" s="9" t="str">
        <f>VLOOKUP(A130,'[1]terceros cto'!A$1:B$65536,2,0)</f>
        <v>PINILLA MONROY DIANA PAOLA</v>
      </c>
      <c r="D130" s="20" t="str">
        <f>VLOOKUP(C130,'[1]terceros cto'!B$1:F$65536,5,0)</f>
        <v>arq.dianapinillam@gmail.com</v>
      </c>
      <c r="E130" s="21" t="s">
        <v>2252</v>
      </c>
      <c r="F130" s="9" t="str">
        <f>VLOOKUP(C130,'[1]terceros cto'!B$1:D$65536,3,0)</f>
        <v>Paipa</v>
      </c>
      <c r="G130" s="21">
        <v>15516</v>
      </c>
      <c r="H130" s="9">
        <v>212</v>
      </c>
      <c r="I130" s="30">
        <v>75000</v>
      </c>
      <c r="J130" s="31">
        <v>0</v>
      </c>
      <c r="K130" s="22">
        <v>0</v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</row>
    <row r="131" spans="1:142" x14ac:dyDescent="0.35">
      <c r="A131" s="9">
        <v>1109388167</v>
      </c>
      <c r="B131" s="19">
        <v>3</v>
      </c>
      <c r="C131" s="9" t="str">
        <f>VLOOKUP(A131,'[1]terceros cto'!A$1:B$65536,2,0)</f>
        <v>ACERO SANCHEZ MEISSON</v>
      </c>
      <c r="D131" s="20" t="str">
        <f>VLOOKUP(C131,'[1]terceros cto'!B$1:F$65536,5,0)</f>
        <v>meissonacero@gmail.com</v>
      </c>
      <c r="E131" s="21" t="s">
        <v>2252</v>
      </c>
      <c r="F131" s="9" t="str">
        <f>VLOOKUP(C131,'[1]terceros cto'!B$1:D$65536,3,0)</f>
        <v>PAIPA</v>
      </c>
      <c r="G131" s="21">
        <v>15516</v>
      </c>
      <c r="H131" s="9">
        <v>212</v>
      </c>
      <c r="I131" s="28">
        <v>134188</v>
      </c>
      <c r="J131" s="29">
        <v>0</v>
      </c>
      <c r="K131" s="22">
        <v>0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</row>
    <row r="132" spans="1:142" x14ac:dyDescent="0.35">
      <c r="A132" s="9">
        <v>1115911963</v>
      </c>
      <c r="B132" s="19">
        <v>5</v>
      </c>
      <c r="C132" s="9" t="str">
        <f>VLOOKUP(A132,'[1]terceros cto'!A$1:B$65536,2,0)</f>
        <v>PIRACON CELY EDWIN ALEXANDER</v>
      </c>
      <c r="D132" s="20" t="str">
        <f>VLOOKUP(C132,'[1]terceros cto'!B$1:F$65536,5,0)</f>
        <v>edwinpiracon17@hotmail.com</v>
      </c>
      <c r="E132" s="21" t="s">
        <v>2252</v>
      </c>
      <c r="F132" s="9" t="str">
        <f>VLOOKUP(C132,'[1]terceros cto'!B$1:D$65536,3,0)</f>
        <v>CALLE 20 15 34</v>
      </c>
      <c r="G132" s="21">
        <v>15516</v>
      </c>
      <c r="H132" s="9">
        <v>212</v>
      </c>
      <c r="I132" s="30">
        <v>3783353</v>
      </c>
      <c r="J132" s="31">
        <v>0</v>
      </c>
      <c r="K132" s="22">
        <v>0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</row>
    <row r="133" spans="1:142" x14ac:dyDescent="0.35">
      <c r="A133" s="9">
        <v>1116862198</v>
      </c>
      <c r="B133" s="19">
        <v>1</v>
      </c>
      <c r="C133" s="9" t="str">
        <f>VLOOKUP(A133,'[1]terceros cto'!A$1:B$65536,2,0)</f>
        <v>DUVÁN DUVAN TUMAY CARRILLO</v>
      </c>
      <c r="D133" s="20" t="str">
        <f>VLOOKUP(C133,'[1]terceros cto'!B$1:F$65536,5,0)</f>
        <v>duvantumay0515@gmail.com</v>
      </c>
      <c r="E133" s="21" t="s">
        <v>2252</v>
      </c>
      <c r="F133" s="9" t="str">
        <f>VLOOKUP(C133,'[1]terceros cto'!B$1:D$65536,3,0)</f>
        <v>CRA10 CLL9 ESQUINA BARRIO SANTADER</v>
      </c>
      <c r="G133" s="21">
        <v>15516</v>
      </c>
      <c r="H133" s="9">
        <v>212</v>
      </c>
      <c r="I133" s="28">
        <v>110519</v>
      </c>
      <c r="J133" s="29">
        <v>0</v>
      </c>
      <c r="K133" s="22">
        <v>0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</row>
    <row r="134" spans="1:142" x14ac:dyDescent="0.35">
      <c r="A134" s="9">
        <v>11185281</v>
      </c>
      <c r="B134" s="19">
        <v>7</v>
      </c>
      <c r="C134" s="9" t="str">
        <f>VLOOKUP(A134,'[1]terceros cto'!A$1:B$65536,2,0)</f>
        <v>FLORIDO GAYON EDUARDO ANTONIO</v>
      </c>
      <c r="D134" s="20" t="str">
        <f>VLOOKUP(C134,'[1]terceros cto'!B$1:F$65536,5,0)</f>
        <v>eduflo1020@gmail.com</v>
      </c>
      <c r="E134" s="21" t="s">
        <v>2252</v>
      </c>
      <c r="F134" s="9" t="str">
        <f>VLOOKUP(C134,'[1]terceros cto'!B$1:D$65536,3,0)</f>
        <v>PAIPA</v>
      </c>
      <c r="G134" s="21">
        <v>15516</v>
      </c>
      <c r="H134" s="9">
        <v>212</v>
      </c>
      <c r="I134" s="30">
        <v>170016</v>
      </c>
      <c r="J134" s="31">
        <v>0</v>
      </c>
      <c r="K134" s="22">
        <v>0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</row>
    <row r="135" spans="1:142" x14ac:dyDescent="0.35">
      <c r="A135" s="9">
        <v>11229947</v>
      </c>
      <c r="B135" s="19">
        <v>4</v>
      </c>
      <c r="C135" s="9" t="str">
        <f>VLOOKUP(A135,'[1]terceros cto'!A$1:B$65536,2,0)</f>
        <v>TERREROS PARDO OSCAR JAVIER</v>
      </c>
      <c r="D135" s="20" t="str">
        <f>VLOOKUP(C135,'[1]terceros cto'!B$1:F$65536,5,0)</f>
        <v>oscar.terreros@gmail.com</v>
      </c>
      <c r="E135" s="21" t="s">
        <v>2252</v>
      </c>
      <c r="F135" s="9" t="str">
        <f>VLOOKUP(C135,'[1]terceros cto'!B$1:D$65536,3,0)</f>
        <v>Paipa</v>
      </c>
      <c r="G135" s="21">
        <v>15516</v>
      </c>
      <c r="H135" s="9">
        <v>212</v>
      </c>
      <c r="I135" s="28">
        <v>156517</v>
      </c>
      <c r="J135" s="29">
        <v>0</v>
      </c>
      <c r="K135" s="22">
        <v>0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</row>
    <row r="136" spans="1:142" x14ac:dyDescent="0.35">
      <c r="A136" s="9">
        <v>11233458</v>
      </c>
      <c r="B136" s="19">
        <v>1</v>
      </c>
      <c r="C136" s="9" t="str">
        <f>VLOOKUP(A136,'[1]terceros cto'!A$1:B$65536,2,0)</f>
        <v>RINCÓN PARDO JAIME DANILO</v>
      </c>
      <c r="D136" s="20" t="str">
        <f>VLOOKUP(C136,'[1]terceros cto'!B$1:F$65536,5,0)</f>
        <v>rinconjaime04@gmail.com</v>
      </c>
      <c r="E136" s="21" t="s">
        <v>2252</v>
      </c>
      <c r="F136" s="9" t="str">
        <f>VLOOKUP(C136,'[1]terceros cto'!B$1:D$65536,3,0)</f>
        <v>Paipa</v>
      </c>
      <c r="G136" s="21">
        <v>15516</v>
      </c>
      <c r="H136" s="9">
        <v>212</v>
      </c>
      <c r="I136" s="30">
        <v>60007</v>
      </c>
      <c r="J136" s="31">
        <v>0</v>
      </c>
      <c r="K136" s="22">
        <v>0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x14ac:dyDescent="0.35">
      <c r="A137" s="9">
        <v>11252585</v>
      </c>
      <c r="B137" s="19">
        <v>8</v>
      </c>
      <c r="C137" s="9" t="str">
        <f>VLOOKUP(A137,'[1]terceros cto'!A$1:B$65536,2,0)</f>
        <v>TORRES  ORLANDO RAMIREZ</v>
      </c>
      <c r="D137" s="20" t="str">
        <f>VLOOKUP(C137,'[1]terceros cto'!B$1:F$65536,5,0)</f>
        <v>samuel.el.lo.0426@gmail.com</v>
      </c>
      <c r="E137" s="21" t="s">
        <v>2252</v>
      </c>
      <c r="F137" s="9" t="str">
        <f>VLOOKUP(C137,'[1]terceros cto'!B$1:D$65536,3,0)</f>
        <v>Paipa</v>
      </c>
      <c r="G137" s="21">
        <v>15516</v>
      </c>
      <c r="H137" s="9">
        <v>212</v>
      </c>
      <c r="I137" s="28">
        <v>50000</v>
      </c>
      <c r="J137" s="29">
        <v>0</v>
      </c>
      <c r="K137" s="22">
        <v>0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x14ac:dyDescent="0.35">
      <c r="A138" s="9">
        <v>1128627809</v>
      </c>
      <c r="B138" s="19">
        <v>9</v>
      </c>
      <c r="C138" s="9" t="str">
        <f>VLOOKUP(A138,'[1]terceros cto'!A$1:B$65536,2,0)</f>
        <v>JIMENEZ ÁLVAREZ ESTHER MARIA</v>
      </c>
      <c r="D138" s="20" t="str">
        <f>VLOOKUP(C138,'[1]terceros cto'!B$1:F$65536,5,0)</f>
        <v>esthermariajimenezalvarez@gmail.com</v>
      </c>
      <c r="E138" s="21" t="s">
        <v>2252</v>
      </c>
      <c r="F138" s="9" t="str">
        <f>VLOOKUP(C138,'[1]terceros cto'!B$1:D$65536,3,0)</f>
        <v>Paipa</v>
      </c>
      <c r="G138" s="21">
        <v>15516</v>
      </c>
      <c r="H138" s="9">
        <v>212</v>
      </c>
      <c r="I138" s="30">
        <v>38897</v>
      </c>
      <c r="J138" s="31">
        <v>0</v>
      </c>
      <c r="K138" s="22">
        <v>0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</row>
    <row r="139" spans="1:142" x14ac:dyDescent="0.35">
      <c r="A139" s="9">
        <v>11324099</v>
      </c>
      <c r="B139" s="19">
        <v>1</v>
      </c>
      <c r="C139" s="9" t="str">
        <f>VLOOKUP(A139,'[1]terceros cto'!A$1:B$65536,2,0)</f>
        <v>ROJAS KLEYBER NORBERTO ROJAS</v>
      </c>
      <c r="D139" s="20" t="str">
        <f>VLOOKUP(C139,'[1]terceros cto'!B$1:F$65536,5,0)</f>
        <v>mvkleyber@gmail.com</v>
      </c>
      <c r="E139" s="21" t="s">
        <v>2252</v>
      </c>
      <c r="F139" s="9" t="str">
        <f>VLOOKUP(C139,'[1]terceros cto'!B$1:D$65536,3,0)</f>
        <v>CARRERA 18 NJ 20 -34</v>
      </c>
      <c r="G139" s="21">
        <v>15516</v>
      </c>
      <c r="H139" s="9">
        <v>212</v>
      </c>
      <c r="I139" s="28">
        <v>18838109</v>
      </c>
      <c r="J139" s="29">
        <v>0</v>
      </c>
      <c r="K139" s="22">
        <v>0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</row>
    <row r="140" spans="1:142" x14ac:dyDescent="0.35">
      <c r="A140" s="9">
        <v>11344990</v>
      </c>
      <c r="B140" s="19">
        <v>3</v>
      </c>
      <c r="C140" s="9" t="str">
        <f>VLOOKUP(A140,'[1]terceros cto'!A$1:B$65536,2,0)</f>
        <v>SILVA GOMEZ JORGE  ARMANDO</v>
      </c>
      <c r="D140" s="20" t="str">
        <f>VLOOKUP(C140,'[1]terceros cto'!B$1:F$65536,5,0)</f>
        <v>turistica@outlook.com</v>
      </c>
      <c r="E140" s="21" t="s">
        <v>2252</v>
      </c>
      <c r="F140" s="9" t="str">
        <f>VLOOKUP(C140,'[1]terceros cto'!B$1:D$65536,3,0)</f>
        <v>paipa</v>
      </c>
      <c r="G140" s="21">
        <v>15516</v>
      </c>
      <c r="H140" s="9">
        <v>212</v>
      </c>
      <c r="I140" s="30">
        <v>50000</v>
      </c>
      <c r="J140" s="31">
        <v>0</v>
      </c>
      <c r="K140" s="22">
        <v>0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</row>
    <row r="141" spans="1:142" x14ac:dyDescent="0.35">
      <c r="A141" s="9">
        <v>1140903292</v>
      </c>
      <c r="B141" s="19">
        <v>9</v>
      </c>
      <c r="C141" s="9" t="str">
        <f>VLOOKUP(A141,'[1]terceros cto'!A$1:B$65536,2,0)</f>
        <v>MARTINEZ RAMIREZ BLEIDY XIMENA</v>
      </c>
      <c r="D141" s="20" t="str">
        <f>VLOOKUP(C141,'[1]terceros cto'!B$1:F$65536,5,0)</f>
        <v>ximenamr2708@gmail.com</v>
      </c>
      <c r="E141" s="21" t="s">
        <v>2252</v>
      </c>
      <c r="F141" s="9" t="str">
        <f>VLOOKUP(C141,'[1]terceros cto'!B$1:D$65536,3,0)</f>
        <v>Paipa</v>
      </c>
      <c r="G141" s="21">
        <v>15516</v>
      </c>
      <c r="H141" s="9">
        <v>212</v>
      </c>
      <c r="I141" s="28">
        <v>31740</v>
      </c>
      <c r="J141" s="29">
        <v>0</v>
      </c>
      <c r="K141" s="22">
        <v>0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</row>
    <row r="142" spans="1:142" x14ac:dyDescent="0.35">
      <c r="A142" s="9">
        <v>13495007</v>
      </c>
      <c r="B142" s="19">
        <v>2</v>
      </c>
      <c r="C142" s="9" t="str">
        <f>VLOOKUP(A142,'[1]terceros cto'!A$1:B$65536,2,0)</f>
        <v>ACUÑA  RODOLFO MORANTES</v>
      </c>
      <c r="D142" s="20" t="str">
        <f>VLOOKUP(C142,'[1]terceros cto'!B$1:F$65536,5,0)</f>
        <v>morantesrodolfo2@gmail.com</v>
      </c>
      <c r="E142" s="21" t="s">
        <v>2252</v>
      </c>
      <c r="F142" s="9" t="str">
        <f>VLOOKUP(C142,'[1]terceros cto'!B$1:D$65536,3,0)</f>
        <v>Paipa</v>
      </c>
      <c r="G142" s="21">
        <v>15516</v>
      </c>
      <c r="H142" s="9">
        <v>212</v>
      </c>
      <c r="I142" s="30">
        <v>137959</v>
      </c>
      <c r="J142" s="31">
        <v>0</v>
      </c>
      <c r="K142" s="22">
        <v>0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x14ac:dyDescent="0.35">
      <c r="A143" s="9">
        <v>13906499</v>
      </c>
      <c r="B143" s="19">
        <v>8</v>
      </c>
      <c r="C143" s="9" t="str">
        <f>VLOOKUP(A143,'[1]terceros cto'!A$1:B$65536,2,0)</f>
        <v>PEÑA  CLEMENTE RAMIREZ</v>
      </c>
      <c r="D143" s="20" t="str">
        <f>VLOOKUP(C143,'[1]terceros cto'!B$1:F$65536,5,0)</f>
        <v>ramirezclemente@gmail.com</v>
      </c>
      <c r="E143" s="21" t="s">
        <v>2252</v>
      </c>
      <c r="F143" s="9" t="str">
        <f>VLOOKUP(C143,'[1]terceros cto'!B$1:D$65536,3,0)</f>
        <v>Paipa</v>
      </c>
      <c r="G143" s="21">
        <v>15516</v>
      </c>
      <c r="H143" s="9">
        <v>212</v>
      </c>
      <c r="I143" s="28">
        <v>50000</v>
      </c>
      <c r="J143" s="29">
        <v>0</v>
      </c>
      <c r="K143" s="22">
        <v>0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x14ac:dyDescent="0.35">
      <c r="A144" s="9">
        <v>13930108</v>
      </c>
      <c r="B144" s="19">
        <v>4</v>
      </c>
      <c r="C144" s="9" t="str">
        <f>VLOOKUP(A144,'[1]terceros cto'!A$1:B$65536,2,0)</f>
        <v>TRUJILLO RIAÑO CRISTIAN ALEXI</v>
      </c>
      <c r="D144" s="20" t="str">
        <f>VLOOKUP(C144,'[1]terceros cto'!B$1:F$65536,5,0)</f>
        <v>trujillo0621@yahoo.es</v>
      </c>
      <c r="E144" s="21" t="s">
        <v>2252</v>
      </c>
      <c r="F144" s="9" t="str">
        <f>VLOOKUP(C144,'[1]terceros cto'!B$1:D$65536,3,0)</f>
        <v>Paipa</v>
      </c>
      <c r="G144" s="21">
        <v>15516</v>
      </c>
      <c r="H144" s="9">
        <v>212</v>
      </c>
      <c r="I144" s="30">
        <v>50000</v>
      </c>
      <c r="J144" s="31">
        <v>0</v>
      </c>
      <c r="K144" s="22">
        <v>0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</row>
    <row r="145" spans="1:142" x14ac:dyDescent="0.35">
      <c r="A145" s="9">
        <v>13951151</v>
      </c>
      <c r="B145" s="19">
        <v>1</v>
      </c>
      <c r="C145" s="9" t="str">
        <f>VLOOKUP(A145,'[1]terceros cto'!A$1:B$65536,2,0)</f>
        <v>MARÍN  HERNANDO MUÑOZ</v>
      </c>
      <c r="D145" s="20" t="str">
        <f>VLOOKUP(C145,'[1]terceros cto'!B$1:F$65536,5,0)</f>
        <v>hernandomunozm@hotmail.com</v>
      </c>
      <c r="E145" s="21" t="s">
        <v>2252</v>
      </c>
      <c r="F145" s="9" t="str">
        <f>VLOOKUP(C145,'[1]terceros cto'!B$1:D$65536,3,0)</f>
        <v>Paipa</v>
      </c>
      <c r="G145" s="21">
        <v>15516</v>
      </c>
      <c r="H145" s="9">
        <v>212</v>
      </c>
      <c r="I145" s="28">
        <v>240145</v>
      </c>
      <c r="J145" s="29">
        <v>0</v>
      </c>
      <c r="K145" s="22">
        <v>0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</row>
    <row r="146" spans="1:142" x14ac:dyDescent="0.35">
      <c r="A146" s="9">
        <v>15886578</v>
      </c>
      <c r="B146" s="19">
        <v>1</v>
      </c>
      <c r="C146" s="9" t="str">
        <f>VLOOKUP(A146,'[1]terceros cto'!A$1:B$65536,2,0)</f>
        <v>NIÑO OLEGARIO RIVERA</v>
      </c>
      <c r="D146" s="20" t="str">
        <f>VLOOKUP(C146,'[1]terceros cto'!B$1:F$65536,5,0)</f>
        <v>oliesadventure.co@gmail.com</v>
      </c>
      <c r="E146" s="21" t="s">
        <v>2252</v>
      </c>
      <c r="F146" s="9" t="str">
        <f>VLOOKUP(C146,'[1]terceros cto'!B$1:D$65536,3,0)</f>
        <v>VEREDA LLANO GRANDE ALTO CASA 4</v>
      </c>
      <c r="G146" s="21">
        <v>15516</v>
      </c>
      <c r="H146" s="9">
        <v>212</v>
      </c>
      <c r="I146" s="30">
        <v>3450617</v>
      </c>
      <c r="J146" s="31">
        <v>0</v>
      </c>
      <c r="K146" s="22">
        <v>0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</row>
    <row r="147" spans="1:142" x14ac:dyDescent="0.35">
      <c r="A147" s="9">
        <v>19318882</v>
      </c>
      <c r="B147" s="19">
        <v>5</v>
      </c>
      <c r="C147" s="9" t="str">
        <f>VLOOKUP(A147,'[1]terceros cto'!A$1:B$65536,2,0)</f>
        <v>MARTINEZ CAMARGO JORGE ELIECER</v>
      </c>
      <c r="D147" s="20" t="str">
        <f>VLOOKUP(C147,'[1]terceros cto'!B$1:F$65536,5,0)</f>
        <v>jorgemartinez@hotmail.com</v>
      </c>
      <c r="E147" s="21">
        <f>VLOOKUP(C147,'[1]terceros cto'!B$1:E$65536,4,0)</f>
        <v>7850137</v>
      </c>
      <c r="F147" s="9" t="str">
        <f>VLOOKUP(C147,'[1]terceros cto'!B$1:D$65536,3,0)</f>
        <v>CALLE 20 25-31</v>
      </c>
      <c r="G147" s="21">
        <v>15516</v>
      </c>
      <c r="H147" s="9">
        <v>212</v>
      </c>
      <c r="I147" s="28">
        <v>3200112</v>
      </c>
      <c r="J147" s="29">
        <v>0</v>
      </c>
      <c r="K147" s="22">
        <v>0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</row>
    <row r="148" spans="1:142" x14ac:dyDescent="0.35">
      <c r="A148" s="9">
        <v>19447317</v>
      </c>
      <c r="B148" s="19">
        <v>8</v>
      </c>
      <c r="C148" s="9" t="str">
        <f>VLOOKUP(A148,'[1]terceros cto'!A$1:B$65536,2,0)</f>
        <v>SOSA  GILBERTO GONZALEZ</v>
      </c>
      <c r="D148" s="20" t="str">
        <f>VLOOKUP(C148,'[1]terceros cto'!B$1:F$65536,5,0)</f>
        <v>imgtunja@hotmail.com</v>
      </c>
      <c r="E148" s="21" t="s">
        <v>2252</v>
      </c>
      <c r="F148" s="9" t="str">
        <f>VLOOKUP(C148,'[1]terceros cto'!B$1:D$65536,3,0)</f>
        <v>Paipa</v>
      </c>
      <c r="G148" s="21">
        <v>15516</v>
      </c>
      <c r="H148" s="9">
        <v>212</v>
      </c>
      <c r="I148" s="30">
        <v>135197</v>
      </c>
      <c r="J148" s="31">
        <v>0</v>
      </c>
      <c r="K148" s="22">
        <v>0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</row>
    <row r="149" spans="1:142" x14ac:dyDescent="0.35">
      <c r="A149" s="9">
        <v>19476433</v>
      </c>
      <c r="B149" s="19">
        <v>8</v>
      </c>
      <c r="C149" s="9" t="str">
        <f>VLOOKUP(A149,'[1]terceros cto'!A$1:B$65536,2,0)</f>
        <v>MONROY  DIEGO PACHECO</v>
      </c>
      <c r="D149" s="20" t="str">
        <f>VLOOKUP(C149,'[1]terceros cto'!B$1:F$65536,5,0)</f>
        <v>diegopachecomonroy@gmail.com</v>
      </c>
      <c r="E149" s="21" t="s">
        <v>2252</v>
      </c>
      <c r="F149" s="9" t="str">
        <f>VLOOKUP(C149,'[1]terceros cto'!B$1:D$65536,3,0)</f>
        <v>Paipa</v>
      </c>
      <c r="G149" s="21">
        <v>15516</v>
      </c>
      <c r="H149" s="9">
        <v>212</v>
      </c>
      <c r="I149" s="28">
        <v>120009</v>
      </c>
      <c r="J149" s="29">
        <v>0</v>
      </c>
      <c r="K149" s="22">
        <v>0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</row>
    <row r="150" spans="1:142" x14ac:dyDescent="0.35">
      <c r="A150" s="9">
        <v>20064874</v>
      </c>
      <c r="B150" s="19">
        <v>8</v>
      </c>
      <c r="C150" s="9" t="str">
        <f>VLOOKUP(A150,'[1]terceros cto'!A$1:B$65536,2,0)</f>
        <v>LÓPEZ  DE VILLAMIL HILDA DEL CARMEN</v>
      </c>
      <c r="D150" s="20" t="str">
        <f>VLOOKUP(C150,'[1]terceros cto'!B$1:F$65536,5,0)</f>
        <v>lizvillamil77@hotmail.com</v>
      </c>
      <c r="E150" s="21" t="s">
        <v>2252</v>
      </c>
      <c r="F150" s="9" t="str">
        <f>VLOOKUP(C150,'[1]terceros cto'!B$1:D$65536,3,0)</f>
        <v>Paipa</v>
      </c>
      <c r="G150" s="21">
        <v>15516</v>
      </c>
      <c r="H150" s="9">
        <v>212</v>
      </c>
      <c r="I150" s="30">
        <v>60000</v>
      </c>
      <c r="J150" s="31">
        <v>0</v>
      </c>
      <c r="K150" s="22">
        <v>0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</row>
    <row r="151" spans="1:142" s="23" customFormat="1" x14ac:dyDescent="0.35">
      <c r="A151" s="23">
        <v>222222222</v>
      </c>
      <c r="B151" s="19">
        <v>7</v>
      </c>
      <c r="C151" s="9" t="s">
        <v>2257</v>
      </c>
      <c r="D151" s="20" t="s">
        <v>2252</v>
      </c>
      <c r="E151" s="21" t="s">
        <v>2252</v>
      </c>
      <c r="F151" s="9" t="s">
        <v>2254</v>
      </c>
      <c r="G151" s="21" t="e">
        <f>VLOOKUP(H151,[1]mc!B$1:C$65536,2,0)</f>
        <v>#N/A</v>
      </c>
      <c r="H151" s="9">
        <v>212</v>
      </c>
      <c r="I151" s="32">
        <v>4198526003</v>
      </c>
      <c r="J151" s="33">
        <v>3747145</v>
      </c>
      <c r="K151" s="26">
        <v>3747145</v>
      </c>
    </row>
    <row r="152" spans="1:142" x14ac:dyDescent="0.35">
      <c r="A152" s="9">
        <v>23322338</v>
      </c>
      <c r="B152" s="19">
        <v>1</v>
      </c>
      <c r="C152" s="9" t="str">
        <f>VLOOKUP(A152,'[1]terceros cto'!A$1:B$65536,2,0)</f>
        <v>DANUR PEREA DE ROJAS LUZ MAGDA</v>
      </c>
      <c r="D152" s="20" t="str">
        <f>VLOOKUP(C152,'[1]terceros cto'!B$1:F$65536,5,0)</f>
        <v>arojascalderon@gmail.com</v>
      </c>
      <c r="E152" s="21" t="s">
        <v>2252</v>
      </c>
      <c r="F152" s="9" t="str">
        <f>VLOOKUP(C152,'[1]terceros cto'!B$1:D$65536,3,0)</f>
        <v>Paipa</v>
      </c>
      <c r="G152" s="21">
        <v>15516</v>
      </c>
      <c r="H152" s="9">
        <v>212</v>
      </c>
      <c r="I152" s="30">
        <v>100000</v>
      </c>
      <c r="J152" s="31">
        <v>0</v>
      </c>
      <c r="K152" s="22">
        <v>0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</row>
    <row r="153" spans="1:142" x14ac:dyDescent="0.35">
      <c r="A153" s="9">
        <v>23350702</v>
      </c>
      <c r="B153" s="19">
        <v>7</v>
      </c>
      <c r="C153" s="9" t="str">
        <f>VLOOKUP(A153,'[1]terceros cto'!A$1:B$65536,2,0)</f>
        <v>GARCIA GARCIA SONIA YANETH</v>
      </c>
      <c r="D153" s="20" t="str">
        <f>VLOOKUP(C153,'[1]terceros cto'!B$1:F$65536,5,0)</f>
        <v>derecholopez@homail.com</v>
      </c>
      <c r="E153" s="21" t="str">
        <f>VLOOKUP(C153,'[1]terceros cto'!B$1:E$65536,4,0)</f>
        <v>7852655</v>
      </c>
      <c r="F153" s="9" t="str">
        <f>VLOOKUP(C153,'[1]terceros cto'!B$1:D$65536,3,0)</f>
        <v>CALLE 18A No27-42</v>
      </c>
      <c r="G153" s="21">
        <v>15516</v>
      </c>
      <c r="H153" s="9">
        <v>212</v>
      </c>
      <c r="I153" s="28">
        <v>2261649</v>
      </c>
      <c r="J153" s="29">
        <v>0</v>
      </c>
      <c r="K153" s="22">
        <v>0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</row>
    <row r="154" spans="1:142" x14ac:dyDescent="0.35">
      <c r="A154" s="9">
        <v>23350824</v>
      </c>
      <c r="B154" s="19">
        <v>7</v>
      </c>
      <c r="C154" s="9" t="str">
        <f>VLOOKUP(A154,'[1]terceros cto'!A$1:B$65536,2,0)</f>
        <v>CORREA SANDRA PATRICIA</v>
      </c>
      <c r="D154" s="20" t="str">
        <f>VLOOKUP(C154,'[1]terceros cto'!B$1:F$65536,5,0)</f>
        <v>sandina27@hotmail.com</v>
      </c>
      <c r="E154" s="21">
        <f>VLOOKUP(C154,'[1]terceros cto'!B$1:E$65536,4,0)</f>
        <v>3112514364</v>
      </c>
      <c r="F154" s="9" t="str">
        <f>VLOOKUP(C154,'[1]terceros cto'!B$1:D$65536,3,0)</f>
        <v>CARRERA 7 No 13-29</v>
      </c>
      <c r="G154" s="21">
        <v>15516</v>
      </c>
      <c r="H154" s="9">
        <v>212</v>
      </c>
      <c r="I154" s="30">
        <v>6310000</v>
      </c>
      <c r="J154" s="31">
        <v>0</v>
      </c>
      <c r="K154" s="22">
        <v>0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</row>
    <row r="155" spans="1:142" x14ac:dyDescent="0.35">
      <c r="A155" s="9">
        <v>23548857</v>
      </c>
      <c r="B155" s="19">
        <v>1</v>
      </c>
      <c r="C155" s="9" t="str">
        <f>VLOOKUP(A155,'[1]terceros cto'!A$1:B$65536,2,0)</f>
        <v>RODRIGUEZ DE FONSECA GLORIA CENETH</v>
      </c>
      <c r="D155" s="20" t="str">
        <f>VLOOKUP(C155,'[1]terceros cto'!B$1:F$65536,5,0)</f>
        <v>almacenagropecuariojuanagro@hotmail.com</v>
      </c>
      <c r="E155" s="21" t="s">
        <v>2252</v>
      </c>
      <c r="F155" s="9" t="str">
        <f>VLOOKUP(C155,'[1]terceros cto'!B$1:D$65536,3,0)</f>
        <v>KM 6 V�A DUITAMA PAIPA</v>
      </c>
      <c r="G155" s="21">
        <v>15516</v>
      </c>
      <c r="H155" s="9">
        <v>212</v>
      </c>
      <c r="I155" s="28">
        <v>60006</v>
      </c>
      <c r="J155" s="29">
        <v>0</v>
      </c>
      <c r="K155" s="22">
        <v>0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</row>
    <row r="156" spans="1:142" x14ac:dyDescent="0.35">
      <c r="A156" s="9">
        <v>23561016</v>
      </c>
      <c r="B156" s="19">
        <v>8</v>
      </c>
      <c r="C156" s="9" t="str">
        <f>VLOOKUP(A156,'[1]terceros cto'!A$1:B$65536,2,0)</f>
        <v>BUITRAGO  ARACELY MORA</v>
      </c>
      <c r="D156" s="20" t="str">
        <f>VLOOKUP(C156,'[1]terceros cto'!B$1:F$65536,5,0)</f>
        <v>alcostoaures@gmail.com</v>
      </c>
      <c r="E156" s="21" t="s">
        <v>2252</v>
      </c>
      <c r="F156" s="9" t="str">
        <f>VLOOKUP(C156,'[1]terceros cto'!B$1:D$65536,3,0)</f>
        <v>Paipa</v>
      </c>
      <c r="G156" s="21">
        <v>15516</v>
      </c>
      <c r="H156" s="9">
        <v>212</v>
      </c>
      <c r="I156" s="30">
        <v>100000</v>
      </c>
      <c r="J156" s="31">
        <v>0</v>
      </c>
      <c r="K156" s="22">
        <v>0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</row>
    <row r="157" spans="1:142" x14ac:dyDescent="0.35">
      <c r="A157" s="9">
        <v>23588906</v>
      </c>
      <c r="B157" s="19">
        <v>5</v>
      </c>
      <c r="C157" s="9" t="str">
        <f>VLOOKUP(A157,'[1]terceros cto'!A$1:B$65536,2,0)</f>
        <v>VARGAS MANOSALVA DORA PATRICIA</v>
      </c>
      <c r="D157" s="20" t="str">
        <f>VLOOKUP(C157,'[1]terceros cto'!B$1:F$65536,5,0)</f>
        <v>dora31vargasmanosalva@gmail.com</v>
      </c>
      <c r="E157" s="21" t="s">
        <v>2252</v>
      </c>
      <c r="F157" s="9" t="str">
        <f>VLOOKUP(C157,'[1]terceros cto'!B$1:D$65536,3,0)</f>
        <v>CARRERA 4 N B NUEVA FLORESTA</v>
      </c>
      <c r="G157" s="21">
        <v>15516</v>
      </c>
      <c r="H157" s="9">
        <v>212</v>
      </c>
      <c r="I157" s="28">
        <v>11139948</v>
      </c>
      <c r="J157" s="29">
        <v>1</v>
      </c>
      <c r="K157" s="22">
        <v>1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</row>
    <row r="158" spans="1:142" x14ac:dyDescent="0.35">
      <c r="A158" s="9">
        <v>23853895</v>
      </c>
      <c r="B158" s="19">
        <v>9</v>
      </c>
      <c r="C158" s="9" t="str">
        <f>VLOOKUP(A158,'[1]terceros cto'!A$1:B$65536,2,0)</f>
        <v>MEDINA PACHECO DORA HILDA</v>
      </c>
      <c r="D158" s="20" t="str">
        <f>VLOOKUP(C158,'[1]terceros cto'!B$1:F$65536,5,0)</f>
        <v>maderasalamos@hotmail.com</v>
      </c>
      <c r="E158" s="21" t="s">
        <v>2252</v>
      </c>
      <c r="F158" s="9" t="str">
        <f>VLOOKUP(C158,'[1]terceros cto'!B$1:D$65536,3,0)</f>
        <v>Paipa</v>
      </c>
      <c r="G158" s="21">
        <v>15516</v>
      </c>
      <c r="H158" s="9">
        <v>212</v>
      </c>
      <c r="I158" s="30">
        <v>310000</v>
      </c>
      <c r="J158" s="31">
        <v>0</v>
      </c>
      <c r="K158" s="22">
        <v>0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</row>
    <row r="159" spans="1:142" x14ac:dyDescent="0.35">
      <c r="A159" s="9">
        <v>23854795</v>
      </c>
      <c r="B159" s="19">
        <v>5</v>
      </c>
      <c r="C159" s="9" t="str">
        <f>VLOOKUP(A159,'[1]terceros cto'!A$1:B$65536,2,0)</f>
        <v>JOYA ESCOBAR PATRICIA</v>
      </c>
      <c r="D159" s="20" t="str">
        <f>VLOOKUP(C159,'[1]terceros cto'!B$1:F$65536,5,0)</f>
        <v>ernes_enciso@hotmail.com</v>
      </c>
      <c r="E159" s="21" t="s">
        <v>2252</v>
      </c>
      <c r="F159" s="9" t="str">
        <f>VLOOKUP(C159,'[1]terceros cto'!B$1:D$65536,3,0)</f>
        <v>CARRERA 19 26 85</v>
      </c>
      <c r="G159" s="21">
        <v>15516</v>
      </c>
      <c r="H159" s="9">
        <v>212</v>
      </c>
      <c r="I159" s="28">
        <v>1084103</v>
      </c>
      <c r="J159" s="29">
        <v>0</v>
      </c>
      <c r="K159" s="22">
        <v>0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</row>
    <row r="160" spans="1:142" x14ac:dyDescent="0.35">
      <c r="A160" s="9">
        <v>23855138</v>
      </c>
      <c r="B160" s="19">
        <v>0</v>
      </c>
      <c r="C160" s="9" t="str">
        <f>VLOOKUP(A160,'[1]terceros cto'!A$1:B$65536,2,0)</f>
        <v>BAYONA ALBA MIRTHA ROCIO</v>
      </c>
      <c r="D160" s="20" t="str">
        <f>VLOOKUP(C160,'[1]terceros cto'!B$1:F$65536,5,0)</f>
        <v>mirobaal@hotmail.com</v>
      </c>
      <c r="E160" s="21" t="s">
        <v>2252</v>
      </c>
      <c r="F160" s="9" t="str">
        <f>VLOOKUP(C160,'[1]terceros cto'!B$1:D$65536,3,0)</f>
        <v>CR 18 24 12</v>
      </c>
      <c r="G160" s="21">
        <v>15516</v>
      </c>
      <c r="H160" s="9">
        <v>212</v>
      </c>
      <c r="I160" s="30">
        <v>841110</v>
      </c>
      <c r="J160" s="31">
        <v>0</v>
      </c>
      <c r="K160" s="22">
        <v>0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</row>
    <row r="161" spans="1:142" x14ac:dyDescent="0.35">
      <c r="A161" s="9">
        <v>23855363</v>
      </c>
      <c r="B161" s="19">
        <v>1</v>
      </c>
      <c r="C161" s="9" t="str">
        <f>VLOOKUP(A161,'[1]terceros cto'!A$1:B$65536,2,0)</f>
        <v>MARTINEZ NIÑO MIRYAM STELLA</v>
      </c>
      <c r="D161" s="20" t="str">
        <f>VLOOKUP(C161,'[1]terceros cto'!B$1:F$65536,5,0)</f>
        <v>marfle07@hotmail.com</v>
      </c>
      <c r="E161" s="21">
        <f>VLOOKUP(C161,'[1]terceros cto'!B$1:E$65536,4,0)</f>
        <v>3158031907</v>
      </c>
      <c r="F161" s="9" t="str">
        <f>VLOOKUP(C161,'[1]terceros cto'!B$1:D$65536,3,0)</f>
        <v>AVENIDA LIBERTADORES No 22-21</v>
      </c>
      <c r="G161" s="21">
        <v>15516</v>
      </c>
      <c r="H161" s="9">
        <v>212</v>
      </c>
      <c r="I161" s="28">
        <v>350007</v>
      </c>
      <c r="J161" s="29">
        <v>0</v>
      </c>
      <c r="K161" s="22">
        <v>0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</row>
    <row r="162" spans="1:142" x14ac:dyDescent="0.35">
      <c r="A162" s="9">
        <v>23856732</v>
      </c>
      <c r="B162" s="19">
        <v>0</v>
      </c>
      <c r="C162" s="9" t="str">
        <f>VLOOKUP(A162,'[1]terceros cto'!A$1:B$65536,2,0)</f>
        <v>FONSECA CORONADO MARIA TRANSITO</v>
      </c>
      <c r="D162" s="20" t="str">
        <f>VLOOKUP(C162,'[1]terceros cto'!B$1:F$65536,5,0)</f>
        <v>maria.fonsecacoronado68@gmail.com</v>
      </c>
      <c r="E162" s="21" t="s">
        <v>2252</v>
      </c>
      <c r="F162" s="9" t="str">
        <f>VLOOKUP(C162,'[1]terceros cto'!B$1:D$65536,3,0)</f>
        <v>Paipa</v>
      </c>
      <c r="G162" s="21">
        <v>15516</v>
      </c>
      <c r="H162" s="9">
        <v>212</v>
      </c>
      <c r="I162" s="30">
        <v>15000</v>
      </c>
      <c r="J162" s="31">
        <v>0</v>
      </c>
      <c r="K162" s="22">
        <v>0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</row>
    <row r="163" spans="1:142" x14ac:dyDescent="0.35">
      <c r="A163" s="9">
        <v>23914412</v>
      </c>
      <c r="B163" s="19">
        <v>8</v>
      </c>
      <c r="C163" s="9" t="str">
        <f>VLOOKUP(A163,'[1]terceros cto'!A$1:B$65536,2,0)</f>
        <v>AVELLANEDA MOSQUERA DIANA PATRICIA</v>
      </c>
      <c r="D163" s="20" t="str">
        <f>VLOOKUP(C163,'[1]terceros cto'!B$1:F$65536,5,0)</f>
        <v>dianis2790@hotmail.com</v>
      </c>
      <c r="E163" s="21" t="s">
        <v>2252</v>
      </c>
      <c r="F163" s="9" t="str">
        <f>VLOOKUP(C163,'[1]terceros cto'!B$1:D$65536,3,0)</f>
        <v>Paipa</v>
      </c>
      <c r="G163" s="21">
        <v>15516</v>
      </c>
      <c r="H163" s="9">
        <v>212</v>
      </c>
      <c r="I163" s="28">
        <v>80000</v>
      </c>
      <c r="J163" s="29">
        <v>0</v>
      </c>
      <c r="K163" s="22">
        <v>0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</row>
    <row r="164" spans="1:142" x14ac:dyDescent="0.35">
      <c r="A164" s="9">
        <v>23983978</v>
      </c>
      <c r="B164" s="19">
        <v>9</v>
      </c>
      <c r="C164" s="9" t="str">
        <f>VLOOKUP(A164,'[1]terceros cto'!A$1:B$65536,2,0)</f>
        <v>RAMIREZ AGUIRRE MARTHA YANETH</v>
      </c>
      <c r="D164" s="20" t="str">
        <f>VLOOKUP(C164,'[1]terceros cto'!B$1:F$65536,5,0)</f>
        <v>agrayama@hotmail.com</v>
      </c>
      <c r="E164" s="21" t="s">
        <v>2252</v>
      </c>
      <c r="F164" s="9" t="str">
        <f>VLOOKUP(C164,'[1]terceros cto'!B$1:D$65536,3,0)</f>
        <v>PAIPA</v>
      </c>
      <c r="G164" s="21">
        <v>15516</v>
      </c>
      <c r="H164" s="9">
        <v>212</v>
      </c>
      <c r="I164" s="30">
        <v>50000</v>
      </c>
      <c r="J164" s="31">
        <v>0</v>
      </c>
      <c r="K164" s="22">
        <v>0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</row>
    <row r="165" spans="1:142" x14ac:dyDescent="0.35">
      <c r="A165" s="9">
        <v>24049969</v>
      </c>
      <c r="B165" s="19">
        <v>0</v>
      </c>
      <c r="C165" s="9" t="str">
        <f>VLOOKUP(A165,'[1]terceros cto'!A$1:B$65536,2,0)</f>
        <v>BRICEÑO FAJARDO RUTH ZORAIDA</v>
      </c>
      <c r="D165" s="20" t="str">
        <f>VLOOKUP(C165,'[1]terceros cto'!B$1:F$65536,5,0)</f>
        <v>zoryentheos@gmail.com</v>
      </c>
      <c r="E165" s="21" t="s">
        <v>2252</v>
      </c>
      <c r="F165" s="9" t="str">
        <f>VLOOKUP(C165,'[1]terceros cto'!B$1:D$65536,3,0)</f>
        <v>CALLE 15B 5-34</v>
      </c>
      <c r="G165" s="21">
        <v>15516</v>
      </c>
      <c r="H165" s="9">
        <v>212</v>
      </c>
      <c r="I165" s="28">
        <v>300057</v>
      </c>
      <c r="J165" s="29">
        <v>0</v>
      </c>
      <c r="K165" s="22">
        <v>0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</row>
    <row r="166" spans="1:142" x14ac:dyDescent="0.35">
      <c r="A166" s="9">
        <v>3199179</v>
      </c>
      <c r="B166" s="19">
        <v>5</v>
      </c>
      <c r="C166" s="9" t="str">
        <f>VLOOKUP(A166,'[1]terceros cto'!A$1:B$65536,2,0)</f>
        <v>GONZALES MEDINA RODULFO</v>
      </c>
      <c r="D166" s="20" t="str">
        <f>VLOOKUP(C166,'[1]terceros cto'!B$1:F$65536,5,0)</f>
        <v>rogome1112@gmail.com</v>
      </c>
      <c r="E166" s="21" t="s">
        <v>2252</v>
      </c>
      <c r="F166" s="9" t="str">
        <f>VLOOKUP(C166,'[1]terceros cto'!B$1:D$65536,3,0)</f>
        <v>KRA 85B 53 55 SUR</v>
      </c>
      <c r="G166" s="21">
        <v>15516</v>
      </c>
      <c r="H166" s="9">
        <v>212</v>
      </c>
      <c r="I166" s="30">
        <v>86011</v>
      </c>
      <c r="J166" s="31">
        <v>0</v>
      </c>
      <c r="K166" s="22">
        <v>0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</row>
    <row r="167" spans="1:142" x14ac:dyDescent="0.35">
      <c r="A167" s="9">
        <v>33368777</v>
      </c>
      <c r="B167" s="19">
        <v>4</v>
      </c>
      <c r="C167" s="9" t="str">
        <f>VLOOKUP(A167,'[1]terceros cto'!A$1:B$65536,2,0)</f>
        <v>AMAYA  ERIKA</v>
      </c>
      <c r="D167" s="20" t="str">
        <f>VLOOKUP(C167,'[1]terceros cto'!B$1:F$65536,5,0)</f>
        <v>amayaer@gmail.com</v>
      </c>
      <c r="E167" s="21" t="s">
        <v>2252</v>
      </c>
      <c r="F167" s="9" t="str">
        <f>VLOOKUP(C167,'[1]terceros cto'!B$1:D$65536,3,0)</f>
        <v>Paipa</v>
      </c>
      <c r="G167" s="21">
        <v>15516</v>
      </c>
      <c r="H167" s="9">
        <v>212</v>
      </c>
      <c r="I167" s="28">
        <v>163540</v>
      </c>
      <c r="J167" s="29">
        <v>0</v>
      </c>
      <c r="K167" s="22">
        <v>0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</row>
    <row r="168" spans="1:142" x14ac:dyDescent="0.35">
      <c r="A168" s="9">
        <v>33376658</v>
      </c>
      <c r="B168" s="19">
        <v>1</v>
      </c>
      <c r="C168" s="9" t="str">
        <f>VLOOKUP(A168,'[1]terceros cto'!A$1:B$65536,2,0)</f>
        <v>NIÑO GALLO GLORIA PATRICIA</v>
      </c>
      <c r="D168" s="20" t="str">
        <f>VLOOKUP(C168,'[1]terceros cto'!B$1:F$65536,5,0)</f>
        <v>glope357@yahoo.es</v>
      </c>
      <c r="E168" s="21" t="s">
        <v>2252</v>
      </c>
      <c r="F168" s="9" t="str">
        <f>VLOOKUP(C168,'[1]terceros cto'!B$1:D$65536,3,0)</f>
        <v>Paipa</v>
      </c>
      <c r="G168" s="21">
        <v>15516</v>
      </c>
      <c r="H168" s="9">
        <v>212</v>
      </c>
      <c r="I168" s="30">
        <v>80001</v>
      </c>
      <c r="J168" s="31">
        <v>0</v>
      </c>
      <c r="K168" s="22">
        <v>0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</row>
    <row r="169" spans="1:142" x14ac:dyDescent="0.35">
      <c r="A169" s="9">
        <v>3438560</v>
      </c>
      <c r="B169" s="19">
        <v>5</v>
      </c>
      <c r="C169" s="9" t="str">
        <f>VLOOKUP(A169,'[1]terceros cto'!A$1:B$65536,2,0)</f>
        <v>BALAGUERA RIVERA LUIS FERNANDO</v>
      </c>
      <c r="D169" s="20" t="str">
        <f>VLOOKUP(C169,'[1]terceros cto'!B$1:F$65536,5,0)</f>
        <v>rbl.constructora.sas2020@gmail.com</v>
      </c>
      <c r="E169" s="21" t="s">
        <v>2252</v>
      </c>
      <c r="F169" s="9" t="str">
        <f>VLOOKUP(C169,'[1]terceros cto'!B$1:D$65536,3,0)</f>
        <v>Paipa</v>
      </c>
      <c r="G169" s="21">
        <v>15516</v>
      </c>
      <c r="H169" s="9">
        <v>212</v>
      </c>
      <c r="I169" s="28">
        <v>50000</v>
      </c>
      <c r="J169" s="29">
        <v>0</v>
      </c>
      <c r="K169" s="22">
        <v>0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</row>
    <row r="170" spans="1:142" x14ac:dyDescent="0.35">
      <c r="A170" s="9">
        <v>35253491</v>
      </c>
      <c r="B170" s="19">
        <v>6</v>
      </c>
      <c r="C170" s="9" t="str">
        <f>VLOOKUP(A170,'[1]terceros cto'!A$1:B$65536,2,0)</f>
        <v>PARDO  BERNAL GIOVANNA  CONSUELO</v>
      </c>
      <c r="D170" s="20" t="str">
        <f>VLOOKUP(C170,'[1]terceros cto'!B$1:F$65536,5,0)</f>
        <v>giovannapardo@gmail.com</v>
      </c>
      <c r="E170" s="21" t="s">
        <v>2252</v>
      </c>
      <c r="F170" s="9" t="str">
        <f>VLOOKUP(C170,'[1]terceros cto'!B$1:D$65536,3,0)</f>
        <v>paipa</v>
      </c>
      <c r="G170" s="21">
        <v>15516</v>
      </c>
      <c r="H170" s="9">
        <v>212</v>
      </c>
      <c r="I170" s="30">
        <v>150066</v>
      </c>
      <c r="J170" s="31">
        <v>0</v>
      </c>
      <c r="K170" s="22">
        <v>0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</row>
    <row r="171" spans="1:142" x14ac:dyDescent="0.35">
      <c r="A171" s="9">
        <v>35312919</v>
      </c>
      <c r="B171" s="19">
        <v>1</v>
      </c>
      <c r="C171" s="9" t="str">
        <f>VLOOKUP(A171,'[1]terceros cto'!A$1:B$65536,2,0)</f>
        <v>RIVERA NIÑO MARIA OTILIA</v>
      </c>
      <c r="D171" s="20" t="str">
        <f>VLOOKUP(C171,'[1]terceros cto'!B$1:F$65536,5,0)</f>
        <v>renacer4@yahoo.com</v>
      </c>
      <c r="E171" s="21" t="s">
        <v>2252</v>
      </c>
      <c r="F171" s="9" t="str">
        <f>VLOOKUP(C171,'[1]terceros cto'!B$1:D$65536,3,0)</f>
        <v>PAIPA</v>
      </c>
      <c r="G171" s="21">
        <v>15516</v>
      </c>
      <c r="H171" s="9">
        <v>212</v>
      </c>
      <c r="I171" s="28">
        <v>1312964</v>
      </c>
      <c r="J171" s="29">
        <v>0</v>
      </c>
      <c r="K171" s="22">
        <v>0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</row>
    <row r="172" spans="1:142" x14ac:dyDescent="0.35">
      <c r="A172" s="9">
        <v>36757424</v>
      </c>
      <c r="B172" s="19">
        <v>1</v>
      </c>
      <c r="C172" s="9" t="str">
        <f>VLOOKUP(A172,'[1]terceros cto'!A$1:B$65536,2,0)</f>
        <v>BONILLA PAZOZ RUTH JIMENA</v>
      </c>
      <c r="D172" s="20" t="str">
        <f>VLOOKUP(C172,'[1]terceros cto'!B$1:F$65536,5,0)</f>
        <v>inversiones.excalibur@yahoo.com</v>
      </c>
      <c r="E172" s="21" t="s">
        <v>2252</v>
      </c>
      <c r="F172" s="9" t="str">
        <f>VLOOKUP(C172,'[1]terceros cto'!B$1:D$65536,3,0)</f>
        <v>CR 27 7 75</v>
      </c>
      <c r="G172" s="21">
        <v>15516</v>
      </c>
      <c r="H172" s="9">
        <v>212</v>
      </c>
      <c r="I172" s="30">
        <v>240098</v>
      </c>
      <c r="J172" s="31">
        <v>0</v>
      </c>
      <c r="K172" s="22">
        <v>0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</row>
    <row r="173" spans="1:142" x14ac:dyDescent="0.35">
      <c r="A173" s="9">
        <v>37746243</v>
      </c>
      <c r="B173" s="19">
        <v>1</v>
      </c>
      <c r="C173" s="9" t="str">
        <f>VLOOKUP(A173,'[1]terceros cto'!A$1:B$65536,2,0)</f>
        <v>GARCIA  MAGALY MONTAGUT</v>
      </c>
      <c r="D173" s="20" t="str">
        <f>VLOOKUP(C173,'[1]terceros cto'!B$1:F$65536,5,0)</f>
        <v>magalymontagut@hotmail.com</v>
      </c>
      <c r="E173" s="21" t="s">
        <v>2252</v>
      </c>
      <c r="F173" s="9" t="str">
        <f>VLOOKUP(C173,'[1]terceros cto'!B$1:D$65536,3,0)</f>
        <v>Paipa</v>
      </c>
      <c r="G173" s="21">
        <v>15516</v>
      </c>
      <c r="H173" s="9">
        <v>212</v>
      </c>
      <c r="I173" s="28">
        <v>100000</v>
      </c>
      <c r="J173" s="29">
        <v>0</v>
      </c>
      <c r="K173" s="22">
        <v>0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</row>
    <row r="174" spans="1:142" x14ac:dyDescent="0.35">
      <c r="A174" s="9">
        <v>40023869</v>
      </c>
      <c r="B174" s="19">
        <v>8</v>
      </c>
      <c r="C174" s="9" t="str">
        <f>VLOOKUP(A174,'[1]terceros cto'!A$1:B$65536,2,0)</f>
        <v>VELA PULIDO CLARA INES</v>
      </c>
      <c r="D174" s="20" t="str">
        <f>VLOOKUP(C174,'[1]terceros cto'!B$1:F$65536,5,0)</f>
        <v>claravela830@gmail.com</v>
      </c>
      <c r="E174" s="21" t="s">
        <v>2252</v>
      </c>
      <c r="F174" s="9" t="str">
        <f>VLOOKUP(C174,'[1]terceros cto'!B$1:D$65536,3,0)</f>
        <v>Paipa</v>
      </c>
      <c r="G174" s="21">
        <v>15516</v>
      </c>
      <c r="H174" s="9">
        <v>212</v>
      </c>
      <c r="I174" s="30">
        <v>20000</v>
      </c>
      <c r="J174" s="31">
        <v>0</v>
      </c>
      <c r="K174" s="22">
        <v>0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x14ac:dyDescent="0.35">
      <c r="A175" s="9">
        <v>40024315</v>
      </c>
      <c r="B175" s="19">
        <v>4</v>
      </c>
      <c r="C175" s="9" t="str">
        <f>VLOOKUP(A175,'[1]terceros cto'!A$1:B$65536,2,0)</f>
        <v>BECERRA ESPEJO NUBIA LELY</v>
      </c>
      <c r="D175" s="20" t="str">
        <f>VLOOKUP(C175,'[1]terceros cto'!B$1:F$65536,5,0)</f>
        <v>nubialely_55@yahoo.es</v>
      </c>
      <c r="E175" s="21" t="s">
        <v>2252</v>
      </c>
      <c r="F175" s="9" t="str">
        <f>VLOOKUP(C175,'[1]terceros cto'!B$1:D$65536,3,0)</f>
        <v>TUNJA</v>
      </c>
      <c r="G175" s="21">
        <v>15516</v>
      </c>
      <c r="H175" s="9">
        <v>212</v>
      </c>
      <c r="I175" s="28">
        <v>120000</v>
      </c>
      <c r="J175" s="29">
        <v>0</v>
      </c>
      <c r="K175" s="22">
        <v>0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x14ac:dyDescent="0.35">
      <c r="A176" s="9">
        <v>40024766</v>
      </c>
      <c r="B176" s="19">
        <v>2</v>
      </c>
      <c r="C176" s="9" t="str">
        <f>VLOOKUP(A176,'[1]terceros cto'!A$1:B$65536,2,0)</f>
        <v>ALVARADO NUÑEZ HAIDE GLORID</v>
      </c>
      <c r="D176" s="20" t="str">
        <f>VLOOKUP(C176,'[1]terceros cto'!B$1:F$65536,5,0)</f>
        <v>eglodistribuciones@gmail.com</v>
      </c>
      <c r="E176" s="21" t="s">
        <v>2252</v>
      </c>
      <c r="F176" s="9" t="str">
        <f>VLOOKUP(C176,'[1]terceros cto'!B$1:D$65536,3,0)</f>
        <v>Paipa</v>
      </c>
      <c r="G176" s="21">
        <v>15516</v>
      </c>
      <c r="H176" s="9">
        <v>212</v>
      </c>
      <c r="I176" s="30">
        <v>47610</v>
      </c>
      <c r="J176" s="31">
        <v>0</v>
      </c>
      <c r="K176" s="22">
        <v>0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</row>
    <row r="177" spans="1:142" x14ac:dyDescent="0.35">
      <c r="A177" s="9">
        <v>40040782</v>
      </c>
      <c r="B177" s="19">
        <v>8</v>
      </c>
      <c r="C177" s="9" t="str">
        <f>VLOOKUP(A177,'[1]terceros cto'!A$1:B$65536,2,0)</f>
        <v>GIL PADILLA MATHA LILIANA</v>
      </c>
      <c r="D177" s="20" t="str">
        <f>VLOOKUP(C177,'[1]terceros cto'!B$1:F$65536,5,0)</f>
        <v>marligeology@gmail.com</v>
      </c>
      <c r="E177" s="21" t="s">
        <v>2252</v>
      </c>
      <c r="F177" s="9" t="str">
        <f>VLOOKUP(C177,'[1]terceros cto'!B$1:D$65536,3,0)</f>
        <v>Paipa</v>
      </c>
      <c r="G177" s="21">
        <v>15516</v>
      </c>
      <c r="H177" s="9">
        <v>212</v>
      </c>
      <c r="I177" s="28">
        <v>110000</v>
      </c>
      <c r="J177" s="29">
        <v>0</v>
      </c>
      <c r="K177" s="22">
        <v>0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</row>
    <row r="178" spans="1:142" x14ac:dyDescent="0.35">
      <c r="A178" s="9">
        <v>40445307</v>
      </c>
      <c r="B178" s="19">
        <v>1</v>
      </c>
      <c r="C178" s="9" t="str">
        <f>VLOOKUP(A178,'[1]terceros cto'!A$1:B$65536,2,0)</f>
        <v>MEJIA MELO SONIA MARGARITA</v>
      </c>
      <c r="D178" s="20" t="str">
        <f>VLOOKUP(C178,'[1]terceros cto'!B$1:F$65536,5,0)</f>
        <v>margaritamejiam@gmail.com</v>
      </c>
      <c r="E178" s="21" t="s">
        <v>2252</v>
      </c>
      <c r="F178" s="9" t="str">
        <f>VLOOKUP(C178,'[1]terceros cto'!B$1:D$65536,3,0)</f>
        <v>PAIPA</v>
      </c>
      <c r="G178" s="21">
        <v>15516</v>
      </c>
      <c r="H178" s="9">
        <v>212</v>
      </c>
      <c r="I178" s="30">
        <v>94740</v>
      </c>
      <c r="J178" s="31">
        <v>0</v>
      </c>
      <c r="K178" s="22">
        <v>0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</row>
    <row r="179" spans="1:142" x14ac:dyDescent="0.35">
      <c r="A179" s="9">
        <v>4081193</v>
      </c>
      <c r="B179" s="19">
        <v>4</v>
      </c>
      <c r="C179" s="9" t="str">
        <f>VLOOKUP(A179,'[1]terceros cto'!A$1:B$65536,2,0)</f>
        <v>GARCIA  JOSE</v>
      </c>
      <c r="D179" s="20" t="str">
        <f>VLOOKUP(C179,'[1]terceros cto'!B$1:F$65536,5,0)</f>
        <v>jg1190311@gmail.com</v>
      </c>
      <c r="E179" s="21" t="s">
        <v>2252</v>
      </c>
      <c r="F179" s="9" t="str">
        <f>VLOOKUP(C179,'[1]terceros cto'!B$1:D$65536,3,0)</f>
        <v>Paipa</v>
      </c>
      <c r="G179" s="21">
        <v>15516</v>
      </c>
      <c r="H179" s="9">
        <v>212</v>
      </c>
      <c r="I179" s="28">
        <v>100000</v>
      </c>
      <c r="J179" s="29">
        <v>0</v>
      </c>
      <c r="K179" s="22">
        <v>0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</row>
    <row r="180" spans="1:142" x14ac:dyDescent="0.35">
      <c r="A180" s="9">
        <v>4119071</v>
      </c>
      <c r="B180" s="19">
        <v>0</v>
      </c>
      <c r="C180" s="9" t="str">
        <f>VLOOKUP(A180,'[1]terceros cto'!A$1:B$65536,2,0)</f>
        <v>RODRIGUEZ MOLANO CARLOS EDUARDO</v>
      </c>
      <c r="D180" s="20" t="str">
        <f>VLOOKUP(C180,'[1]terceros cto'!B$1:F$65536,5,0)</f>
        <v>ceromol@gmail.com</v>
      </c>
      <c r="E180" s="21" t="s">
        <v>2252</v>
      </c>
      <c r="F180" s="9" t="str">
        <f>VLOOKUP(C180,'[1]terceros cto'!B$1:D$65536,3,0)</f>
        <v>Paipa</v>
      </c>
      <c r="G180" s="21">
        <v>15516</v>
      </c>
      <c r="H180" s="9">
        <v>212</v>
      </c>
      <c r="I180" s="30">
        <v>40000</v>
      </c>
      <c r="J180" s="31">
        <v>0</v>
      </c>
      <c r="K180" s="22">
        <v>0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</row>
    <row r="181" spans="1:142" x14ac:dyDescent="0.35">
      <c r="A181" s="9">
        <v>41570093</v>
      </c>
      <c r="B181" s="19">
        <v>9</v>
      </c>
      <c r="C181" s="9" t="str">
        <f>VLOOKUP(A181,'[1]terceros cto'!A$1:B$65536,2,0)</f>
        <v>GUIO GUIO MYRIAM</v>
      </c>
      <c r="D181" s="20" t="str">
        <f>VLOOKUP(C181,'[1]terceros cto'!B$1:F$65536,5,0)</f>
        <v>saenz401852@gmail.com</v>
      </c>
      <c r="E181" s="21" t="s">
        <v>2252</v>
      </c>
      <c r="F181" s="9" t="str">
        <f>VLOOKUP(C181,'[1]terceros cto'!B$1:D$65536,3,0)</f>
        <v>Paipa</v>
      </c>
      <c r="G181" s="21">
        <v>15516</v>
      </c>
      <c r="H181" s="9">
        <v>212</v>
      </c>
      <c r="I181" s="28">
        <v>704187</v>
      </c>
      <c r="J181" s="29">
        <v>0</v>
      </c>
      <c r="K181" s="22">
        <v>0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</row>
    <row r="182" spans="1:142" x14ac:dyDescent="0.35">
      <c r="A182" s="9">
        <v>4167537</v>
      </c>
      <c r="B182" s="19">
        <v>5</v>
      </c>
      <c r="C182" s="9" t="str">
        <f>VLOOKUP(A182,'[1]terceros cto'!A$1:B$65536,2,0)</f>
        <v>DAZA AHUE JHON ALEXANDER</v>
      </c>
      <c r="D182" s="20" t="str">
        <f>VLOOKUP(C182,'[1]terceros cto'!B$1:F$65536,5,0)</f>
        <v>alexdaza285@gmail.com</v>
      </c>
      <c r="E182" s="21" t="s">
        <v>2252</v>
      </c>
      <c r="F182" s="9" t="str">
        <f>VLOOKUP(C182,'[1]terceros cto'!B$1:D$65536,3,0)</f>
        <v>Paipa</v>
      </c>
      <c r="G182" s="21">
        <v>15516</v>
      </c>
      <c r="H182" s="9">
        <v>212</v>
      </c>
      <c r="I182" s="30">
        <v>80000</v>
      </c>
      <c r="J182" s="31">
        <v>0</v>
      </c>
      <c r="K182" s="22">
        <v>0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x14ac:dyDescent="0.35">
      <c r="A183" s="9">
        <v>4191027</v>
      </c>
      <c r="B183" s="19">
        <v>1</v>
      </c>
      <c r="C183" s="9" t="str">
        <f>VLOOKUP(A183,'[1]terceros cto'!A$1:B$65536,2,0)</f>
        <v>BARAJAS RODRIGUEZ CARLOS JULIO</v>
      </c>
      <c r="D183" s="20" t="str">
        <f>VLOOKUP(C183,'[1]terceros cto'!B$1:F$65536,5,0)</f>
        <v>barajascarlosjulio@gmail.com</v>
      </c>
      <c r="E183" s="21">
        <f>VLOOKUP(C183,'[1]terceros cto'!B$1:E$65536,4,0)</f>
        <v>3124589748</v>
      </c>
      <c r="F183" s="9" t="str">
        <f>VLOOKUP(C183,'[1]terceros cto'!B$1:D$65536,3,0)</f>
        <v>LLANO GRANDE</v>
      </c>
      <c r="G183" s="21">
        <v>15516</v>
      </c>
      <c r="H183" s="9">
        <v>212</v>
      </c>
      <c r="I183" s="28">
        <v>100000</v>
      </c>
      <c r="J183" s="29">
        <v>0</v>
      </c>
      <c r="K183" s="22">
        <v>0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x14ac:dyDescent="0.35">
      <c r="A184" s="9">
        <v>4191069</v>
      </c>
      <c r="B184" s="19">
        <v>0</v>
      </c>
      <c r="C184" s="9" t="str">
        <f>VLOOKUP(A184,'[1]terceros cto'!A$1:B$65536,2,0)</f>
        <v>OCHOA HURTADO HECTOR MANUEL</v>
      </c>
      <c r="D184" s="20" t="str">
        <f>VLOOKUP(C184,'[1]terceros cto'!B$1:F$65536,5,0)</f>
        <v>hectorochoa58@hotmail.com</v>
      </c>
      <c r="E184" s="21" t="s">
        <v>2252</v>
      </c>
      <c r="F184" s="9" t="str">
        <f>VLOOKUP(C184,'[1]terceros cto'!B$1:D$65536,3,0)</f>
        <v>Paipa</v>
      </c>
      <c r="G184" s="21">
        <v>15516</v>
      </c>
      <c r="H184" s="9">
        <v>212</v>
      </c>
      <c r="I184" s="30">
        <v>160000</v>
      </c>
      <c r="J184" s="31">
        <v>0</v>
      </c>
      <c r="K184" s="22">
        <v>0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</row>
    <row r="185" spans="1:142" x14ac:dyDescent="0.35">
      <c r="A185" s="9">
        <v>4191368</v>
      </c>
      <c r="B185" s="19">
        <v>8</v>
      </c>
      <c r="C185" s="9" t="str">
        <f>VLOOKUP(A185,'[1]terceros cto'!A$1:B$65536,2,0)</f>
        <v>CASTRO SUAREZ EDGAR AUGUSTO</v>
      </c>
      <c r="D185" s="20" t="str">
        <f>VLOOKUP(C185,'[1]terceros cto'!B$1:F$65536,5,0)</f>
        <v>gerencia@inmobiliariaedgarcastro.com</v>
      </c>
      <c r="E185" s="21" t="s">
        <v>2252</v>
      </c>
      <c r="F185" s="9" t="str">
        <f>VLOOKUP(C185,'[1]terceros cto'!B$1:D$65536,3,0)</f>
        <v>CL 25 21 18 OF 501</v>
      </c>
      <c r="G185" s="21">
        <v>15516</v>
      </c>
      <c r="H185" s="9">
        <v>212</v>
      </c>
      <c r="I185" s="28">
        <v>7300331</v>
      </c>
      <c r="J185" s="29">
        <v>0</v>
      </c>
      <c r="K185" s="22">
        <v>0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</row>
    <row r="186" spans="1:142" x14ac:dyDescent="0.35">
      <c r="A186" s="9">
        <v>4191383</v>
      </c>
      <c r="B186" s="19">
        <v>9</v>
      </c>
      <c r="C186" s="9" t="str">
        <f>VLOOKUP(A186,'[1]terceros cto'!A$1:B$65536,2,0)</f>
        <v>BAYONA ALBA ALVARO LUZBIN</v>
      </c>
      <c r="D186" s="20" t="str">
        <f>VLOOKUP(C186,'[1]terceros cto'!B$1:F$65536,5,0)</f>
        <v>dromevet1@yahoo.es</v>
      </c>
      <c r="E186" s="21" t="s">
        <v>2252</v>
      </c>
      <c r="F186" s="9" t="str">
        <f>VLOOKUP(C186,'[1]terceros cto'!B$1:D$65536,3,0)</f>
        <v>Paipa</v>
      </c>
      <c r="G186" s="21">
        <v>15516</v>
      </c>
      <c r="H186" s="9">
        <v>212</v>
      </c>
      <c r="I186" s="30">
        <v>80000</v>
      </c>
      <c r="J186" s="31">
        <v>0</v>
      </c>
      <c r="K186" s="22">
        <v>0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</row>
    <row r="187" spans="1:142" x14ac:dyDescent="0.35">
      <c r="A187" s="9">
        <v>4191737</v>
      </c>
      <c r="B187" s="19">
        <v>2</v>
      </c>
      <c r="C187" s="9" t="str">
        <f>VLOOKUP(A187,'[1]terceros cto'!A$1:B$65536,2,0)</f>
        <v>ORTIZ RUIZ LUIS ERNESTO</v>
      </c>
      <c r="D187" s="20" t="str">
        <f>VLOOKUP(C187,'[1]terceros cto'!B$1:F$65536,5,0)</f>
        <v>leortizrestaurar@yahoo.com</v>
      </c>
      <c r="E187" s="21" t="s">
        <v>2252</v>
      </c>
      <c r="F187" s="9" t="str">
        <f>VLOOKUP(C187,'[1]terceros cto'!B$1:D$65536,3,0)</f>
        <v>PAIPA</v>
      </c>
      <c r="G187" s="21">
        <v>15516</v>
      </c>
      <c r="H187" s="9">
        <v>212</v>
      </c>
      <c r="I187" s="28">
        <v>1090006</v>
      </c>
      <c r="J187" s="29">
        <v>0</v>
      </c>
      <c r="K187" s="22">
        <v>0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</row>
    <row r="188" spans="1:142" x14ac:dyDescent="0.35">
      <c r="A188" s="9">
        <v>4191845</v>
      </c>
      <c r="B188" s="19">
        <v>1</v>
      </c>
      <c r="C188" s="9" t="str">
        <f>VLOOKUP(A188,'[1]terceros cto'!A$1:B$65536,2,0)</f>
        <v>PUERTO VÁSQUEZ HENRY DE JESÚS</v>
      </c>
      <c r="D188" s="20" t="str">
        <f>VLOOKUP(C188,'[1]terceros cto'!B$1:F$65536,5,0)</f>
        <v>henrypuerto@hotmail.com</v>
      </c>
      <c r="E188" s="21" t="s">
        <v>2252</v>
      </c>
      <c r="F188" s="9" t="str">
        <f>VLOOKUP(C188,'[1]terceros cto'!B$1:D$65536,3,0)</f>
        <v>Paipa</v>
      </c>
      <c r="G188" s="21">
        <v>15516</v>
      </c>
      <c r="H188" s="9">
        <v>212</v>
      </c>
      <c r="I188" s="30">
        <v>370000</v>
      </c>
      <c r="J188" s="31">
        <v>0</v>
      </c>
      <c r="K188" s="22">
        <v>0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</row>
    <row r="189" spans="1:142" x14ac:dyDescent="0.35">
      <c r="A189" s="9">
        <v>4191955</v>
      </c>
      <c r="B189" s="19">
        <v>1</v>
      </c>
      <c r="C189" s="9" t="str">
        <f>VLOOKUP(A189,'[1]terceros cto'!A$1:B$65536,2,0)</f>
        <v>GUATIBONZA HIGUERA JULIO ROBERTO</v>
      </c>
      <c r="D189" s="20" t="str">
        <f>VLOOKUP(C189,'[1]terceros cto'!B$1:F$65536,5,0)</f>
        <v>guatijr@gmail.com</v>
      </c>
      <c r="E189" s="21" t="s">
        <v>2252</v>
      </c>
      <c r="F189" s="9" t="str">
        <f>VLOOKUP(C189,'[1]terceros cto'!B$1:D$65536,3,0)</f>
        <v>Paipa</v>
      </c>
      <c r="G189" s="21">
        <v>15516</v>
      </c>
      <c r="H189" s="9">
        <v>212</v>
      </c>
      <c r="I189" s="28">
        <v>155513</v>
      </c>
      <c r="J189" s="29">
        <v>0</v>
      </c>
      <c r="K189" s="22">
        <v>0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</row>
    <row r="190" spans="1:142" x14ac:dyDescent="0.35">
      <c r="A190" s="9">
        <v>4191960</v>
      </c>
      <c r="B190" s="19">
        <v>9</v>
      </c>
      <c r="C190" s="9" t="str">
        <f>VLOOKUP(A190,'[1]terceros cto'!A$1:B$65536,2,0)</f>
        <v>RODRÍGUEZ FONSECA JOSE DEL CARMEN</v>
      </c>
      <c r="D190" s="20" t="str">
        <f>VLOOKUP(C190,'[1]terceros cto'!B$1:F$65536,5,0)</f>
        <v>clayolrodriguez@uniboyaca.edu.co</v>
      </c>
      <c r="E190" s="21" t="s">
        <v>2252</v>
      </c>
      <c r="F190" s="9" t="str">
        <f>VLOOKUP(C190,'[1]terceros cto'!B$1:D$65536,3,0)</f>
        <v>Paipa</v>
      </c>
      <c r="G190" s="21">
        <v>15516</v>
      </c>
      <c r="H190" s="9">
        <v>212</v>
      </c>
      <c r="I190" s="30">
        <v>50000</v>
      </c>
      <c r="J190" s="31">
        <v>0</v>
      </c>
      <c r="K190" s="22">
        <v>0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</row>
    <row r="191" spans="1:142" x14ac:dyDescent="0.35">
      <c r="A191" s="9">
        <v>4192110</v>
      </c>
      <c r="B191" s="19">
        <v>1</v>
      </c>
      <c r="C191" s="9" t="str">
        <f>VLOOKUP(A191,'[1]terceros cto'!A$1:B$65536,2,0)</f>
        <v>SANDOVAL HERNANDEZ LUIS CARLOS</v>
      </c>
      <c r="D191" s="20" t="str">
        <f>VLOOKUP(C191,'[1]terceros cto'!B$1:F$65536,5,0)</f>
        <v>luiscarlosh128@hotmail.com</v>
      </c>
      <c r="E191" s="21" t="s">
        <v>2252</v>
      </c>
      <c r="F191" s="9" t="str">
        <f>VLOOKUP(C191,'[1]terceros cto'!B$1:D$65536,3,0)</f>
        <v>Paipa</v>
      </c>
      <c r="G191" s="21">
        <v>15516</v>
      </c>
      <c r="H191" s="9">
        <v>212</v>
      </c>
      <c r="I191" s="28">
        <v>472000</v>
      </c>
      <c r="J191" s="29">
        <v>0</v>
      </c>
      <c r="K191" s="22">
        <v>0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</row>
    <row r="192" spans="1:142" x14ac:dyDescent="0.35">
      <c r="A192" s="9">
        <v>4192129</v>
      </c>
      <c r="B192" s="19">
        <v>9</v>
      </c>
      <c r="C192" s="9" t="str">
        <f>VLOOKUP(A192,'[1]terceros cto'!A$1:B$65536,2,0)</f>
        <v>MONROY OCHOA JOHN KINLEY</v>
      </c>
      <c r="D192" s="20" t="str">
        <f>VLOOKUP(C192,'[1]terceros cto'!B$1:F$65536,5,0)</f>
        <v>john.kinley23@gmail.com</v>
      </c>
      <c r="E192" s="21" t="s">
        <v>2252</v>
      </c>
      <c r="F192" s="9" t="str">
        <f>VLOOKUP(C192,'[1]terceros cto'!B$1:D$65536,3,0)</f>
        <v>PAIPA</v>
      </c>
      <c r="G192" s="21">
        <v>15516</v>
      </c>
      <c r="H192" s="9">
        <v>212</v>
      </c>
      <c r="I192" s="30">
        <v>120000</v>
      </c>
      <c r="J192" s="31">
        <v>0</v>
      </c>
      <c r="K192" s="22">
        <v>0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</row>
    <row r="193" spans="1:142" x14ac:dyDescent="0.35">
      <c r="A193" s="9">
        <v>4192271</v>
      </c>
      <c r="B193" s="19">
        <v>7</v>
      </c>
      <c r="C193" s="9" t="str">
        <f>VLOOKUP(A193,'[1]terceros cto'!A$1:B$65536,2,0)</f>
        <v>SANDOVAL OMAR MARTINEZ</v>
      </c>
      <c r="D193" s="20" t="str">
        <f>VLOOKUP(C193,'[1]terceros cto'!B$1:F$65536,5,0)</f>
        <v>hortipaipa@hotmail.com</v>
      </c>
      <c r="E193" s="21" t="s">
        <v>2252</v>
      </c>
      <c r="F193" s="9" t="str">
        <f>VLOOKUP(C193,'[1]terceros cto'!B$1:D$65536,3,0)</f>
        <v>PAIPA</v>
      </c>
      <c r="G193" s="21">
        <v>15516</v>
      </c>
      <c r="H193" s="9">
        <v>212</v>
      </c>
      <c r="I193" s="28">
        <v>4623660</v>
      </c>
      <c r="J193" s="29">
        <v>0</v>
      </c>
      <c r="K193" s="22">
        <v>0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</row>
    <row r="194" spans="1:142" x14ac:dyDescent="0.35">
      <c r="A194" s="9">
        <v>4192331</v>
      </c>
      <c r="B194" s="19">
        <v>0</v>
      </c>
      <c r="C194" s="9" t="str">
        <f>VLOOKUP(A194,'[1]terceros cto'!A$1:B$65536,2,0)</f>
        <v>DIAZ PEDRAZA DAVID MAURICIO</v>
      </c>
      <c r="D194" s="20" t="str">
        <f>VLOOKUP(C194,'[1]terceros cto'!B$1:F$65536,5,0)</f>
        <v>ingdamadipe@gmail.com</v>
      </c>
      <c r="E194" s="21" t="s">
        <v>2252</v>
      </c>
      <c r="F194" s="9" t="str">
        <f>VLOOKUP(C194,'[1]terceros cto'!B$1:D$65536,3,0)</f>
        <v>Paipa</v>
      </c>
      <c r="G194" s="21">
        <v>15516</v>
      </c>
      <c r="H194" s="9">
        <v>212</v>
      </c>
      <c r="I194" s="30">
        <v>74038</v>
      </c>
      <c r="J194" s="31">
        <v>0</v>
      </c>
      <c r="K194" s="22">
        <v>0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</row>
    <row r="195" spans="1:142" x14ac:dyDescent="0.35">
      <c r="A195" s="9">
        <v>4192467</v>
      </c>
      <c r="B195" s="19">
        <v>3</v>
      </c>
      <c r="C195" s="9" t="str">
        <f>VLOOKUP(A195,'[1]terceros cto'!A$1:B$65536,2,0)</f>
        <v>GONZALEZ MONSALVA WILFER ALEXANDER</v>
      </c>
      <c r="D195" s="20" t="str">
        <f>VLOOKUP(C195,'[1]terceros cto'!B$1:F$65536,5,0)</f>
        <v>wilfer_gonza@hotmail.com</v>
      </c>
      <c r="E195" s="21" t="s">
        <v>2252</v>
      </c>
      <c r="F195" s="9" t="str">
        <f>VLOOKUP(C195,'[1]terceros cto'!B$1:D$65536,3,0)</f>
        <v>CL 19 17 32 MZB CA BA LA ESTACION D</v>
      </c>
      <c r="G195" s="21">
        <v>15516</v>
      </c>
      <c r="H195" s="9">
        <v>212</v>
      </c>
      <c r="I195" s="28">
        <v>1509963</v>
      </c>
      <c r="J195" s="29">
        <v>0</v>
      </c>
      <c r="K195" s="22">
        <v>0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</row>
    <row r="196" spans="1:142" x14ac:dyDescent="0.35">
      <c r="A196" s="9">
        <v>4192520</v>
      </c>
      <c r="B196" s="19">
        <v>6</v>
      </c>
      <c r="C196" s="9" t="str">
        <f>VLOOKUP(A196,'[1]terceros cto'!A$1:B$65536,2,0)</f>
        <v>RODRIGUEZ ZANGUÑA JOSE LUIS</v>
      </c>
      <c r="D196" s="20" t="str">
        <f>VLOOKUP(C196,'[1]terceros cto'!B$1:F$65536,5,0)</f>
        <v>joseluro520@gmail.com</v>
      </c>
      <c r="E196" s="21" t="s">
        <v>2252</v>
      </c>
      <c r="F196" s="9" t="str">
        <f>VLOOKUP(C196,'[1]terceros cto'!B$1:D$65536,3,0)</f>
        <v>Paipa</v>
      </c>
      <c r="G196" s="21">
        <v>15516</v>
      </c>
      <c r="H196" s="9">
        <v>212</v>
      </c>
      <c r="I196" s="30">
        <v>50000</v>
      </c>
      <c r="J196" s="31">
        <v>0</v>
      </c>
      <c r="K196" s="22">
        <v>0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</row>
    <row r="197" spans="1:142" x14ac:dyDescent="0.35">
      <c r="A197" s="9">
        <v>4192696</v>
      </c>
      <c r="B197" s="19">
        <v>3</v>
      </c>
      <c r="C197" s="9" t="str">
        <f>VLOOKUP(A197,'[1]terceros cto'!A$1:B$65536,2,0)</f>
        <v>OCHOA CONTRERAS JULIAN DAVID</v>
      </c>
      <c r="D197" s="20" t="str">
        <f>VLOOKUP(C197,'[1]terceros cto'!B$1:F$65536,5,0)</f>
        <v>davidalejo09@outlook.com</v>
      </c>
      <c r="E197" s="21" t="s">
        <v>2252</v>
      </c>
      <c r="F197" s="9" t="str">
        <f>VLOOKUP(C197,'[1]terceros cto'!B$1:D$65536,3,0)</f>
        <v>Paipa</v>
      </c>
      <c r="G197" s="21">
        <v>15516</v>
      </c>
      <c r="H197" s="9">
        <v>212</v>
      </c>
      <c r="I197" s="28">
        <v>1419019</v>
      </c>
      <c r="J197" s="29">
        <v>0</v>
      </c>
      <c r="K197" s="22">
        <v>0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</row>
    <row r="198" spans="1:142" x14ac:dyDescent="0.35">
      <c r="A198" s="9">
        <v>4192785</v>
      </c>
      <c r="B198" s="19">
        <v>0</v>
      </c>
      <c r="C198" s="9" t="str">
        <f>VLOOKUP(A198,'[1]terceros cto'!A$1:B$65536,2,0)</f>
        <v>VARGAS PUERTO FAUSTO</v>
      </c>
      <c r="D198" s="20" t="str">
        <f>VLOOKUP(C198,'[1]terceros cto'!B$1:F$65536,5,0)</f>
        <v>faustovargaspuerto@hotmail.com</v>
      </c>
      <c r="E198" s="21" t="s">
        <v>2252</v>
      </c>
      <c r="F198" s="9" t="str">
        <f>VLOOKUP(C198,'[1]terceros cto'!B$1:D$65536,3,0)</f>
        <v>CALLE 27 N 17-21</v>
      </c>
      <c r="G198" s="21">
        <v>15516</v>
      </c>
      <c r="H198" s="9">
        <v>212</v>
      </c>
      <c r="I198" s="30">
        <v>29413744</v>
      </c>
      <c r="J198" s="31">
        <v>0</v>
      </c>
      <c r="K198" s="22">
        <v>0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</row>
    <row r="199" spans="1:142" x14ac:dyDescent="0.35">
      <c r="A199" s="9">
        <v>4209065</v>
      </c>
      <c r="B199" s="19">
        <v>2</v>
      </c>
      <c r="C199" s="9" t="str">
        <f>VLOOKUP(A199,'[1]terceros cto'!A$1:B$65536,2,0)</f>
        <v>MANRIQUE MONTOYA EDISON JAVIER</v>
      </c>
      <c r="D199" s="20" t="str">
        <f>VLOOKUP(C199,'[1]terceros cto'!B$1:F$65536,5,0)</f>
        <v>edisonjaviermanrique15@hotmail.com</v>
      </c>
      <c r="E199" s="21" t="s">
        <v>2252</v>
      </c>
      <c r="F199" s="9" t="str">
        <f>VLOOKUP(C199,'[1]terceros cto'!B$1:D$65536,3,0)</f>
        <v>Paipa</v>
      </c>
      <c r="G199" s="21">
        <v>15516</v>
      </c>
      <c r="H199" s="9">
        <v>212</v>
      </c>
      <c r="I199" s="28">
        <v>50000</v>
      </c>
      <c r="J199" s="29">
        <v>0</v>
      </c>
      <c r="K199" s="22">
        <v>0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</row>
    <row r="200" spans="1:142" x14ac:dyDescent="0.35">
      <c r="A200" s="9">
        <v>4234024</v>
      </c>
      <c r="B200" s="19">
        <v>6</v>
      </c>
      <c r="C200" s="9" t="str">
        <f>VLOOKUP(A200,'[1]terceros cto'!A$1:B$65536,2,0)</f>
        <v>ALFONSO HERNÁNDEZ JOSÉ MARIA</v>
      </c>
      <c r="D200" s="20" t="str">
        <f>VLOOKUP(C200,'[1]terceros cto'!B$1:F$65536,5,0)</f>
        <v>josemariahernandez0202@gmail.com</v>
      </c>
      <c r="E200" s="21" t="s">
        <v>2252</v>
      </c>
      <c r="F200" s="9" t="str">
        <f>VLOOKUP(C200,'[1]terceros cto'!B$1:D$65536,3,0)</f>
        <v>Paipa</v>
      </c>
      <c r="G200" s="21">
        <v>15516</v>
      </c>
      <c r="H200" s="9">
        <v>212</v>
      </c>
      <c r="I200" s="30">
        <v>40000</v>
      </c>
      <c r="J200" s="31">
        <v>0</v>
      </c>
      <c r="K200" s="22">
        <v>0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</row>
    <row r="201" spans="1:142" x14ac:dyDescent="0.35">
      <c r="A201" s="9">
        <v>4263977</v>
      </c>
      <c r="B201" s="19">
        <v>3</v>
      </c>
      <c r="C201" s="9" t="str">
        <f>VLOOKUP(A201,'[1]terceros cto'!A$1:B$65536,2,0)</f>
        <v>VACCA GAMEZ GILDARDO  IVAN</v>
      </c>
      <c r="D201" s="20" t="str">
        <f>VLOOKUP(C201,'[1]terceros cto'!B$1:F$65536,5,0)</f>
        <v>givprotecsa70@gmail.com</v>
      </c>
      <c r="E201" s="21" t="s">
        <v>2252</v>
      </c>
      <c r="F201" s="9" t="str">
        <f>VLOOKUP(C201,'[1]terceros cto'!B$1:D$65536,3,0)</f>
        <v>PAIPA</v>
      </c>
      <c r="G201" s="21">
        <v>15516</v>
      </c>
      <c r="H201" s="9">
        <v>212</v>
      </c>
      <c r="I201" s="28">
        <v>50000</v>
      </c>
      <c r="J201" s="29">
        <v>0</v>
      </c>
      <c r="K201" s="22">
        <v>0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</row>
    <row r="202" spans="1:142" x14ac:dyDescent="0.35">
      <c r="A202" s="9">
        <v>4265586</v>
      </c>
      <c r="B202" s="19">
        <v>6</v>
      </c>
      <c r="C202" s="9" t="str">
        <f>VLOOKUP(A202,'[1]terceros cto'!A$1:B$65536,2,0)</f>
        <v>PANCHE  ALEXANDER GONZÁLEZ</v>
      </c>
      <c r="D202" s="20" t="str">
        <f>VLOOKUP(C202,'[1]terceros cto'!B$1:F$65536,5,0)</f>
        <v>panche109@gmail.com</v>
      </c>
      <c r="E202" s="21" t="s">
        <v>2252</v>
      </c>
      <c r="F202" s="9" t="str">
        <f>VLOOKUP(C202,'[1]terceros cto'!B$1:D$65536,3,0)</f>
        <v>Paipa</v>
      </c>
      <c r="G202" s="21">
        <v>15516</v>
      </c>
      <c r="H202" s="9">
        <v>212</v>
      </c>
      <c r="I202" s="30">
        <v>70000</v>
      </c>
      <c r="J202" s="31">
        <v>0</v>
      </c>
      <c r="K202" s="22">
        <v>0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</row>
    <row r="203" spans="1:142" x14ac:dyDescent="0.35">
      <c r="A203" s="9">
        <v>4287925</v>
      </c>
      <c r="B203" s="19">
        <v>4</v>
      </c>
      <c r="C203" s="9" t="str">
        <f>VLOOKUP(A203,'[1]terceros cto'!A$1:B$65536,2,0)</f>
        <v>ESPITIA PEREZ ADRIANO DE JESUS</v>
      </c>
      <c r="D203" s="20" t="str">
        <f>VLOOKUP(C203,'[1]terceros cto'!B$1:F$65536,5,0)</f>
        <v>fincaojodeagua01@gmail.com</v>
      </c>
      <c r="E203" s="21" t="s">
        <v>2252</v>
      </c>
      <c r="F203" s="9" t="str">
        <f>VLOOKUP(C203,'[1]terceros cto'!B$1:D$65536,3,0)</f>
        <v>PAIPA</v>
      </c>
      <c r="G203" s="21">
        <v>15516</v>
      </c>
      <c r="H203" s="9">
        <v>212</v>
      </c>
      <c r="I203" s="28">
        <v>95048</v>
      </c>
      <c r="J203" s="29">
        <v>0</v>
      </c>
      <c r="K203" s="22">
        <v>0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</row>
    <row r="204" spans="1:142" x14ac:dyDescent="0.35">
      <c r="A204" s="9">
        <v>43086396</v>
      </c>
      <c r="B204" s="19">
        <v>7</v>
      </c>
      <c r="C204" s="9" t="str">
        <f>VLOOKUP(A204,'[1]terceros cto'!A$1:B$65536,2,0)</f>
        <v>LILIANA MARIA GALLO BUILES</v>
      </c>
      <c r="D204" s="20" t="str">
        <f>VLOOKUP(C204,'[1]terceros cto'!B$1:F$65536,5,0)</f>
        <v>limagabu@gmail.com</v>
      </c>
      <c r="E204" s="21" t="s">
        <v>2252</v>
      </c>
      <c r="F204" s="9" t="str">
        <f>VLOOKUP(C204,'[1]terceros cto'!B$1:D$65536,3,0)</f>
        <v>CARRERA 46B 73 24</v>
      </c>
      <c r="G204" s="21">
        <v>15516</v>
      </c>
      <c r="H204" s="9">
        <v>212</v>
      </c>
      <c r="I204" s="30">
        <v>2022895</v>
      </c>
      <c r="J204" s="31">
        <v>0</v>
      </c>
      <c r="K204" s="22">
        <v>0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</row>
    <row r="205" spans="1:142" x14ac:dyDescent="0.35">
      <c r="A205" s="9">
        <v>46364188</v>
      </c>
      <c r="B205" s="19">
        <v>5</v>
      </c>
      <c r="C205" s="9" t="str">
        <f>VLOOKUP(A205,'[1]terceros cto'!A$1:B$65536,2,0)</f>
        <v>GUTIERREZ PATIÑO YANITH</v>
      </c>
      <c r="D205" s="20" t="str">
        <f>VLOOKUP(C205,'[1]terceros cto'!B$1:F$65536,5,0)</f>
        <v>yanithguit256@hotmail.com</v>
      </c>
      <c r="E205" s="21" t="s">
        <v>2252</v>
      </c>
      <c r="F205" s="9" t="str">
        <f>VLOOKUP(C205,'[1]terceros cto'!B$1:D$65536,3,0)</f>
        <v>BARRIO EL BOSQUE</v>
      </c>
      <c r="G205" s="21">
        <v>15516</v>
      </c>
      <c r="H205" s="9">
        <v>212</v>
      </c>
      <c r="I205" s="28">
        <v>3625774</v>
      </c>
      <c r="J205" s="29">
        <v>0</v>
      </c>
      <c r="K205" s="22">
        <v>0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</row>
    <row r="206" spans="1:142" x14ac:dyDescent="0.35">
      <c r="A206" s="9">
        <v>46366455</v>
      </c>
      <c r="B206" s="19">
        <v>6</v>
      </c>
      <c r="C206" s="9" t="str">
        <f>VLOOKUP(A206,'[1]terceros cto'!A$1:B$65536,2,0)</f>
        <v>ALVAREZ  YANET RUIZ</v>
      </c>
      <c r="D206" s="20" t="str">
        <f>VLOOKUP(C206,'[1]terceros cto'!B$1:F$65536,5,0)</f>
        <v>janetsitara@gmail.com</v>
      </c>
      <c r="E206" s="21" t="s">
        <v>2252</v>
      </c>
      <c r="F206" s="9" t="str">
        <f>VLOOKUP(C206,'[1]terceros cto'!B$1:D$65536,3,0)</f>
        <v>Paipa</v>
      </c>
      <c r="G206" s="21">
        <v>15516</v>
      </c>
      <c r="H206" s="9">
        <v>212</v>
      </c>
      <c r="I206" s="30">
        <v>20000</v>
      </c>
      <c r="J206" s="31">
        <v>0</v>
      </c>
      <c r="K206" s="22">
        <v>0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</row>
    <row r="207" spans="1:142" x14ac:dyDescent="0.35">
      <c r="A207" s="9">
        <v>46371638</v>
      </c>
      <c r="B207" s="19">
        <v>7</v>
      </c>
      <c r="C207" s="9" t="str">
        <f>VLOOKUP(A207,'[1]terceros cto'!A$1:B$65536,2,0)</f>
        <v>RENDON PLAZAS DALIA JACKELINE</v>
      </c>
      <c r="D207" s="20" t="str">
        <f>VLOOKUP(C207,'[1]terceros cto'!B$1:F$65536,5,0)</f>
        <v>pistacampoverde@gmail.com</v>
      </c>
      <c r="E207" s="21" t="s">
        <v>2252</v>
      </c>
      <c r="F207" s="9" t="str">
        <f>VLOOKUP(C207,'[1]terceros cto'!B$1:D$65536,3,0)</f>
        <v>Paipa</v>
      </c>
      <c r="G207" s="21">
        <v>15516</v>
      </c>
      <c r="H207" s="9">
        <v>212</v>
      </c>
      <c r="I207" s="28">
        <v>175014</v>
      </c>
      <c r="J207" s="29">
        <v>0</v>
      </c>
      <c r="K207" s="22">
        <v>0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</row>
    <row r="208" spans="1:142" x14ac:dyDescent="0.35">
      <c r="A208" s="9">
        <v>46372895</v>
      </c>
      <c r="B208" s="19">
        <v>8</v>
      </c>
      <c r="C208" s="9" t="str">
        <f>VLOOKUP(A208,'[1]terceros cto'!A$1:B$65536,2,0)</f>
        <v>MONRROY HERRERA CLAUDIA PATRICIA</v>
      </c>
      <c r="D208" s="20" t="str">
        <f>VLOOKUP(C208,'[1]terceros cto'!B$1:F$65536,5,0)</f>
        <v>burmonclau@hotmail.com</v>
      </c>
      <c r="E208" s="21" t="s">
        <v>2252</v>
      </c>
      <c r="F208" s="9" t="str">
        <f>VLOOKUP(C208,'[1]terceros cto'!B$1:D$65536,3,0)</f>
        <v>CALLE 24-19-99</v>
      </c>
      <c r="G208" s="21">
        <v>15516</v>
      </c>
      <c r="H208" s="9">
        <v>212</v>
      </c>
      <c r="I208" s="30">
        <v>1601379</v>
      </c>
      <c r="J208" s="31">
        <v>0</v>
      </c>
      <c r="K208" s="22">
        <v>0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</row>
    <row r="209" spans="1:142" x14ac:dyDescent="0.35">
      <c r="A209" s="9">
        <v>46383826</v>
      </c>
      <c r="B209" s="19">
        <v>7</v>
      </c>
      <c r="C209" s="9" t="str">
        <f>VLOOKUP(A209,'[1]terceros cto'!A$1:B$65536,2,0)</f>
        <v>RODRIGUEZ ARANGUREN JULIANA CAROLINA</v>
      </c>
      <c r="D209" s="20" t="str">
        <f>VLOOKUP(C209,'[1]terceros cto'!B$1:F$65536,5,0)</f>
        <v>turistica@outlook.com</v>
      </c>
      <c r="E209" s="21" t="s">
        <v>2252</v>
      </c>
      <c r="F209" s="9" t="str">
        <f>VLOOKUP(C209,'[1]terceros cto'!B$1:D$65536,3,0)</f>
        <v>Paipa</v>
      </c>
      <c r="G209" s="21">
        <v>15516</v>
      </c>
      <c r="H209" s="9">
        <v>212</v>
      </c>
      <c r="I209" s="28">
        <v>123901</v>
      </c>
      <c r="J209" s="29">
        <v>0</v>
      </c>
      <c r="K209" s="22">
        <v>0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</row>
    <row r="210" spans="1:142" x14ac:dyDescent="0.35">
      <c r="A210" s="9">
        <v>46450176</v>
      </c>
      <c r="B210" s="19">
        <v>5</v>
      </c>
      <c r="C210" s="9" t="str">
        <f>VLOOKUP(A210,'[1]terceros cto'!A$1:B$65536,2,0)</f>
        <v>PEÑA AGUILAR ZANDRA YANETH</v>
      </c>
      <c r="D210" s="20" t="str">
        <f>VLOOKUP(C210,'[1]terceros cto'!B$1:F$65536,5,0)</f>
        <v>zhana450@hotmail.com</v>
      </c>
      <c r="E210" s="21" t="s">
        <v>2252</v>
      </c>
      <c r="F210" s="9" t="str">
        <f>VLOOKUP(C210,'[1]terceros cto'!B$1:D$65536,3,0)</f>
        <v>CL 23 22 24</v>
      </c>
      <c r="G210" s="21">
        <v>15516</v>
      </c>
      <c r="H210" s="9">
        <v>212</v>
      </c>
      <c r="I210" s="30">
        <v>460053</v>
      </c>
      <c r="J210" s="31">
        <v>0</v>
      </c>
      <c r="K210" s="22">
        <v>0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</row>
    <row r="211" spans="1:142" x14ac:dyDescent="0.35">
      <c r="A211" s="9">
        <v>46450864</v>
      </c>
      <c r="B211" s="19">
        <v>4</v>
      </c>
      <c r="C211" s="9" t="str">
        <f>VLOOKUP(A211,'[1]terceros cto'!A$1:B$65536,2,0)</f>
        <v>FONSECA RODRIGUEZ LIDA MARCELA</v>
      </c>
      <c r="D211" s="20" t="str">
        <f>VLOOKUP(C211,'[1]terceros cto'!B$1:F$65536,5,0)</f>
        <v>lidafon@hotmail.com</v>
      </c>
      <c r="E211" s="21" t="s">
        <v>2252</v>
      </c>
      <c r="F211" s="9" t="str">
        <f>VLOOKUP(C211,'[1]terceros cto'!B$1:D$65536,3,0)</f>
        <v>AUT NORTE KM 5 VDA SAN LORENZO</v>
      </c>
      <c r="G211" s="21">
        <v>15516</v>
      </c>
      <c r="H211" s="9">
        <v>212</v>
      </c>
      <c r="I211" s="28">
        <v>430065</v>
      </c>
      <c r="J211" s="29">
        <v>0</v>
      </c>
      <c r="K211" s="22">
        <v>0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</row>
    <row r="212" spans="1:142" x14ac:dyDescent="0.35">
      <c r="A212" s="9">
        <v>46451016</v>
      </c>
      <c r="B212" s="19">
        <v>1</v>
      </c>
      <c r="C212" s="9" t="str">
        <f>VLOOKUP(A212,'[1]terceros cto'!A$1:B$65536,2,0)</f>
        <v>GUTIERREZ BOHÓRQUEZ ANGELA MARIA</v>
      </c>
      <c r="D212" s="20" t="str">
        <f>VLOOKUP(C212,'[1]terceros cto'!B$1:F$65536,5,0)</f>
        <v>angubo@hotmail.com</v>
      </c>
      <c r="E212" s="21" t="s">
        <v>2252</v>
      </c>
      <c r="F212" s="9" t="str">
        <f>VLOOKUP(C212,'[1]terceros cto'!B$1:D$65536,3,0)</f>
        <v>Paipa</v>
      </c>
      <c r="G212" s="21">
        <v>15516</v>
      </c>
      <c r="H212" s="9">
        <v>212</v>
      </c>
      <c r="I212" s="30">
        <v>50000</v>
      </c>
      <c r="J212" s="31">
        <v>0</v>
      </c>
      <c r="K212" s="22">
        <v>0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x14ac:dyDescent="0.35">
      <c r="A213" s="9">
        <v>46453058</v>
      </c>
      <c r="B213" s="19">
        <v>8</v>
      </c>
      <c r="C213" s="9" t="str">
        <f>VLOOKUP(A213,'[1]terceros cto'!A$1:B$65536,2,0)</f>
        <v>JIMÉNEZ GONZÁLEZ MAGDA LIZETH</v>
      </c>
      <c r="D213" s="20" t="str">
        <f>VLOOKUP(C213,'[1]terceros cto'!B$1:F$65536,5,0)</f>
        <v>magliz611@yahoo.com</v>
      </c>
      <c r="E213" s="21" t="s">
        <v>2252</v>
      </c>
      <c r="F213" s="9" t="str">
        <f>VLOOKUP(C213,'[1]terceros cto'!B$1:D$65536,3,0)</f>
        <v>Paipa</v>
      </c>
      <c r="G213" s="21">
        <v>15516</v>
      </c>
      <c r="H213" s="9">
        <v>212</v>
      </c>
      <c r="I213" s="28">
        <v>50000</v>
      </c>
      <c r="J213" s="29">
        <v>0</v>
      </c>
      <c r="K213" s="22">
        <v>0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x14ac:dyDescent="0.35">
      <c r="A214" s="9">
        <v>46453439</v>
      </c>
      <c r="B214" s="19">
        <v>0</v>
      </c>
      <c r="C214" s="9" t="str">
        <f>VLOOKUP(A214,'[1]terceros cto'!A$1:B$65536,2,0)</f>
        <v>BARRERA RODRIGUEZ ELSA CONSUELO</v>
      </c>
      <c r="D214" s="20" t="str">
        <f>VLOOKUP(C214,'[1]terceros cto'!B$1:F$65536,5,0)</f>
        <v>consuelo-barrera@hotmail.com</v>
      </c>
      <c r="E214" s="21" t="s">
        <v>2252</v>
      </c>
      <c r="F214" s="9" t="str">
        <f>VLOOKUP(C214,'[1]terceros cto'!B$1:D$65536,3,0)</f>
        <v>PAIPA</v>
      </c>
      <c r="G214" s="21">
        <v>15516</v>
      </c>
      <c r="H214" s="9">
        <v>212</v>
      </c>
      <c r="I214" s="30">
        <v>521939</v>
      </c>
      <c r="J214" s="31">
        <v>0</v>
      </c>
      <c r="K214" s="22">
        <v>0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</row>
    <row r="215" spans="1:142" x14ac:dyDescent="0.35">
      <c r="A215" s="9">
        <v>46457817</v>
      </c>
      <c r="B215" s="19">
        <v>1</v>
      </c>
      <c r="C215" s="9" t="str">
        <f>VLOOKUP(A215,'[1]terceros cto'!A$1:B$65536,2,0)</f>
        <v>PANQUEVA LOPEZ ROSA MILENA</v>
      </c>
      <c r="D215" s="20" t="str">
        <f>VLOOKUP(C215,'[1]terceros cto'!B$1:F$65536,5,0)</f>
        <v>mile.panqueva@gmail.com</v>
      </c>
      <c r="E215" s="21" t="s">
        <v>2252</v>
      </c>
      <c r="F215" s="9" t="str">
        <f>VLOOKUP(C215,'[1]terceros cto'!B$1:D$65536,3,0)</f>
        <v>VRD ROMITA FINCA LA GRANJITA CASA 5</v>
      </c>
      <c r="G215" s="21">
        <v>15516</v>
      </c>
      <c r="H215" s="9">
        <v>212</v>
      </c>
      <c r="I215" s="28">
        <v>152035</v>
      </c>
      <c r="J215" s="29">
        <v>0</v>
      </c>
      <c r="K215" s="22">
        <v>0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</row>
    <row r="216" spans="1:142" x14ac:dyDescent="0.35">
      <c r="A216" s="9">
        <v>46662379</v>
      </c>
      <c r="B216" s="19">
        <v>3</v>
      </c>
      <c r="C216" s="9" t="str">
        <f>VLOOKUP(A216,'[1]terceros cto'!A$1:B$65536,2,0)</f>
        <v>CAÑON GARCIA SANDRA PATRICIA</v>
      </c>
      <c r="D216" s="20" t="str">
        <f>VLOOKUP(C216,'[1]terceros cto'!B$1:F$65536,5,0)</f>
        <v>maderaselgranbosque@gmail.com</v>
      </c>
      <c r="E216" s="21" t="s">
        <v>2252</v>
      </c>
      <c r="F216" s="9" t="str">
        <f>VLOOKUP(C216,'[1]terceros cto'!B$1:D$65536,3,0)</f>
        <v>Paipa</v>
      </c>
      <c r="G216" s="21">
        <v>15516</v>
      </c>
      <c r="H216" s="9">
        <v>212</v>
      </c>
      <c r="I216" s="30">
        <v>100000</v>
      </c>
      <c r="J216" s="31">
        <v>0</v>
      </c>
      <c r="K216" s="22">
        <v>0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</row>
    <row r="217" spans="1:142" x14ac:dyDescent="0.35">
      <c r="A217" s="9">
        <v>46663373</v>
      </c>
      <c r="B217" s="19">
        <v>4</v>
      </c>
      <c r="C217" s="9" t="str">
        <f>VLOOKUP(A217,'[1]terceros cto'!A$1:B$65536,2,0)</f>
        <v>GUEVARA MEDINA RUBI EMILSE</v>
      </c>
      <c r="D217" s="20" t="str">
        <f>VLOOKUP(C217,'[1]terceros cto'!B$1:F$65536,5,0)</f>
        <v>ruby-guevara-medina@hotmail.com</v>
      </c>
      <c r="E217" s="21" t="s">
        <v>2252</v>
      </c>
      <c r="F217" s="9" t="str">
        <f>VLOOKUP(C217,'[1]terceros cto'!B$1:D$65536,3,0)</f>
        <v>Paipa</v>
      </c>
      <c r="G217" s="21">
        <v>15516</v>
      </c>
      <c r="H217" s="9">
        <v>212</v>
      </c>
      <c r="I217" s="28">
        <v>40000</v>
      </c>
      <c r="J217" s="29">
        <v>0</v>
      </c>
      <c r="K217" s="22">
        <v>0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</row>
    <row r="218" spans="1:142" x14ac:dyDescent="0.35">
      <c r="A218" s="9">
        <v>46664707</v>
      </c>
      <c r="B218" s="19">
        <v>5</v>
      </c>
      <c r="C218" s="9" t="str">
        <f>VLOOKUP(A218,'[1]terceros cto'!A$1:B$65536,2,0)</f>
        <v>CELY SOLANO MARTHA CECILIA</v>
      </c>
      <c r="D218" s="20" t="str">
        <f>VLOOKUP(C218,'[1]terceros cto'!B$1:F$65536,5,0)</f>
        <v>mafepa69@gmail.com</v>
      </c>
      <c r="E218" s="21" t="s">
        <v>2252</v>
      </c>
      <c r="F218" s="9" t="str">
        <f>VLOOKUP(C218,'[1]terceros cto'!B$1:D$65536,3,0)</f>
        <v>Paipa</v>
      </c>
      <c r="G218" s="21">
        <v>15516</v>
      </c>
      <c r="H218" s="9">
        <v>212</v>
      </c>
      <c r="I218" s="30">
        <v>184362</v>
      </c>
      <c r="J218" s="31">
        <v>0</v>
      </c>
      <c r="K218" s="22">
        <v>0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</row>
    <row r="219" spans="1:142" x14ac:dyDescent="0.35">
      <c r="A219" s="9">
        <v>46669655</v>
      </c>
      <c r="B219" s="19">
        <v>3</v>
      </c>
      <c r="C219" s="9" t="str">
        <f>VLOOKUP(A219,'[1]terceros cto'!A$1:B$65536,2,0)</f>
        <v>GRANADOS  IBETH PUERTO</v>
      </c>
      <c r="D219" s="20" t="str">
        <f>VLOOKUP(C219,'[1]terceros cto'!B$1:F$65536,5,0)</f>
        <v>ibethpuertogranados@yahoo.com</v>
      </c>
      <c r="E219" s="21" t="s">
        <v>2252</v>
      </c>
      <c r="F219" s="9" t="str">
        <f>VLOOKUP(C219,'[1]terceros cto'!B$1:D$65536,3,0)</f>
        <v>Paipa</v>
      </c>
      <c r="G219" s="21">
        <v>15516</v>
      </c>
      <c r="H219" s="9">
        <v>212</v>
      </c>
      <c r="I219" s="28">
        <v>100000</v>
      </c>
      <c r="J219" s="29">
        <v>0</v>
      </c>
      <c r="K219" s="22">
        <v>0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</row>
    <row r="220" spans="1:142" x14ac:dyDescent="0.35">
      <c r="A220" s="9">
        <v>46673916</v>
      </c>
      <c r="B220" s="19">
        <v>6</v>
      </c>
      <c r="C220" s="9" t="str">
        <f>VLOOKUP(A220,'[1]terceros cto'!A$1:B$65536,2,0)</f>
        <v>IGUAVITA AVELLA MYRIAM ANDREA</v>
      </c>
      <c r="D220" s="20" t="str">
        <f>VLOOKUP(C220,'[1]terceros cto'!B$1:F$65536,5,0)</f>
        <v>andreaiguavita2476@gmail.com</v>
      </c>
      <c r="E220" s="21" t="s">
        <v>2252</v>
      </c>
      <c r="F220" s="9" t="str">
        <f>VLOOKUP(C220,'[1]terceros cto'!B$1:D$65536,3,0)</f>
        <v>DIAGONAL 30A #12-32</v>
      </c>
      <c r="G220" s="21">
        <v>15516</v>
      </c>
      <c r="H220" s="9">
        <v>212</v>
      </c>
      <c r="I220" s="30">
        <v>150000</v>
      </c>
      <c r="J220" s="31">
        <v>0</v>
      </c>
      <c r="K220" s="22">
        <v>0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</row>
    <row r="221" spans="1:142" x14ac:dyDescent="0.35">
      <c r="A221" s="9">
        <v>46674266</v>
      </c>
      <c r="B221" s="19">
        <v>1</v>
      </c>
      <c r="C221" s="9" t="str">
        <f>VLOOKUP(A221,'[1]terceros cto'!A$1:B$65536,2,0)</f>
        <v>REYEA CARDENAS BETHY MARIBEL</v>
      </c>
      <c r="D221" s="20" t="str">
        <f>VLOOKUP(C221,'[1]terceros cto'!B$1:F$65536,5,0)</f>
        <v>bethymaribelr@gmail.com</v>
      </c>
      <c r="E221" s="21" t="s">
        <v>2252</v>
      </c>
      <c r="F221" s="9" t="str">
        <f>VLOOKUP(C221,'[1]terceros cto'!B$1:D$65536,3,0)</f>
        <v>Paipa</v>
      </c>
      <c r="G221" s="21">
        <v>15516</v>
      </c>
      <c r="H221" s="9">
        <v>212</v>
      </c>
      <c r="I221" s="28">
        <v>50000</v>
      </c>
      <c r="J221" s="29">
        <v>0</v>
      </c>
      <c r="K221" s="22">
        <v>0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</row>
    <row r="222" spans="1:142" x14ac:dyDescent="0.35">
      <c r="A222" s="9">
        <v>46674793</v>
      </c>
      <c r="B222" s="19">
        <v>1</v>
      </c>
      <c r="C222" s="9" t="str">
        <f>VLOOKUP(A222,'[1]terceros cto'!A$1:B$65536,2,0)</f>
        <v>CASTRO BAYONA OLGA LUCIA</v>
      </c>
      <c r="D222" s="20" t="str">
        <f>VLOOKUP(C222,'[1]terceros cto'!B$1:F$65536,5,0)</f>
        <v>olcb2009@gmail.com</v>
      </c>
      <c r="E222" s="21" t="s">
        <v>2252</v>
      </c>
      <c r="F222" s="9" t="str">
        <f>VLOOKUP(C222,'[1]terceros cto'!B$1:D$65536,3,0)</f>
        <v>Paipa</v>
      </c>
      <c r="G222" s="21">
        <v>15516</v>
      </c>
      <c r="H222" s="9">
        <v>212</v>
      </c>
      <c r="I222" s="30">
        <v>50000</v>
      </c>
      <c r="J222" s="31">
        <v>0</v>
      </c>
      <c r="K222" s="22">
        <v>0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x14ac:dyDescent="0.35">
      <c r="A223" s="9">
        <v>46680667</v>
      </c>
      <c r="B223" s="19">
        <v>6</v>
      </c>
      <c r="C223" s="9" t="str">
        <f>VLOOKUP(A223,'[1]terceros cto'!A$1:B$65536,2,0)</f>
        <v>GAITÁN CASTRO MERY  ESPERANZA</v>
      </c>
      <c r="D223" s="20" t="str">
        <f>VLOOKUP(C223,'[1]terceros cto'!B$1:F$65536,5,0)</f>
        <v>esperanzafisio@hotmail.com</v>
      </c>
      <c r="E223" s="21" t="s">
        <v>2252</v>
      </c>
      <c r="F223" s="9" t="str">
        <f>VLOOKUP(C223,'[1]terceros cto'!B$1:D$65536,3,0)</f>
        <v>PAIPA</v>
      </c>
      <c r="G223" s="21">
        <v>15516</v>
      </c>
      <c r="H223" s="9">
        <v>212</v>
      </c>
      <c r="I223" s="28">
        <v>350077</v>
      </c>
      <c r="J223" s="29">
        <v>0</v>
      </c>
      <c r="K223" s="22">
        <v>0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x14ac:dyDescent="0.35">
      <c r="A224" s="9">
        <v>46680933</v>
      </c>
      <c r="B224" s="19">
        <v>0</v>
      </c>
      <c r="C224" s="9" t="str">
        <f>VLOOKUP(A224,'[1]terceros cto'!A$1:B$65536,2,0)</f>
        <v>PRIETO RODRIGUEZ MAGDA ISABEL</v>
      </c>
      <c r="D224" s="20" t="str">
        <f>VLOOKUP(C224,'[1]terceros cto'!B$1:F$65536,5,0)</f>
        <v>homemark2023@gmail.com</v>
      </c>
      <c r="E224" s="21" t="s">
        <v>2252</v>
      </c>
      <c r="F224" s="9" t="str">
        <f>VLOOKUP(C224,'[1]terceros cto'!B$1:D$65536,3,0)</f>
        <v>Paipa</v>
      </c>
      <c r="G224" s="21">
        <v>15516</v>
      </c>
      <c r="H224" s="9">
        <v>212</v>
      </c>
      <c r="I224" s="30">
        <v>95220</v>
      </c>
      <c r="J224" s="31">
        <v>0</v>
      </c>
      <c r="K224" s="22">
        <v>0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</row>
    <row r="225" spans="1:142" x14ac:dyDescent="0.35">
      <c r="A225" s="9">
        <v>46681916</v>
      </c>
      <c r="B225" s="19">
        <v>1</v>
      </c>
      <c r="C225" s="9" t="str">
        <f>VLOOKUP(A225,'[1]terceros cto'!A$1:B$65536,2,0)</f>
        <v>RODRIGUEZ PEDRAZA MILE MILENA</v>
      </c>
      <c r="D225" s="20" t="str">
        <f>VLOOKUP(C225,'[1]terceros cto'!B$1:F$65536,5,0)</f>
        <v>amile_r@hotmail.com</v>
      </c>
      <c r="E225" s="21" t="s">
        <v>2252</v>
      </c>
      <c r="F225" s="9" t="str">
        <f>VLOOKUP(C225,'[1]terceros cto'!B$1:D$65536,3,0)</f>
        <v>Paipa</v>
      </c>
      <c r="G225" s="21">
        <v>15516</v>
      </c>
      <c r="H225" s="9">
        <v>212</v>
      </c>
      <c r="I225" s="28">
        <v>190012</v>
      </c>
      <c r="J225" s="29">
        <v>0</v>
      </c>
      <c r="K225" s="22">
        <v>0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</row>
    <row r="226" spans="1:142" x14ac:dyDescent="0.35">
      <c r="A226" s="9">
        <v>46681945</v>
      </c>
      <c r="B226" s="19">
        <v>3</v>
      </c>
      <c r="C226" s="9" t="str">
        <f>VLOOKUP(A226,'[1]terceros cto'!A$1:B$65536,2,0)</f>
        <v>SANCHEZ SANCHEZ EDITH SOFIA</v>
      </c>
      <c r="D226" s="20" t="str">
        <f>VLOOKUP(C226,'[1]terceros cto'!B$1:F$65536,5,0)</f>
        <v>tuboretales@hotmail.com</v>
      </c>
      <c r="E226" s="21" t="s">
        <v>2252</v>
      </c>
      <c r="F226" s="9" t="str">
        <f>VLOOKUP(C226,'[1]terceros cto'!B$1:D$65536,3,0)</f>
        <v>Paipa</v>
      </c>
      <c r="G226" s="21">
        <v>15516</v>
      </c>
      <c r="H226" s="9">
        <v>212</v>
      </c>
      <c r="I226" s="30">
        <v>100000</v>
      </c>
      <c r="J226" s="31">
        <v>0</v>
      </c>
      <c r="K226" s="22">
        <v>0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</row>
    <row r="227" spans="1:142" x14ac:dyDescent="0.35">
      <c r="A227" s="9">
        <v>46682040</v>
      </c>
      <c r="B227" s="19">
        <v>8</v>
      </c>
      <c r="C227" s="9" t="str">
        <f>VLOOKUP(A227,'[1]terceros cto'!A$1:B$65536,2,0)</f>
        <v>FONSECA VASQUEZ MIREYA ANDREA</v>
      </c>
      <c r="D227" s="20" t="str">
        <f>VLOOKUP(C227,'[1]terceros cto'!B$1:F$65536,5,0)</f>
        <v>andrefon1521@hotmail.com</v>
      </c>
      <c r="E227" s="21" t="s">
        <v>2252</v>
      </c>
      <c r="F227" s="9" t="str">
        <f>VLOOKUP(C227,'[1]terceros cto'!B$1:D$65536,3,0)</f>
        <v>Paipa</v>
      </c>
      <c r="G227" s="21">
        <v>15516</v>
      </c>
      <c r="H227" s="9">
        <v>212</v>
      </c>
      <c r="I227" s="28">
        <v>30000</v>
      </c>
      <c r="J227" s="29">
        <v>0</v>
      </c>
      <c r="K227" s="22">
        <v>0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</row>
    <row r="228" spans="1:142" x14ac:dyDescent="0.35">
      <c r="A228" s="9">
        <v>46682117</v>
      </c>
      <c r="B228" s="19">
        <v>6</v>
      </c>
      <c r="C228" s="9" t="str">
        <f>VLOOKUP(A228,'[1]terceros cto'!A$1:B$65536,2,0)</f>
        <v>ROJAS FONSECA ALEXANDRA</v>
      </c>
      <c r="D228" s="20" t="str">
        <f>VLOOKUP(C228,'[1]terceros cto'!B$1:F$65536,5,0)</f>
        <v>lacteosdomi@gmail.com</v>
      </c>
      <c r="E228" s="21" t="s">
        <v>2252</v>
      </c>
      <c r="F228" s="9" t="str">
        <f>VLOOKUP(C228,'[1]terceros cto'!B$1:D$65536,3,0)</f>
        <v>PAIPA</v>
      </c>
      <c r="G228" s="21">
        <v>15516</v>
      </c>
      <c r="H228" s="9">
        <v>212</v>
      </c>
      <c r="I228" s="30">
        <v>160000</v>
      </c>
      <c r="J228" s="31">
        <v>0</v>
      </c>
      <c r="K228" s="22">
        <v>0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</row>
    <row r="229" spans="1:142" x14ac:dyDescent="0.35">
      <c r="A229" s="9">
        <v>46682966</v>
      </c>
      <c r="B229" s="19">
        <v>2</v>
      </c>
      <c r="C229" s="9" t="str">
        <f>VLOOKUP(A229,'[1]terceros cto'!A$1:B$65536,2,0)</f>
        <v>FONSECA AYALA ECNA ZULY</v>
      </c>
      <c r="D229" s="20" t="str">
        <f>VLOOKUP(C229,'[1]terceros cto'!B$1:F$65536,5,0)</f>
        <v>ecnitaz@hotmail.com</v>
      </c>
      <c r="E229" s="21" t="s">
        <v>2252</v>
      </c>
      <c r="F229" s="9" t="str">
        <f>VLOOKUP(C229,'[1]terceros cto'!B$1:D$65536,3,0)</f>
        <v>PAIPA</v>
      </c>
      <c r="G229" s="21">
        <v>15516</v>
      </c>
      <c r="H229" s="9">
        <v>212</v>
      </c>
      <c r="I229" s="28">
        <v>1062043</v>
      </c>
      <c r="J229" s="29">
        <v>0</v>
      </c>
      <c r="K229" s="22">
        <v>0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</row>
    <row r="230" spans="1:142" x14ac:dyDescent="0.35">
      <c r="A230" s="9">
        <v>46683077</v>
      </c>
      <c r="B230" s="19">
        <v>4</v>
      </c>
      <c r="C230" s="9" t="str">
        <f>VLOOKUP(A230,'[1]terceros cto'!A$1:B$65536,2,0)</f>
        <v>DELGADO PITA DIANA PATRICIA</v>
      </c>
      <c r="D230" s="20" t="str">
        <f>VLOOKUP(C230,'[1]terceros cto'!B$1:F$65536,5,0)</f>
        <v>dianaddelgado90@gmail.com</v>
      </c>
      <c r="E230" s="21" t="s">
        <v>2252</v>
      </c>
      <c r="F230" s="9" t="str">
        <f>VLOOKUP(C230,'[1]terceros cto'!B$1:D$65536,3,0)</f>
        <v>Paipa</v>
      </c>
      <c r="G230" s="21">
        <v>15516</v>
      </c>
      <c r="H230" s="9">
        <v>212</v>
      </c>
      <c r="I230" s="30">
        <v>180000</v>
      </c>
      <c r="J230" s="31">
        <v>0</v>
      </c>
      <c r="K230" s="22">
        <v>0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</row>
    <row r="231" spans="1:142" x14ac:dyDescent="0.35">
      <c r="A231" s="9">
        <v>46683359</v>
      </c>
      <c r="B231" s="19">
        <v>6</v>
      </c>
      <c r="C231" s="9" t="str">
        <f>VLOOKUP(A231,'[1]terceros cto'!A$1:B$65536,2,0)</f>
        <v>BOLIVAR ALBA SANDRA MILENA</v>
      </c>
      <c r="D231" s="20" t="str">
        <f>VLOOKUP(C231,'[1]terceros cto'!B$1:F$65536,5,0)</f>
        <v>sandrabolivar.clientes@gmail.com</v>
      </c>
      <c r="E231" s="21" t="s">
        <v>2252</v>
      </c>
      <c r="F231" s="9" t="str">
        <f>VLOOKUP(C231,'[1]terceros cto'!B$1:D$65536,3,0)</f>
        <v>paipa</v>
      </c>
      <c r="G231" s="21">
        <v>15516</v>
      </c>
      <c r="H231" s="9">
        <v>212</v>
      </c>
      <c r="I231" s="28">
        <v>90000</v>
      </c>
      <c r="J231" s="29">
        <v>0</v>
      </c>
      <c r="K231" s="22">
        <v>0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</row>
    <row r="232" spans="1:142" x14ac:dyDescent="0.35">
      <c r="A232" s="9">
        <v>46683378</v>
      </c>
      <c r="B232" s="19">
        <v>6</v>
      </c>
      <c r="C232" s="9" t="str">
        <f>VLOOKUP(A232,'[1]terceros cto'!A$1:B$65536,2,0)</f>
        <v>RINCON SANDOVAL YURY ESPERANZA</v>
      </c>
      <c r="D232" s="20" t="str">
        <f>VLOOKUP(C232,'[1]terceros cto'!B$1:F$65536,5,0)</f>
        <v>yury84_@hotmail.com</v>
      </c>
      <c r="E232" s="21" t="s">
        <v>2252</v>
      </c>
      <c r="F232" s="9" t="str">
        <f>VLOOKUP(C232,'[1]terceros cto'!B$1:D$65536,3,0)</f>
        <v>Paipa</v>
      </c>
      <c r="G232" s="21">
        <v>15516</v>
      </c>
      <c r="H232" s="9">
        <v>212</v>
      </c>
      <c r="I232" s="30">
        <v>50000</v>
      </c>
      <c r="J232" s="31">
        <v>0</v>
      </c>
      <c r="K232" s="22">
        <v>0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</row>
    <row r="233" spans="1:142" x14ac:dyDescent="0.35">
      <c r="A233" s="9">
        <v>51736380</v>
      </c>
      <c r="B233" s="19">
        <v>9</v>
      </c>
      <c r="C233" s="9" t="str">
        <f>VLOOKUP(A233,'[1]terceros cto'!A$1:B$65536,2,0)</f>
        <v>MARIN ARANGUREN ERLI MARGARITA</v>
      </c>
      <c r="D233" s="20" t="str">
        <f>VLOOKUP(C233,'[1]terceros cto'!B$1:F$65536,5,0)</f>
        <v>erlimargarita22@gmail.com</v>
      </c>
      <c r="E233" s="21" t="s">
        <v>2252</v>
      </c>
      <c r="F233" s="9" t="str">
        <f>VLOOKUP(C233,'[1]terceros cto'!B$1:D$65536,3,0)</f>
        <v>Paipa</v>
      </c>
      <c r="G233" s="21">
        <v>15516</v>
      </c>
      <c r="H233" s="9">
        <v>212</v>
      </c>
      <c r="I233" s="28">
        <v>128230</v>
      </c>
      <c r="J233" s="29">
        <v>0</v>
      </c>
      <c r="K233" s="22">
        <v>0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</row>
    <row r="234" spans="1:142" x14ac:dyDescent="0.35">
      <c r="A234" s="9">
        <v>51842434</v>
      </c>
      <c r="B234" s="19">
        <v>1</v>
      </c>
      <c r="C234" s="9" t="str">
        <f>VLOOKUP(A234,'[1]terceros cto'!A$1:B$65536,2,0)</f>
        <v>AGUDELO SARRIA CLAUDIA VIRGINIA</v>
      </c>
      <c r="D234" s="20" t="str">
        <f>VLOOKUP(C234,'[1]terceros cto'!B$1:F$65536,5,0)</f>
        <v>c.agudelo.sarria@gmail.com</v>
      </c>
      <c r="E234" s="21" t="s">
        <v>2252</v>
      </c>
      <c r="F234" s="9" t="str">
        <f>VLOOKUP(C234,'[1]terceros cto'!B$1:D$65536,3,0)</f>
        <v>Paipa</v>
      </c>
      <c r="G234" s="21">
        <v>15516</v>
      </c>
      <c r="H234" s="9">
        <v>212</v>
      </c>
      <c r="I234" s="30">
        <v>100000</v>
      </c>
      <c r="J234" s="31">
        <v>0</v>
      </c>
      <c r="K234" s="22">
        <v>0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</row>
    <row r="235" spans="1:142" x14ac:dyDescent="0.35">
      <c r="A235" s="9">
        <v>51858648</v>
      </c>
      <c r="B235" s="19">
        <v>0</v>
      </c>
      <c r="C235" s="9" t="str">
        <f>VLOOKUP(A235,'[1]terceros cto'!A$1:B$65536,2,0)</f>
        <v>GALVIS  SANDRA PATRICIA</v>
      </c>
      <c r="D235" s="20" t="str">
        <f>VLOOKUP(C235,'[1]terceros cto'!B$1:F$65536,5,0)</f>
        <v>aromasdelalma7@hotmail.com</v>
      </c>
      <c r="E235" s="21" t="s">
        <v>2252</v>
      </c>
      <c r="F235" s="9" t="str">
        <f>VLOOKUP(C235,'[1]terceros cto'!B$1:D$65536,3,0)</f>
        <v>Paipa</v>
      </c>
      <c r="G235" s="21">
        <v>15516</v>
      </c>
      <c r="H235" s="9">
        <v>212</v>
      </c>
      <c r="I235" s="28">
        <v>290000</v>
      </c>
      <c r="J235" s="29">
        <v>0</v>
      </c>
      <c r="K235" s="22">
        <v>0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</row>
    <row r="236" spans="1:142" x14ac:dyDescent="0.35">
      <c r="A236" s="9">
        <v>51863558</v>
      </c>
      <c r="B236" s="19">
        <v>6</v>
      </c>
      <c r="C236" s="9" t="str">
        <f>VLOOKUP(A236,'[1]terceros cto'!A$1:B$65536,2,0)</f>
        <v>GUZMAN BARRAGAN MARTHA PATRICIA</v>
      </c>
      <c r="D236" s="20" t="str">
        <f>VLOOKUP(C236,'[1]terceros cto'!B$1:F$65536,5,0)</f>
        <v>martpatog@gmail.com</v>
      </c>
      <c r="E236" s="21" t="s">
        <v>2252</v>
      </c>
      <c r="F236" s="9" t="str">
        <f>VLOOKUP(C236,'[1]terceros cto'!B$1:D$65536,3,0)</f>
        <v>Paipa</v>
      </c>
      <c r="G236" s="21">
        <v>15516</v>
      </c>
      <c r="H236" s="9">
        <v>212</v>
      </c>
      <c r="I236" s="30">
        <v>60000</v>
      </c>
      <c r="J236" s="31">
        <v>0</v>
      </c>
      <c r="K236" s="22">
        <v>0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</row>
    <row r="237" spans="1:142" x14ac:dyDescent="0.35">
      <c r="A237" s="9">
        <v>52255778</v>
      </c>
      <c r="B237" s="19">
        <v>5</v>
      </c>
      <c r="C237" s="9" t="str">
        <f>VLOOKUP(A237,'[1]terceros cto'!A$1:B$65536,2,0)</f>
        <v>GONZALEZ VARGAS SANDRA LILIANA</v>
      </c>
      <c r="D237" s="20" t="str">
        <f>VLOOKUP(C237,'[1]terceros cto'!B$1:F$65536,5,0)</f>
        <v>sgonzalez_vargas@hotmail.com</v>
      </c>
      <c r="E237" s="21" t="s">
        <v>2252</v>
      </c>
      <c r="F237" s="9" t="str">
        <f>VLOOKUP(C237,'[1]terceros cto'!B$1:D$65536,3,0)</f>
        <v>Paipa</v>
      </c>
      <c r="G237" s="21">
        <v>15516</v>
      </c>
      <c r="H237" s="9">
        <v>212</v>
      </c>
      <c r="I237" s="28">
        <v>100000</v>
      </c>
      <c r="J237" s="29">
        <v>0</v>
      </c>
      <c r="K237" s="22">
        <v>0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</row>
    <row r="238" spans="1:142" x14ac:dyDescent="0.35">
      <c r="A238" s="9">
        <v>52481358</v>
      </c>
      <c r="B238" s="19">
        <v>3</v>
      </c>
      <c r="C238" s="9" t="str">
        <f>VLOOKUP(A238,'[1]terceros cto'!A$1:B$65536,2,0)</f>
        <v>LARA AVENDAÑO ANGELICA ANGELICA</v>
      </c>
      <c r="D238" s="20" t="str">
        <f>VLOOKUP(C238,'[1]terceros cto'!B$1:F$65536,5,0)</f>
        <v>anyelicalav@gmail.com</v>
      </c>
      <c r="E238" s="21" t="s">
        <v>2252</v>
      </c>
      <c r="F238" s="9" t="str">
        <f>VLOOKUP(C238,'[1]terceros cto'!B$1:D$65536,3,0)</f>
        <v>Paipa</v>
      </c>
      <c r="G238" s="21">
        <v>15516</v>
      </c>
      <c r="H238" s="9">
        <v>212</v>
      </c>
      <c r="I238" s="30">
        <v>275884</v>
      </c>
      <c r="J238" s="31">
        <v>0</v>
      </c>
      <c r="K238" s="22">
        <v>0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</row>
    <row r="239" spans="1:142" x14ac:dyDescent="0.35">
      <c r="A239" s="9">
        <v>52765504</v>
      </c>
      <c r="B239" s="19">
        <v>2</v>
      </c>
      <c r="C239" s="9" t="str">
        <f>VLOOKUP(A239,'[1]terceros cto'!A$1:B$65536,2,0)</f>
        <v>RONDON  SABINA ACERO</v>
      </c>
      <c r="D239" s="20" t="str">
        <f>VLOOKUP(C239,'[1]terceros cto'!B$1:F$65536,5,0)</f>
        <v>linasabina@hotmail.com</v>
      </c>
      <c r="E239" s="21" t="s">
        <v>2252</v>
      </c>
      <c r="F239" s="9" t="str">
        <f>VLOOKUP(C239,'[1]terceros cto'!B$1:D$65536,3,0)</f>
        <v>Paipa</v>
      </c>
      <c r="G239" s="21">
        <v>15516</v>
      </c>
      <c r="H239" s="9">
        <v>212</v>
      </c>
      <c r="I239" s="28">
        <v>200000</v>
      </c>
      <c r="J239" s="29">
        <v>0</v>
      </c>
      <c r="K239" s="22">
        <v>0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</row>
    <row r="240" spans="1:142" x14ac:dyDescent="0.35">
      <c r="A240" s="9">
        <v>52770928</v>
      </c>
      <c r="B240" s="19">
        <v>1</v>
      </c>
      <c r="C240" s="9" t="str">
        <f>VLOOKUP(A240,'[1]terceros cto'!A$1:B$65536,2,0)</f>
        <v>CHACÓN  YASMIN DÍAZ</v>
      </c>
      <c r="D240" s="20" t="str">
        <f>VLOOKUP(C240,'[1]terceros cto'!B$1:F$65536,5,0)</f>
        <v>yasmindch@gmail.com</v>
      </c>
      <c r="E240" s="21" t="s">
        <v>2252</v>
      </c>
      <c r="F240" s="9" t="str">
        <f>VLOOKUP(C240,'[1]terceros cto'!B$1:D$65536,3,0)</f>
        <v>Paipa</v>
      </c>
      <c r="G240" s="21">
        <v>15516</v>
      </c>
      <c r="H240" s="9">
        <v>212</v>
      </c>
      <c r="I240" s="30">
        <v>140000</v>
      </c>
      <c r="J240" s="31">
        <v>0</v>
      </c>
      <c r="K240" s="22">
        <v>0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</row>
    <row r="241" spans="1:142" x14ac:dyDescent="0.35">
      <c r="A241" s="9">
        <v>52828701</v>
      </c>
      <c r="B241" s="19">
        <v>9</v>
      </c>
      <c r="C241" s="9" t="str">
        <f>VLOOKUP(A241,'[1]terceros cto'!A$1:B$65536,2,0)</f>
        <v>PEÑA NAVARRETE ALEJANDRA JUDITH</v>
      </c>
      <c r="D241" s="20" t="str">
        <f>VLOOKUP(C241,'[1]terceros cto'!B$1:F$65536,5,0)</f>
        <v>aleja_011203@yahoo.es</v>
      </c>
      <c r="E241" s="21" t="s">
        <v>2252</v>
      </c>
      <c r="F241" s="9" t="str">
        <f>VLOOKUP(C241,'[1]terceros cto'!B$1:D$65536,3,0)</f>
        <v>Paipa</v>
      </c>
      <c r="G241" s="21">
        <v>15516</v>
      </c>
      <c r="H241" s="9">
        <v>212</v>
      </c>
      <c r="I241" s="28">
        <v>100000</v>
      </c>
      <c r="J241" s="29">
        <v>0</v>
      </c>
      <c r="K241" s="22">
        <v>0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</row>
    <row r="242" spans="1:142" x14ac:dyDescent="0.35">
      <c r="A242" s="9">
        <v>52934586</v>
      </c>
      <c r="B242" s="19">
        <v>1</v>
      </c>
      <c r="C242" s="9" t="str">
        <f>VLOOKUP(A242,'[1]terceros cto'!A$1:B$65536,2,0)</f>
        <v>ORTEGON  MARLEN GUTIÉRREZ</v>
      </c>
      <c r="D242" s="20" t="str">
        <f>VLOOKUP(C242,'[1]terceros cto'!B$1:F$65536,5,0)</f>
        <v>mgutierrezortegon@gmail.com</v>
      </c>
      <c r="E242" s="21" t="s">
        <v>2252</v>
      </c>
      <c r="F242" s="9" t="str">
        <f>VLOOKUP(C242,'[1]terceros cto'!B$1:D$65536,3,0)</f>
        <v>Paipa</v>
      </c>
      <c r="G242" s="21">
        <v>15516</v>
      </c>
      <c r="H242" s="9">
        <v>212</v>
      </c>
      <c r="I242" s="30">
        <v>196217</v>
      </c>
      <c r="J242" s="31">
        <v>0</v>
      </c>
      <c r="K242" s="22">
        <v>0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</row>
    <row r="243" spans="1:142" x14ac:dyDescent="0.35">
      <c r="A243" s="9">
        <v>52983991</v>
      </c>
      <c r="B243" s="19">
        <v>0</v>
      </c>
      <c r="C243" s="9" t="str">
        <f>VLOOKUP(A243,'[1]terceros cto'!A$1:B$65536,2,0)</f>
        <v>LARA PEREZ NANCY VIVIANA</v>
      </c>
      <c r="D243" s="20" t="str">
        <f>VLOOKUP(C243,'[1]terceros cto'!B$1:F$65536,5,0)</f>
        <v>facturacionvl23@gmail.com</v>
      </c>
      <c r="E243" s="21" t="s">
        <v>2252</v>
      </c>
      <c r="F243" s="9" t="str">
        <f>VLOOKUP(C243,'[1]terceros cto'!B$1:D$65536,3,0)</f>
        <v>CR 29 19 19 CON SENDEROS DE ARAGUA</v>
      </c>
      <c r="G243" s="21">
        <v>15516</v>
      </c>
      <c r="H243" s="9">
        <v>212</v>
      </c>
      <c r="I243" s="28">
        <v>150000</v>
      </c>
      <c r="J243" s="29">
        <v>0</v>
      </c>
      <c r="K243" s="22">
        <v>0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</row>
    <row r="244" spans="1:142" x14ac:dyDescent="0.35">
      <c r="A244" s="9">
        <v>53041717</v>
      </c>
      <c r="B244" s="19">
        <v>0</v>
      </c>
      <c r="C244" s="9" t="str">
        <f>VLOOKUP(A244,'[1]terceros cto'!A$1:B$65536,2,0)</f>
        <v>BOBADILLA HERNANDEZ SAIDY SIRLEY</v>
      </c>
      <c r="D244" s="20" t="str">
        <f>VLOOKUP(C244,'[1]terceros cto'!B$1:F$65536,5,0)</f>
        <v>saidybobadilla85@gmail.com</v>
      </c>
      <c r="E244" s="21" t="s">
        <v>2252</v>
      </c>
      <c r="F244" s="9" t="str">
        <f>VLOOKUP(C244,'[1]terceros cto'!B$1:D$65536,3,0)</f>
        <v>Paipa</v>
      </c>
      <c r="G244" s="21">
        <v>15516</v>
      </c>
      <c r="H244" s="9">
        <v>212</v>
      </c>
      <c r="I244" s="30">
        <v>50000</v>
      </c>
      <c r="J244" s="31">
        <v>0</v>
      </c>
      <c r="K244" s="22">
        <v>0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</row>
    <row r="245" spans="1:142" x14ac:dyDescent="0.35">
      <c r="A245" s="9">
        <v>53052676</v>
      </c>
      <c r="B245" s="19">
        <v>4</v>
      </c>
      <c r="C245" s="9" t="str">
        <f>VLOOKUP(A245,'[1]terceros cto'!A$1:B$65536,2,0)</f>
        <v>ZANGUÑA ZANGUÑA BLANCA PATRICIA</v>
      </c>
      <c r="D245" s="20" t="str">
        <f>VLOOKUP(C245,'[1]terceros cto'!B$1:F$65536,5,0)</f>
        <v>transportescamargo16@gmail.com</v>
      </c>
      <c r="E245" s="21" t="s">
        <v>2252</v>
      </c>
      <c r="F245" s="9" t="str">
        <f>VLOOKUP(C245,'[1]terceros cto'!B$1:D$65536,3,0)</f>
        <v>: Carrera 30 mz c va barrio senderos de San Daniel</v>
      </c>
      <c r="G245" s="21">
        <v>15516</v>
      </c>
      <c r="H245" s="9">
        <v>212</v>
      </c>
      <c r="I245" s="28">
        <v>340025</v>
      </c>
      <c r="J245" s="29">
        <v>0</v>
      </c>
      <c r="K245" s="22">
        <v>0</v>
      </c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</row>
    <row r="246" spans="1:142" x14ac:dyDescent="0.35">
      <c r="A246" s="9">
        <v>53911116</v>
      </c>
      <c r="B246" s="19">
        <v>8</v>
      </c>
      <c r="C246" s="9" t="str">
        <f>VLOOKUP(A246,'[1]terceros cto'!A$1:B$65536,2,0)</f>
        <v>ALVAREZ CASTRO CATIA YHOANA</v>
      </c>
      <c r="D246" s="20" t="str">
        <f>VLOOKUP(C246,'[1]terceros cto'!B$1:F$65536,5,0)</f>
        <v>tastecampestre@gmail.com</v>
      </c>
      <c r="E246" s="21" t="s">
        <v>2252</v>
      </c>
      <c r="F246" s="9" t="str">
        <f>VLOOKUP(C246,'[1]terceros cto'!B$1:D$65536,3,0)</f>
        <v>Paipa</v>
      </c>
      <c r="G246" s="21">
        <v>15516</v>
      </c>
      <c r="H246" s="9">
        <v>212</v>
      </c>
      <c r="I246" s="30">
        <v>50000</v>
      </c>
      <c r="J246" s="31">
        <v>0</v>
      </c>
      <c r="K246" s="22">
        <v>0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</row>
    <row r="247" spans="1:142" x14ac:dyDescent="0.35">
      <c r="A247" s="9">
        <v>5765116</v>
      </c>
      <c r="B247" s="19">
        <v>7</v>
      </c>
      <c r="C247" s="9" t="str">
        <f>VLOOKUP(A247,'[1]terceros cto'!A$1:B$65536,2,0)</f>
        <v>GOMEZ  MAURICIO NIÑO</v>
      </c>
      <c r="D247" s="20" t="str">
        <f>VLOOKUP(C247,'[1]terceros cto'!B$1:F$65536,5,0)</f>
        <v>ninogomezmauricio99@gmail.com</v>
      </c>
      <c r="E247" s="21" t="s">
        <v>2252</v>
      </c>
      <c r="F247" s="9" t="str">
        <f>VLOOKUP(C247,'[1]terceros cto'!B$1:D$65536,3,0)</f>
        <v>Paipa</v>
      </c>
      <c r="G247" s="21">
        <v>15516</v>
      </c>
      <c r="H247" s="9">
        <v>212</v>
      </c>
      <c r="I247" s="28">
        <v>1050356</v>
      </c>
      <c r="J247" s="29">
        <v>0</v>
      </c>
      <c r="K247" s="22">
        <v>0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</row>
    <row r="248" spans="1:142" x14ac:dyDescent="0.35">
      <c r="A248" s="9">
        <v>5967789</v>
      </c>
      <c r="B248" s="19">
        <v>0</v>
      </c>
      <c r="C248" s="9" t="str">
        <f>VLOOKUP(A248,'[1]terceros cto'!A$1:B$65536,2,0)</f>
        <v>LOZANO  TITO GARATEJO</v>
      </c>
      <c r="D248" s="20" t="str">
        <f>VLOOKUP(C248,'[1]terceros cto'!B$1:F$65536,5,0)</f>
        <v>garatejotito1959@gmail.com</v>
      </c>
      <c r="E248" s="21" t="s">
        <v>2252</v>
      </c>
      <c r="F248" s="9" t="str">
        <f>VLOOKUP(C248,'[1]terceros cto'!B$1:D$65536,3,0)</f>
        <v>Paipa</v>
      </c>
      <c r="G248" s="21">
        <v>15516</v>
      </c>
      <c r="H248" s="9">
        <v>212</v>
      </c>
      <c r="I248" s="30">
        <v>363549</v>
      </c>
      <c r="J248" s="31">
        <v>0</v>
      </c>
      <c r="K248" s="22">
        <v>0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</row>
    <row r="249" spans="1:142" x14ac:dyDescent="0.35">
      <c r="A249" s="9">
        <v>6013735</v>
      </c>
      <c r="B249" s="19">
        <v>3</v>
      </c>
      <c r="C249" s="9" t="str">
        <f>VLOOKUP(A249,'[1]terceros cto'!A$1:B$65536,2,0)</f>
        <v>SALAZAR MURCIA JHON JAIME</v>
      </c>
      <c r="D249" s="20" t="str">
        <f>VLOOKUP(C249,'[1]terceros cto'!B$1:F$65536,5,0)</f>
        <v>jhonsjsm@gmail.com</v>
      </c>
      <c r="E249" s="21" t="s">
        <v>2252</v>
      </c>
      <c r="F249" s="9" t="str">
        <f>VLOOKUP(C249,'[1]terceros cto'!B$1:D$65536,3,0)</f>
        <v>Paipa</v>
      </c>
      <c r="G249" s="21">
        <v>15516</v>
      </c>
      <c r="H249" s="9">
        <v>212</v>
      </c>
      <c r="I249" s="28">
        <v>10000</v>
      </c>
      <c r="J249" s="29">
        <v>0</v>
      </c>
      <c r="K249" s="22">
        <v>0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</row>
    <row r="250" spans="1:142" x14ac:dyDescent="0.35">
      <c r="A250" s="9">
        <v>6753817</v>
      </c>
      <c r="B250" s="19">
        <v>3</v>
      </c>
      <c r="C250" s="9" t="str">
        <f>VLOOKUP(A250,'[1]terceros cto'!A$1:B$65536,2,0)</f>
        <v>MALDONADO  ALVARO CHAPARRO</v>
      </c>
      <c r="D250" s="20" t="str">
        <f>VLOOKUP(C250,'[1]terceros cto'!B$1:F$65536,5,0)</f>
        <v>alvarochaparro1950@hotamil.com</v>
      </c>
      <c r="E250" s="21" t="s">
        <v>2252</v>
      </c>
      <c r="F250" s="9" t="str">
        <f>VLOOKUP(C250,'[1]terceros cto'!B$1:D$65536,3,0)</f>
        <v>Paipa</v>
      </c>
      <c r="G250" s="21">
        <v>15516</v>
      </c>
      <c r="H250" s="9">
        <v>212</v>
      </c>
      <c r="I250" s="30">
        <v>130000</v>
      </c>
      <c r="J250" s="31">
        <v>0</v>
      </c>
      <c r="K250" s="22">
        <v>0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x14ac:dyDescent="0.35">
      <c r="A251" s="9">
        <v>6761680</v>
      </c>
      <c r="B251" s="19">
        <v>5</v>
      </c>
      <c r="C251" s="9" t="str">
        <f>VLOOKUP(A251,'[1]terceros cto'!A$1:B$65536,2,0)</f>
        <v>SUAREZ RINCON VICTOR EFREN</v>
      </c>
      <c r="D251" s="20" t="str">
        <f>VLOOKUP(C251,'[1]terceros cto'!B$1:F$65536,5,0)</f>
        <v>victor.724@hotmail.com</v>
      </c>
      <c r="E251" s="21" t="s">
        <v>2252</v>
      </c>
      <c r="F251" s="9" t="str">
        <f>VLOOKUP(C251,'[1]terceros cto'!B$1:D$65536,3,0)</f>
        <v>CR 19 21 48 BRR CENTRO B</v>
      </c>
      <c r="G251" s="21">
        <v>15516</v>
      </c>
      <c r="H251" s="9">
        <v>212</v>
      </c>
      <c r="I251" s="28">
        <v>99000</v>
      </c>
      <c r="J251" s="29">
        <v>0</v>
      </c>
      <c r="K251" s="22">
        <v>0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x14ac:dyDescent="0.35">
      <c r="A252" s="9">
        <v>6763803</v>
      </c>
      <c r="B252" s="19">
        <v>3</v>
      </c>
      <c r="C252" s="9" t="str">
        <f>VLOOKUP(A252,'[1]terceros cto'!A$1:B$65536,2,0)</f>
        <v>CANO ACUÑA JOSE LEOVIGILDO</v>
      </c>
      <c r="D252" s="20" t="str">
        <f>VLOOKUP(C252,'[1]terceros cto'!B$1:F$65536,5,0)</f>
        <v>canojohana743@gmail.com</v>
      </c>
      <c r="E252" s="21" t="s">
        <v>2252</v>
      </c>
      <c r="F252" s="9" t="str">
        <f>VLOOKUP(C252,'[1]terceros cto'!B$1:D$65536,3,0)</f>
        <v>VRDA BOSIGAS NORTE SOTAQUIRA</v>
      </c>
      <c r="G252" s="21">
        <v>15516</v>
      </c>
      <c r="H252" s="9">
        <v>212</v>
      </c>
      <c r="I252" s="30">
        <v>14339622</v>
      </c>
      <c r="J252" s="31">
        <v>0</v>
      </c>
      <c r="K252" s="22">
        <v>0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</row>
    <row r="253" spans="1:142" x14ac:dyDescent="0.35">
      <c r="A253" s="9">
        <v>6771071</v>
      </c>
      <c r="B253" s="19">
        <v>2</v>
      </c>
      <c r="C253" s="9" t="str">
        <f>VLOOKUP(A253,'[1]terceros cto'!A$1:B$65536,2,0)</f>
        <v>ACEVEDO  HERNANDO RAMIREZ</v>
      </c>
      <c r="D253" s="20" t="str">
        <f>VLOOKUP(C253,'[1]terceros cto'!B$1:F$65536,5,0)</f>
        <v>rmhernan2012@gmail.com</v>
      </c>
      <c r="E253" s="21" t="s">
        <v>2252</v>
      </c>
      <c r="F253" s="9" t="str">
        <f>VLOOKUP(C253,'[1]terceros cto'!B$1:D$65536,3,0)</f>
        <v>Paipa</v>
      </c>
      <c r="G253" s="21">
        <v>15516</v>
      </c>
      <c r="H253" s="9">
        <v>212</v>
      </c>
      <c r="I253" s="28">
        <v>60000</v>
      </c>
      <c r="J253" s="29">
        <v>0</v>
      </c>
      <c r="K253" s="22">
        <v>0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</row>
    <row r="254" spans="1:142" x14ac:dyDescent="0.35">
      <c r="A254" s="9">
        <v>7095128</v>
      </c>
      <c r="B254" s="19">
        <v>7</v>
      </c>
      <c r="C254" s="9" t="str">
        <f>VLOOKUP(A254,'[1]terceros cto'!A$1:B$65536,2,0)</f>
        <v>TOVAR GOMEZ LUIS FERNANDO</v>
      </c>
      <c r="D254" s="20" t="str">
        <f>VLOOKUP(C254,'[1]terceros cto'!B$1:F$65536,5,0)</f>
        <v>info@tovarasociados.com</v>
      </c>
      <c r="E254" s="21" t="s">
        <v>2252</v>
      </c>
      <c r="F254" s="9" t="str">
        <f>VLOOKUP(C254,'[1]terceros cto'!B$1:D$65536,3,0)</f>
        <v>Paipa</v>
      </c>
      <c r="G254" s="21">
        <v>15516</v>
      </c>
      <c r="H254" s="9">
        <v>212</v>
      </c>
      <c r="I254" s="30">
        <v>100000</v>
      </c>
      <c r="J254" s="31">
        <v>0</v>
      </c>
      <c r="K254" s="22">
        <v>0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</row>
    <row r="255" spans="1:142" x14ac:dyDescent="0.35">
      <c r="A255" s="9">
        <v>7171975</v>
      </c>
      <c r="B255" s="19">
        <v>4</v>
      </c>
      <c r="C255" s="9" t="str">
        <f>VLOOKUP(A255,'[1]terceros cto'!A$1:B$65536,2,0)</f>
        <v>ESPITIA BUITRAGO BISMARCK ALFONSO</v>
      </c>
      <c r="D255" s="20" t="str">
        <f>VLOOKUP(C255,'[1]terceros cto'!B$1:F$65536,5,0)</f>
        <v>bismarck.espitia@gmail.com</v>
      </c>
      <c r="E255" s="21" t="s">
        <v>2252</v>
      </c>
      <c r="F255" s="9" t="str">
        <f>VLOOKUP(C255,'[1]terceros cto'!B$1:D$65536,3,0)</f>
        <v>CALLE140 11-46 APTO 202 TORRE 4</v>
      </c>
      <c r="G255" s="21">
        <v>15516</v>
      </c>
      <c r="H255" s="9">
        <v>212</v>
      </c>
      <c r="I255" s="28">
        <v>561179</v>
      </c>
      <c r="J255" s="29">
        <v>0</v>
      </c>
      <c r="K255" s="22">
        <v>0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</row>
    <row r="256" spans="1:142" x14ac:dyDescent="0.35">
      <c r="A256" s="9">
        <v>7174738</v>
      </c>
      <c r="B256" s="19">
        <v>9</v>
      </c>
      <c r="C256" s="9" t="str">
        <f>VLOOKUP(A256,'[1]terceros cto'!A$1:B$65536,2,0)</f>
        <v>CABREJO CUERVO VICTOR HUGO</v>
      </c>
      <c r="D256" s="20" t="str">
        <f>VLOOKUP(C256,'[1]terceros cto'!B$1:F$65536,5,0)</f>
        <v>aguasdeboyaca@gmail.com</v>
      </c>
      <c r="E256" s="21" t="s">
        <v>2252</v>
      </c>
      <c r="F256" s="9" t="str">
        <f>VLOOKUP(C256,'[1]terceros cto'!B$1:D$65536,3,0)</f>
        <v>Paipa</v>
      </c>
      <c r="G256" s="21">
        <v>15516</v>
      </c>
      <c r="H256" s="9">
        <v>212</v>
      </c>
      <c r="I256" s="30">
        <v>50000</v>
      </c>
      <c r="J256" s="31">
        <v>0</v>
      </c>
      <c r="K256" s="22">
        <v>0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</row>
    <row r="257" spans="1:142" x14ac:dyDescent="0.35">
      <c r="A257" s="9">
        <v>7175245</v>
      </c>
      <c r="B257" s="19">
        <v>4</v>
      </c>
      <c r="C257" s="9" t="str">
        <f>VLOOKUP(A257,'[1]terceros cto'!A$1:B$65536,2,0)</f>
        <v>RUGE RODRIGUEZ OSCAR EDUARDO</v>
      </c>
      <c r="D257" s="20" t="str">
        <f>VLOOKUP(C257,'[1]terceros cto'!B$1:F$65536,5,0)</f>
        <v>iruge3368@gmail.com</v>
      </c>
      <c r="E257" s="21" t="s">
        <v>2252</v>
      </c>
      <c r="F257" s="9" t="str">
        <f>VLOOKUP(C257,'[1]terceros cto'!B$1:D$65536,3,0)</f>
        <v>Paipa</v>
      </c>
      <c r="G257" s="21">
        <v>15516</v>
      </c>
      <c r="H257" s="9">
        <v>212</v>
      </c>
      <c r="I257" s="28">
        <v>221056</v>
      </c>
      <c r="J257" s="29">
        <v>0</v>
      </c>
      <c r="K257" s="22">
        <v>0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</row>
    <row r="258" spans="1:142" x14ac:dyDescent="0.35">
      <c r="A258" s="9">
        <v>7175528</v>
      </c>
      <c r="B258" s="19">
        <v>3</v>
      </c>
      <c r="C258" s="9" t="str">
        <f>VLOOKUP(A258,'[1]terceros cto'!A$1:B$65536,2,0)</f>
        <v>GUTIERREZ  HUMBERTO CARLOS</v>
      </c>
      <c r="D258" s="20" t="str">
        <f>VLOOKUP(C258,'[1]terceros cto'!B$1:F$65536,5,0)</f>
        <v>revisoriafiscalhcg@gmail.com</v>
      </c>
      <c r="E258" s="21" t="s">
        <v>2252</v>
      </c>
      <c r="F258" s="9" t="str">
        <f>VLOOKUP(C258,'[1]terceros cto'!B$1:D$65536,3,0)</f>
        <v>Paipa</v>
      </c>
      <c r="G258" s="21">
        <v>15516</v>
      </c>
      <c r="H258" s="9">
        <v>212</v>
      </c>
      <c r="I258" s="30">
        <v>100000</v>
      </c>
      <c r="J258" s="31">
        <v>0</v>
      </c>
      <c r="K258" s="22">
        <v>0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</row>
    <row r="259" spans="1:142" x14ac:dyDescent="0.35">
      <c r="A259" s="9">
        <v>7175975</v>
      </c>
      <c r="B259" s="19">
        <v>2</v>
      </c>
      <c r="C259" s="9" t="str">
        <f>VLOOKUP(A259,'[1]terceros cto'!A$1:B$65536,2,0)</f>
        <v>GIOVANNI ROA STEVE GIOVANNI</v>
      </c>
      <c r="D259" s="20" t="str">
        <f>VLOOKUP(C259,'[1]terceros cto'!B$1:F$65536,5,0)</f>
        <v>djsteve6@gmail.com</v>
      </c>
      <c r="E259" s="21" t="s">
        <v>2252</v>
      </c>
      <c r="F259" s="9" t="str">
        <f>VLOOKUP(C259,'[1]terceros cto'!B$1:D$65536,3,0)</f>
        <v>Paipa</v>
      </c>
      <c r="G259" s="21">
        <v>15516</v>
      </c>
      <c r="H259" s="9">
        <v>212</v>
      </c>
      <c r="I259" s="28">
        <v>110000</v>
      </c>
      <c r="J259" s="29">
        <v>0</v>
      </c>
      <c r="K259" s="22">
        <v>0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</row>
    <row r="260" spans="1:142" x14ac:dyDescent="0.35">
      <c r="A260" s="9">
        <v>7177080</v>
      </c>
      <c r="B260" s="19">
        <v>5</v>
      </c>
      <c r="C260" s="9" t="str">
        <f>VLOOKUP(A260,'[1]terceros cto'!A$1:B$65536,2,0)</f>
        <v>CASTELLANOS CASTRO JUAN PABLO</v>
      </c>
      <c r="D260" s="20" t="str">
        <f>VLOOKUP(C260,'[1]terceros cto'!B$1:F$65536,5,0)</f>
        <v>juano06saime@hotmail.com</v>
      </c>
      <c r="E260" s="21" t="s">
        <v>2252</v>
      </c>
      <c r="F260" s="9" t="str">
        <f>VLOOKUP(C260,'[1]terceros cto'!B$1:D$65536,3,0)</f>
        <v>Paipa</v>
      </c>
      <c r="G260" s="21">
        <v>15516</v>
      </c>
      <c r="H260" s="9">
        <v>212</v>
      </c>
      <c r="I260" s="30">
        <v>50000</v>
      </c>
      <c r="J260" s="31">
        <v>0</v>
      </c>
      <c r="K260" s="22">
        <v>0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</row>
    <row r="261" spans="1:142" x14ac:dyDescent="0.35">
      <c r="A261" s="9">
        <v>7180482</v>
      </c>
      <c r="B261" s="19">
        <v>3</v>
      </c>
      <c r="C261" s="9" t="str">
        <f>VLOOKUP(A261,'[1]terceros cto'!A$1:B$65536,2,0)</f>
        <v>MORA GARCIA WILSON FREDY</v>
      </c>
      <c r="D261" s="20" t="str">
        <f>VLOOKUP(C261,'[1]terceros cto'!B$1:F$65536,5,0)</f>
        <v>moratto.bistro@gmail.com</v>
      </c>
      <c r="E261" s="21" t="s">
        <v>2252</v>
      </c>
      <c r="F261" s="9" t="str">
        <f>VLOOKUP(C261,'[1]terceros cto'!B$1:D$65536,3,0)</f>
        <v>Paipa</v>
      </c>
      <c r="G261" s="21">
        <v>15516</v>
      </c>
      <c r="H261" s="9">
        <v>212</v>
      </c>
      <c r="I261" s="28">
        <v>40028</v>
      </c>
      <c r="J261" s="29">
        <v>0</v>
      </c>
      <c r="K261" s="22">
        <v>0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</row>
    <row r="262" spans="1:142" x14ac:dyDescent="0.35">
      <c r="A262" s="9">
        <v>7182091</v>
      </c>
      <c r="B262" s="19">
        <v>6</v>
      </c>
      <c r="C262" s="9" t="str">
        <f>VLOOKUP(A262,'[1]terceros cto'!A$1:B$65536,2,0)</f>
        <v>MEDINA DIEGO</v>
      </c>
      <c r="D262" s="20" t="str">
        <f>VLOOKUP(C262,'[1]terceros cto'!B$1:F$65536,5,0)</f>
        <v>feqfloridatunja@gmail.com</v>
      </c>
      <c r="E262" s="21" t="s">
        <v>2252</v>
      </c>
      <c r="F262" s="9" t="str">
        <f>VLOOKUP(C262,'[1]terceros cto'!B$1:D$65536,3,0)</f>
        <v>PAIPA</v>
      </c>
      <c r="G262" s="21">
        <v>15516</v>
      </c>
      <c r="H262" s="9">
        <v>212</v>
      </c>
      <c r="I262" s="30">
        <v>50014</v>
      </c>
      <c r="J262" s="31">
        <v>0</v>
      </c>
      <c r="K262" s="22">
        <v>0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x14ac:dyDescent="0.35">
      <c r="A263" s="9">
        <v>7187648</v>
      </c>
      <c r="B263" s="19">
        <v>0</v>
      </c>
      <c r="C263" s="9" t="str">
        <f>VLOOKUP(A263,'[1]terceros cto'!A$1:B$65536,2,0)</f>
        <v>CUESTA RUIZ FABIO ALDEMAR</v>
      </c>
      <c r="D263" s="20" t="str">
        <f>VLOOKUP(C263,'[1]terceros cto'!B$1:F$65536,5,0)</f>
        <v>fgigi27@gmail.com</v>
      </c>
      <c r="E263" s="21" t="s">
        <v>2252</v>
      </c>
      <c r="F263" s="9" t="str">
        <f>VLOOKUP(C263,'[1]terceros cto'!B$1:D$65536,3,0)</f>
        <v>Paipa</v>
      </c>
      <c r="G263" s="21">
        <v>15516</v>
      </c>
      <c r="H263" s="9">
        <v>212</v>
      </c>
      <c r="I263" s="28">
        <v>50000</v>
      </c>
      <c r="J263" s="29">
        <v>0</v>
      </c>
      <c r="K263" s="22">
        <v>0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x14ac:dyDescent="0.35">
      <c r="A264" s="9">
        <v>7188325</v>
      </c>
      <c r="B264" s="19">
        <v>1</v>
      </c>
      <c r="C264" s="9" t="str">
        <f>VLOOKUP(A264,'[1]terceros cto'!A$1:B$65536,2,0)</f>
        <v>BELLO PEREZ OSCAR JAVIER</v>
      </c>
      <c r="D264" s="20" t="str">
        <f>VLOOKUP(C264,'[1]terceros cto'!B$1:F$65536,5,0)</f>
        <v>oscarbello84@gmail.com</v>
      </c>
      <c r="E264" s="21" t="s">
        <v>2252</v>
      </c>
      <c r="F264" s="9" t="str">
        <f>VLOOKUP(C264,'[1]terceros cto'!B$1:D$65536,3,0)</f>
        <v>Paipa</v>
      </c>
      <c r="G264" s="21">
        <v>15516</v>
      </c>
      <c r="H264" s="9">
        <v>212</v>
      </c>
      <c r="I264" s="30">
        <v>198121</v>
      </c>
      <c r="J264" s="31">
        <v>0</v>
      </c>
      <c r="K264" s="22">
        <v>0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</row>
    <row r="265" spans="1:142" x14ac:dyDescent="0.35">
      <c r="A265" s="9">
        <v>7210174</v>
      </c>
      <c r="B265" s="19">
        <v>1</v>
      </c>
      <c r="C265" s="9" t="str">
        <f>VLOOKUP(A265,'[1]terceros cto'!A$1:B$65536,2,0)</f>
        <v>PARADA BECERRA CARLOS GERMÁN</v>
      </c>
      <c r="D265" s="20" t="str">
        <f>VLOOKUP(C265,'[1]terceros cto'!B$1:F$65536,5,0)</f>
        <v>cagerpa@hotmail.com</v>
      </c>
      <c r="E265" s="21" t="s">
        <v>2252</v>
      </c>
      <c r="F265" s="9" t="str">
        <f>VLOOKUP(C265,'[1]terceros cto'!B$1:D$65536,3,0)</f>
        <v>Paipa</v>
      </c>
      <c r="G265" s="21">
        <v>15516</v>
      </c>
      <c r="H265" s="9">
        <v>212</v>
      </c>
      <c r="I265" s="28">
        <v>250000</v>
      </c>
      <c r="J265" s="29">
        <v>0</v>
      </c>
      <c r="K265" s="22">
        <v>0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</row>
    <row r="266" spans="1:142" x14ac:dyDescent="0.35">
      <c r="A266" s="9">
        <v>7210498</v>
      </c>
      <c r="B266" s="19">
        <v>0</v>
      </c>
      <c r="C266" s="9" t="str">
        <f>VLOOKUP(A266,'[1]terceros cto'!A$1:B$65536,2,0)</f>
        <v>RIVERA AVENDAÑO JOSE BERNARDO</v>
      </c>
      <c r="D266" s="20" t="str">
        <f>VLOOKUP(C266,'[1]terceros cto'!B$1:F$65536,5,0)</f>
        <v>bernardorivera1@hotmail.com</v>
      </c>
      <c r="E266" s="21" t="s">
        <v>2252</v>
      </c>
      <c r="F266" s="9" t="str">
        <f>VLOOKUP(C266,'[1]terceros cto'!B$1:D$65536,3,0)</f>
        <v>Calle27nunero20-50</v>
      </c>
      <c r="G266" s="21">
        <v>15516</v>
      </c>
      <c r="H266" s="9">
        <v>212</v>
      </c>
      <c r="I266" s="30">
        <v>335054</v>
      </c>
      <c r="J266" s="31">
        <v>0</v>
      </c>
      <c r="K266" s="22">
        <v>0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</row>
    <row r="267" spans="1:142" x14ac:dyDescent="0.35">
      <c r="A267" s="9">
        <v>7214182</v>
      </c>
      <c r="B267" s="19">
        <v>7</v>
      </c>
      <c r="C267" s="9" t="str">
        <f>VLOOKUP(A267,'[1]terceros cto'!A$1:B$65536,2,0)</f>
        <v>CABRA MATEUS RAFAEL IGNACIO</v>
      </c>
      <c r="D267" s="20" t="str">
        <f>VLOOKUP(C267,'[1]terceros cto'!B$1:F$65536,5,0)</f>
        <v>hatoelprado@gmail.com</v>
      </c>
      <c r="E267" s="21" t="s">
        <v>2252</v>
      </c>
      <c r="F267" s="9" t="str">
        <f>VLOOKUP(C267,'[1]terceros cto'!B$1:D$65536,3,0)</f>
        <v>PAIPA</v>
      </c>
      <c r="G267" s="21">
        <v>15516</v>
      </c>
      <c r="H267" s="9">
        <v>212</v>
      </c>
      <c r="I267" s="28">
        <v>150061</v>
      </c>
      <c r="J267" s="29">
        <v>0</v>
      </c>
      <c r="K267" s="22">
        <v>0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</row>
    <row r="268" spans="1:142" x14ac:dyDescent="0.35">
      <c r="A268" s="9">
        <v>7217632</v>
      </c>
      <c r="B268" s="19">
        <v>3</v>
      </c>
      <c r="C268" s="9" t="str">
        <f>VLOOKUP(A268,'[1]terceros cto'!A$1:B$65536,2,0)</f>
        <v>PINTO  PEDRO GUTIERREZ</v>
      </c>
      <c r="D268" s="20" t="str">
        <f>VLOOKUP(C268,'[1]terceros cto'!B$1:F$65536,5,0)</f>
        <v>pedro039americas@yahoo.es</v>
      </c>
      <c r="E268" s="21" t="s">
        <v>2252</v>
      </c>
      <c r="F268" s="9" t="str">
        <f>VLOOKUP(C268,'[1]terceros cto'!B$1:D$65536,3,0)</f>
        <v>Paipa</v>
      </c>
      <c r="G268" s="21">
        <v>15516</v>
      </c>
      <c r="H268" s="9">
        <v>212</v>
      </c>
      <c r="I268" s="30">
        <v>50006</v>
      </c>
      <c r="J268" s="31">
        <v>0</v>
      </c>
      <c r="K268" s="22">
        <v>0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</row>
    <row r="269" spans="1:142" x14ac:dyDescent="0.35">
      <c r="A269" s="9">
        <v>7220013</v>
      </c>
      <c r="B269" s="19">
        <v>5</v>
      </c>
      <c r="C269" s="9" t="str">
        <f>VLOOKUP(A269,'[1]terceros cto'!A$1:B$65536,2,0)</f>
        <v>BARRERA  HENRY GUIO</v>
      </c>
      <c r="D269" s="20" t="str">
        <f>VLOOKUP(C269,'[1]terceros cto'!B$1:F$65536,5,0)</f>
        <v>henryguiobarrera@gmail.com</v>
      </c>
      <c r="E269" s="21" t="s">
        <v>2252</v>
      </c>
      <c r="F269" s="9" t="str">
        <f>VLOOKUP(C269,'[1]terceros cto'!B$1:D$65536,3,0)</f>
        <v>Paipa</v>
      </c>
      <c r="G269" s="21">
        <v>15516</v>
      </c>
      <c r="H269" s="9">
        <v>212</v>
      </c>
      <c r="I269" s="28">
        <v>50000</v>
      </c>
      <c r="J269" s="29">
        <v>0</v>
      </c>
      <c r="K269" s="22">
        <v>0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</row>
    <row r="270" spans="1:142" x14ac:dyDescent="0.35">
      <c r="A270" s="9">
        <v>7220489</v>
      </c>
      <c r="B270" s="19">
        <v>7</v>
      </c>
      <c r="C270" s="9" t="str">
        <f>VLOOKUP(A270,'[1]terceros cto'!A$1:B$65536,2,0)</f>
        <v>HERRERA ALBA JOSUE ARMANDO</v>
      </c>
      <c r="D270" s="20" t="str">
        <f>VLOOKUP(C270,'[1]terceros cto'!B$1:F$65536,5,0)</f>
        <v>josueaha@gmail.com</v>
      </c>
      <c r="E270" s="21" t="s">
        <v>2252</v>
      </c>
      <c r="F270" s="9" t="str">
        <f>VLOOKUP(C270,'[1]terceros cto'!B$1:D$65536,3,0)</f>
        <v>Paipa</v>
      </c>
      <c r="G270" s="21">
        <v>15516</v>
      </c>
      <c r="H270" s="9">
        <v>212</v>
      </c>
      <c r="I270" s="30">
        <v>30000</v>
      </c>
      <c r="J270" s="31">
        <v>0</v>
      </c>
      <c r="K270" s="22">
        <v>0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</row>
    <row r="271" spans="1:142" x14ac:dyDescent="0.35">
      <c r="A271" s="9">
        <v>7221701</v>
      </c>
      <c r="B271" s="19">
        <v>9</v>
      </c>
      <c r="C271" s="9" t="str">
        <f>VLOOKUP(A271,'[1]terceros cto'!A$1:B$65536,2,0)</f>
        <v>PEREZ WILSON RINCON</v>
      </c>
      <c r="D271" s="20" t="str">
        <f>VLOOKUP(C271,'[1]terceros cto'!B$1:F$65536,5,0)</f>
        <v>trazosfuego@gmail.com</v>
      </c>
      <c r="E271" s="21" t="s">
        <v>2252</v>
      </c>
      <c r="F271" s="9" t="str">
        <f>VLOOKUP(C271,'[1]terceros cto'!B$1:D$65536,3,0)</f>
        <v>CL 24 18 11</v>
      </c>
      <c r="G271" s="21">
        <v>15516</v>
      </c>
      <c r="H271" s="9">
        <v>212</v>
      </c>
      <c r="I271" s="28">
        <v>463073</v>
      </c>
      <c r="J271" s="29">
        <v>0</v>
      </c>
      <c r="K271" s="22">
        <v>0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</row>
    <row r="272" spans="1:142" x14ac:dyDescent="0.35">
      <c r="A272" s="9">
        <v>7222318</v>
      </c>
      <c r="B272" s="19">
        <v>5</v>
      </c>
      <c r="C272" s="9" t="str">
        <f>VLOOKUP(A272,'[1]terceros cto'!A$1:B$65536,2,0)</f>
        <v>LIZARAZO RINCON GERMAN URIEL</v>
      </c>
      <c r="D272" s="20" t="str">
        <f>VLOOKUP(C272,'[1]terceros cto'!B$1:F$65536,5,0)</f>
        <v>germanlizarazo@hotmail.com</v>
      </c>
      <c r="E272" s="21" t="s">
        <v>2252</v>
      </c>
      <c r="F272" s="9" t="str">
        <f>VLOOKUP(C272,'[1]terceros cto'!B$1:D$65536,3,0)</f>
        <v>Paipa</v>
      </c>
      <c r="G272" s="21">
        <v>15516</v>
      </c>
      <c r="H272" s="9">
        <v>212</v>
      </c>
      <c r="I272" s="30">
        <v>1652638</v>
      </c>
      <c r="J272" s="31">
        <v>0</v>
      </c>
      <c r="K272" s="22">
        <v>0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</row>
    <row r="273" spans="1:142" x14ac:dyDescent="0.35">
      <c r="A273" s="9">
        <v>7223405</v>
      </c>
      <c r="B273" s="19">
        <v>2</v>
      </c>
      <c r="C273" s="9" t="str">
        <f>VLOOKUP(A273,'[1]terceros cto'!A$1:B$65536,2,0)</f>
        <v>PARRA EDILSON GONZALES</v>
      </c>
      <c r="D273" s="20" t="str">
        <f>VLOOKUP(C273,'[1]terceros cto'!B$1:F$65536,5,0)</f>
        <v>gonzalesedilson8@gmail.com</v>
      </c>
      <c r="E273" s="21" t="s">
        <v>2252</v>
      </c>
      <c r="F273" s="9" t="str">
        <f>VLOOKUP(C273,'[1]terceros cto'!B$1:D$65536,3,0)</f>
        <v>CR4 16 21 28</v>
      </c>
      <c r="G273" s="21">
        <v>15516</v>
      </c>
      <c r="H273" s="9">
        <v>212</v>
      </c>
      <c r="I273" s="28">
        <v>9221909</v>
      </c>
      <c r="J273" s="29">
        <v>0</v>
      </c>
      <c r="K273" s="22">
        <v>0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</row>
    <row r="274" spans="1:142" x14ac:dyDescent="0.35">
      <c r="A274" s="9">
        <v>7224456</v>
      </c>
      <c r="B274" s="19">
        <v>2</v>
      </c>
      <c r="C274" s="9" t="str">
        <f>VLOOKUP(A274,'[1]terceros cto'!A$1:B$65536,2,0)</f>
        <v>BALLESTEROS RODRIGUEZ JAIRO ALBERTO</v>
      </c>
      <c r="D274" s="20" t="str">
        <f>VLOOKUP(C274,'[1]terceros cto'!B$1:F$65536,5,0)</f>
        <v>jarris128@yahoo.es</v>
      </c>
      <c r="E274" s="21" t="s">
        <v>2252</v>
      </c>
      <c r="F274" s="9" t="str">
        <f>VLOOKUP(C274,'[1]terceros cto'!B$1:D$65536,3,0)</f>
        <v>Paipa</v>
      </c>
      <c r="G274" s="21">
        <v>15516</v>
      </c>
      <c r="H274" s="9">
        <v>212</v>
      </c>
      <c r="I274" s="30">
        <v>40000</v>
      </c>
      <c r="J274" s="31">
        <v>0</v>
      </c>
      <c r="K274" s="22">
        <v>0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</row>
    <row r="275" spans="1:142" x14ac:dyDescent="0.35">
      <c r="A275" s="9">
        <v>7225388</v>
      </c>
      <c r="B275" s="19">
        <v>4</v>
      </c>
      <c r="C275" s="9" t="str">
        <f>VLOOKUP(A275,'[1]terceros cto'!A$1:B$65536,2,0)</f>
        <v>RINCÓN  HERNANDO TORRES</v>
      </c>
      <c r="D275" s="20" t="str">
        <f>VLOOKUP(C275,'[1]terceros cto'!B$1:F$65536,5,0)</f>
        <v>torritodht@gmail.com</v>
      </c>
      <c r="E275" s="21" t="s">
        <v>2252</v>
      </c>
      <c r="F275" s="9" t="str">
        <f>VLOOKUP(C275,'[1]terceros cto'!B$1:D$65536,3,0)</f>
        <v>Paipa</v>
      </c>
      <c r="G275" s="21">
        <v>15516</v>
      </c>
      <c r="H275" s="9">
        <v>212</v>
      </c>
      <c r="I275" s="28">
        <v>317400</v>
      </c>
      <c r="J275" s="29">
        <v>0</v>
      </c>
      <c r="K275" s="22">
        <v>0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</row>
    <row r="276" spans="1:142" x14ac:dyDescent="0.35">
      <c r="A276" s="9">
        <v>7227497</v>
      </c>
      <c r="B276" s="19">
        <v>8</v>
      </c>
      <c r="C276" s="9" t="str">
        <f>VLOOKUP(A276,'[1]terceros cto'!A$1:B$65536,2,0)</f>
        <v>ARAQUE DIAZ NELSON ERNESTO</v>
      </c>
      <c r="D276" s="20" t="str">
        <f>VLOOKUP(C276,'[1]terceros cto'!B$1:F$65536,5,0)</f>
        <v>percheron1971@hotmail.com</v>
      </c>
      <c r="E276" s="21" t="s">
        <v>2252</v>
      </c>
      <c r="F276" s="9" t="str">
        <f>VLOOKUP(C276,'[1]terceros cto'!B$1:D$65536,3,0)</f>
        <v>CARRERA 42 10 05</v>
      </c>
      <c r="G276" s="21">
        <v>15516</v>
      </c>
      <c r="H276" s="9">
        <v>212</v>
      </c>
      <c r="I276" s="30">
        <v>241694</v>
      </c>
      <c r="J276" s="31">
        <v>0</v>
      </c>
      <c r="K276" s="22">
        <v>0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</row>
    <row r="277" spans="1:142" x14ac:dyDescent="0.35">
      <c r="A277" s="9">
        <v>7227652</v>
      </c>
      <c r="B277" s="19">
        <v>3</v>
      </c>
      <c r="C277" s="9" t="str">
        <f>VLOOKUP(A277,'[1]terceros cto'!A$1:B$65536,2,0)</f>
        <v>MESA CASTRO WILSON OCTAVIANO</v>
      </c>
      <c r="D277" s="20" t="str">
        <f>VLOOKUP(C277,'[1]terceros cto'!B$1:F$65536,5,0)</f>
        <v>wilsonfacturas169@gmail.com</v>
      </c>
      <c r="E277" s="21" t="s">
        <v>2252</v>
      </c>
      <c r="F277" s="9" t="str">
        <f>VLOOKUP(C277,'[1]terceros cto'!B$1:D$65536,3,0)</f>
        <v>Paipa</v>
      </c>
      <c r="G277" s="21">
        <v>15516</v>
      </c>
      <c r="H277" s="9">
        <v>212</v>
      </c>
      <c r="I277" s="28">
        <v>22075</v>
      </c>
      <c r="J277" s="29">
        <v>0</v>
      </c>
      <c r="K277" s="22">
        <v>0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</row>
    <row r="278" spans="1:142" x14ac:dyDescent="0.35">
      <c r="A278" s="9">
        <v>7227693</v>
      </c>
      <c r="B278" s="19">
        <v>5</v>
      </c>
      <c r="C278" s="9" t="str">
        <f>VLOOKUP(A278,'[1]terceros cto'!A$1:B$65536,2,0)</f>
        <v>SALAMANCA  SILVERIO SANCHEZ</v>
      </c>
      <c r="D278" s="20" t="str">
        <f>VLOOKUP(C278,'[1]terceros cto'!B$1:F$65536,5,0)</f>
        <v>sil-722@hotmail.com</v>
      </c>
      <c r="E278" s="21" t="s">
        <v>2252</v>
      </c>
      <c r="F278" s="9" t="str">
        <f>VLOOKUP(C278,'[1]terceros cto'!B$1:D$65536,3,0)</f>
        <v>Paipa</v>
      </c>
      <c r="G278" s="21">
        <v>15516</v>
      </c>
      <c r="H278" s="9">
        <v>212</v>
      </c>
      <c r="I278" s="30">
        <v>40000</v>
      </c>
      <c r="J278" s="31">
        <v>0</v>
      </c>
      <c r="K278" s="22">
        <v>0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</row>
    <row r="279" spans="1:142" x14ac:dyDescent="0.35">
      <c r="A279" s="9">
        <v>7228117</v>
      </c>
      <c r="B279" s="19">
        <v>9</v>
      </c>
      <c r="C279" s="9" t="str">
        <f>VLOOKUP(A279,'[1]terceros cto'!A$1:B$65536,2,0)</f>
        <v>GOMEZ CASTRO RICARDO ARTURO</v>
      </c>
      <c r="D279" s="20" t="str">
        <f>VLOOKUP(C279,'[1]terceros cto'!B$1:F$65536,5,0)</f>
        <v>contacto@jesuseucaristia.esu.co</v>
      </c>
      <c r="E279" s="21" t="s">
        <v>2252</v>
      </c>
      <c r="F279" s="9" t="str">
        <f>VLOOKUP(C279,'[1]terceros cto'!B$1:D$65536,3,0)</f>
        <v>PAIPA</v>
      </c>
      <c r="G279" s="21">
        <v>15516</v>
      </c>
      <c r="H279" s="9">
        <v>212</v>
      </c>
      <c r="I279" s="28">
        <v>5961432</v>
      </c>
      <c r="J279" s="29">
        <v>0</v>
      </c>
      <c r="K279" s="22">
        <v>0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</row>
    <row r="280" spans="1:142" x14ac:dyDescent="0.35">
      <c r="A280" s="9">
        <v>7228151</v>
      </c>
      <c r="B280" s="19">
        <v>1</v>
      </c>
      <c r="C280" s="9" t="str">
        <f>VLOOKUP(A280,'[1]terceros cto'!A$1:B$65536,2,0)</f>
        <v>AVELLANEDA PAREDES OSWALDO</v>
      </c>
      <c r="D280" s="20" t="str">
        <f>VLOOKUP(C280,'[1]terceros cto'!B$1:F$65536,5,0)</f>
        <v>turistica@outlook.com</v>
      </c>
      <c r="E280" s="21" t="s">
        <v>2252</v>
      </c>
      <c r="F280" s="9" t="str">
        <f>VLOOKUP(C280,'[1]terceros cto'!B$1:D$65536,3,0)</f>
        <v>paipa</v>
      </c>
      <c r="G280" s="21">
        <v>15516</v>
      </c>
      <c r="H280" s="9">
        <v>212</v>
      </c>
      <c r="I280" s="30">
        <v>100000</v>
      </c>
      <c r="J280" s="31">
        <v>0</v>
      </c>
      <c r="K280" s="22">
        <v>0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</row>
    <row r="281" spans="1:142" x14ac:dyDescent="0.35">
      <c r="A281" s="9">
        <v>7228533</v>
      </c>
      <c r="B281" s="19">
        <v>1</v>
      </c>
      <c r="C281" s="9" t="str">
        <f>VLOOKUP(A281,'[1]terceros cto'!A$1:B$65536,2,0)</f>
        <v>BOHÓRQUEZ MONROY GIOVANY MAURICIO</v>
      </c>
      <c r="D281" s="20" t="str">
        <f>VLOOKUP(C281,'[1]terceros cto'!B$1:F$65536,5,0)</f>
        <v>giovarq@gmail.com</v>
      </c>
      <c r="E281" s="21" t="s">
        <v>2252</v>
      </c>
      <c r="F281" s="9" t="str">
        <f>VLOOKUP(C281,'[1]terceros cto'!B$1:D$65536,3,0)</f>
        <v>Paipa</v>
      </c>
      <c r="G281" s="21">
        <v>15516</v>
      </c>
      <c r="H281" s="9">
        <v>212</v>
      </c>
      <c r="I281" s="28">
        <v>20000</v>
      </c>
      <c r="J281" s="29">
        <v>0</v>
      </c>
      <c r="K281" s="22">
        <v>0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</row>
    <row r="282" spans="1:142" x14ac:dyDescent="0.35">
      <c r="A282" s="9">
        <v>7229568</v>
      </c>
      <c r="B282" s="19">
        <v>1</v>
      </c>
      <c r="C282" s="9" t="str">
        <f>VLOOKUP(A282,'[1]terceros cto'!A$1:B$65536,2,0)</f>
        <v>HERNANDEZ CHIA PEDRO JOSE</v>
      </c>
      <c r="D282" s="20" t="str">
        <f>VLOOKUP(C282,'[1]terceros cto'!B$1:F$65536,5,0)</f>
        <v>hernandezchia@gmail.com</v>
      </c>
      <c r="E282" s="21" t="s">
        <v>2252</v>
      </c>
      <c r="F282" s="9" t="str">
        <f>VLOOKUP(C282,'[1]terceros cto'!B$1:D$65536,3,0)</f>
        <v>Paipa</v>
      </c>
      <c r="G282" s="21">
        <v>15516</v>
      </c>
      <c r="H282" s="9">
        <v>212</v>
      </c>
      <c r="I282" s="30">
        <v>630061</v>
      </c>
      <c r="J282" s="31">
        <v>0</v>
      </c>
      <c r="K282" s="22">
        <v>0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</row>
    <row r="283" spans="1:142" x14ac:dyDescent="0.35">
      <c r="A283" s="9">
        <v>7229844</v>
      </c>
      <c r="B283" s="19">
        <v>1</v>
      </c>
      <c r="C283" s="9" t="str">
        <f>VLOOKUP(A283,'[1]terceros cto'!A$1:B$65536,2,0)</f>
        <v>SANCHEZ RODRIGUEZ JAVIER ERNEY</v>
      </c>
      <c r="D283" s="20" t="str">
        <f>VLOOKUP(C283,'[1]terceros cto'!B$1:F$65536,5,0)</f>
        <v>javiererneysanchezrodriguez@gmail.com</v>
      </c>
      <c r="E283" s="21" t="s">
        <v>2252</v>
      </c>
      <c r="F283" s="9" t="str">
        <f>VLOOKUP(C283,'[1]terceros cto'!B$1:D$65536,3,0)</f>
        <v>Pantano de vargas</v>
      </c>
      <c r="G283" s="21">
        <v>15516</v>
      </c>
      <c r="H283" s="9">
        <v>212</v>
      </c>
      <c r="I283" s="28">
        <v>460022</v>
      </c>
      <c r="J283" s="29">
        <v>0</v>
      </c>
      <c r="K283" s="22">
        <v>0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</row>
    <row r="284" spans="1:142" x14ac:dyDescent="0.35">
      <c r="A284" s="9">
        <v>72325836</v>
      </c>
      <c r="B284" s="19">
        <v>8</v>
      </c>
      <c r="C284" s="9" t="str">
        <f>VLOOKUP(A284,'[1]terceros cto'!A$1:B$65536,2,0)</f>
        <v>ESPINEL CUERVO NELSON RODRIGO</v>
      </c>
      <c r="D284" s="20" t="str">
        <f>VLOOKUP(C284,'[1]terceros cto'!B$1:F$65536,5,0)</f>
        <v>respinel.3012@gmail.com</v>
      </c>
      <c r="E284" s="21" t="s">
        <v>2252</v>
      </c>
      <c r="F284" s="9" t="str">
        <f>VLOOKUP(C284,'[1]terceros cto'!B$1:D$65536,3,0)</f>
        <v>Paipa</v>
      </c>
      <c r="G284" s="21">
        <v>15516</v>
      </c>
      <c r="H284" s="9">
        <v>212</v>
      </c>
      <c r="I284" s="30">
        <v>50000</v>
      </c>
      <c r="J284" s="31">
        <v>0</v>
      </c>
      <c r="K284" s="22">
        <v>0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</row>
    <row r="285" spans="1:142" x14ac:dyDescent="0.35">
      <c r="A285" s="9">
        <v>72326340</v>
      </c>
      <c r="B285" s="19">
        <v>1</v>
      </c>
      <c r="C285" s="9" t="str">
        <f>VLOOKUP(A285,'[1]terceros cto'!A$1:B$65536,2,0)</f>
        <v>GUERRERO ESCOBAR JAIME</v>
      </c>
      <c r="D285" s="20" t="str">
        <f>VLOOKUP(C285,'[1]terceros cto'!B$1:F$65536,5,0)</f>
        <v>jaimeescobaravila2023@gmail.com</v>
      </c>
      <c r="E285" s="21" t="s">
        <v>2252</v>
      </c>
      <c r="F285" s="9" t="str">
        <f>VLOOKUP(C285,'[1]terceros cto'!B$1:D$65536,3,0)</f>
        <v>PAIPA</v>
      </c>
      <c r="G285" s="21">
        <v>15516</v>
      </c>
      <c r="H285" s="9">
        <v>212</v>
      </c>
      <c r="I285" s="28">
        <v>121466</v>
      </c>
      <c r="J285" s="29">
        <v>0</v>
      </c>
      <c r="K285" s="22">
        <v>0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</row>
    <row r="286" spans="1:142" x14ac:dyDescent="0.35">
      <c r="A286" s="9">
        <v>74020443</v>
      </c>
      <c r="B286" s="19">
        <v>4</v>
      </c>
      <c r="C286" s="9" t="str">
        <f>VLOOKUP(A286,'[1]terceros cto'!A$1:B$65536,2,0)</f>
        <v>VARGAS ANTONIO MANUEL</v>
      </c>
      <c r="D286" s="20" t="str">
        <f>VLOOKUP(C286,'[1]terceros cto'!B$1:F$65536,5,0)</f>
        <v>in-gelecvargas@hotmail.com</v>
      </c>
      <c r="E286" s="21" t="s">
        <v>2252</v>
      </c>
      <c r="F286" s="9" t="str">
        <f>VLOOKUP(C286,'[1]terceros cto'!B$1:D$65536,3,0)</f>
        <v>PAIPA</v>
      </c>
      <c r="G286" s="21">
        <v>15516</v>
      </c>
      <c r="H286" s="9">
        <v>212</v>
      </c>
      <c r="I286" s="30">
        <v>300000</v>
      </c>
      <c r="J286" s="31">
        <v>0</v>
      </c>
      <c r="K286" s="22">
        <v>0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</row>
    <row r="287" spans="1:142" x14ac:dyDescent="0.35">
      <c r="A287" s="9">
        <v>74081771</v>
      </c>
      <c r="B287" s="19">
        <v>6</v>
      </c>
      <c r="C287" s="9" t="str">
        <f>VLOOKUP(A287,'[1]terceros cto'!A$1:B$65536,2,0)</f>
        <v>AYALA RIVEROS JUAN GABRIEL</v>
      </c>
      <c r="D287" s="20" t="str">
        <f>VLOOKUP(C287,'[1]terceros cto'!B$1:F$65536,5,0)</f>
        <v>gabrielayala1583@hotmail.com</v>
      </c>
      <c r="E287" s="21" t="s">
        <v>2252</v>
      </c>
      <c r="F287" s="9" t="str">
        <f>VLOOKUP(C287,'[1]terceros cto'!B$1:D$65536,3,0)</f>
        <v>Paipa</v>
      </c>
      <c r="G287" s="21">
        <v>15516</v>
      </c>
      <c r="H287" s="9">
        <v>212</v>
      </c>
      <c r="I287" s="28">
        <v>50000</v>
      </c>
      <c r="J287" s="29">
        <v>0</v>
      </c>
      <c r="K287" s="22">
        <v>0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</row>
    <row r="288" spans="1:142" x14ac:dyDescent="0.35">
      <c r="A288" s="9">
        <v>74082962</v>
      </c>
      <c r="B288" s="19">
        <v>0</v>
      </c>
      <c r="C288" s="9" t="str">
        <f>VLOOKUP(A288,'[1]terceros cto'!A$1:B$65536,2,0)</f>
        <v>GUTIERREZ GONZALEZ OSCAR MIGUEL</v>
      </c>
      <c r="D288" s="20" t="str">
        <f>VLOOKUP(C288,'[1]terceros cto'!B$1:F$65536,5,0)</f>
        <v>oscargutierr02@gmail.com</v>
      </c>
      <c r="E288" s="21" t="s">
        <v>2252</v>
      </c>
      <c r="F288" s="9" t="str">
        <f>VLOOKUP(C288,'[1]terceros cto'!B$1:D$65536,3,0)</f>
        <v>Paipa</v>
      </c>
      <c r="G288" s="21">
        <v>15516</v>
      </c>
      <c r="H288" s="9">
        <v>212</v>
      </c>
      <c r="I288" s="30">
        <v>137656</v>
      </c>
      <c r="J288" s="31">
        <v>0</v>
      </c>
      <c r="K288" s="22">
        <v>0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x14ac:dyDescent="0.35">
      <c r="A289" s="9">
        <v>74084054</v>
      </c>
      <c r="B289" s="19">
        <v>7</v>
      </c>
      <c r="C289" s="9" t="str">
        <f>VLOOKUP(A289,'[1]terceros cto'!A$1:B$65536,2,0)</f>
        <v>CEPEDA CAMARGO ALEXANDER ALEXANDER</v>
      </c>
      <c r="D289" s="20" t="str">
        <f>VLOOKUP(C289,'[1]terceros cto'!B$1:F$65536,5,0)</f>
        <v>alexcepeda7@gmail.com</v>
      </c>
      <c r="E289" s="21" t="s">
        <v>2252</v>
      </c>
      <c r="F289" s="9" t="str">
        <f>VLOOKUP(C289,'[1]terceros cto'!B$1:D$65536,3,0)</f>
        <v>Paipa</v>
      </c>
      <c r="G289" s="21">
        <v>15516</v>
      </c>
      <c r="H289" s="9">
        <v>212</v>
      </c>
      <c r="I289" s="28">
        <v>156018</v>
      </c>
      <c r="J289" s="29">
        <v>0</v>
      </c>
      <c r="K289" s="22">
        <v>0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x14ac:dyDescent="0.35">
      <c r="A290" s="9">
        <v>74130139</v>
      </c>
      <c r="B290" s="19">
        <v>1</v>
      </c>
      <c r="C290" s="9" t="str">
        <f>VLOOKUP(A290,'[1]terceros cto'!A$1:B$65536,2,0)</f>
        <v>VASQUEZ RODRIGUEZ CESAR AUGUSTO</v>
      </c>
      <c r="D290" s="20" t="str">
        <f>VLOOKUP(C290,'[1]terceros cto'!B$1:F$65536,5,0)</f>
        <v>cvasquez2703@gmail.com</v>
      </c>
      <c r="E290" s="21" t="s">
        <v>2252</v>
      </c>
      <c r="F290" s="9" t="str">
        <f>VLOOKUP(C290,'[1]terceros cto'!B$1:D$65536,3,0)</f>
        <v>PAIPA</v>
      </c>
      <c r="G290" s="21">
        <v>15516</v>
      </c>
      <c r="H290" s="9">
        <v>212</v>
      </c>
      <c r="I290" s="30">
        <v>50012</v>
      </c>
      <c r="J290" s="31">
        <v>0</v>
      </c>
      <c r="K290" s="22">
        <v>0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</row>
    <row r="291" spans="1:142" x14ac:dyDescent="0.35">
      <c r="A291" s="9">
        <v>74130182</v>
      </c>
      <c r="B291" s="19">
        <v>9</v>
      </c>
      <c r="C291" s="9" t="str">
        <f>VLOOKUP(A291,'[1]terceros cto'!A$1:B$65536,2,0)</f>
        <v>SALAMANCA  YOHN FREDDY</v>
      </c>
      <c r="D291" s="20" t="str">
        <f>VLOOKUP(C291,'[1]terceros cto'!B$1:F$65536,5,0)</f>
        <v>yohnfreddysalamanca@hotmail.com</v>
      </c>
      <c r="E291" s="21" t="s">
        <v>2252</v>
      </c>
      <c r="F291" s="9" t="str">
        <f>VLOOKUP(C291,'[1]terceros cto'!B$1:D$65536,3,0)</f>
        <v>Paipa</v>
      </c>
      <c r="G291" s="21">
        <v>15516</v>
      </c>
      <c r="H291" s="9">
        <v>212</v>
      </c>
      <c r="I291" s="28">
        <v>50000</v>
      </c>
      <c r="J291" s="29">
        <v>0</v>
      </c>
      <c r="K291" s="22">
        <v>0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</row>
    <row r="292" spans="1:142" x14ac:dyDescent="0.35">
      <c r="A292" s="9">
        <v>74130352</v>
      </c>
      <c r="B292" s="19">
        <v>4</v>
      </c>
      <c r="C292" s="9" t="str">
        <f>VLOOKUP(A292,'[1]terceros cto'!A$1:B$65536,2,0)</f>
        <v>SALAMANCA  MARIO</v>
      </c>
      <c r="D292" s="20" t="str">
        <f>VLOOKUP(C292,'[1]terceros cto'!B$1:F$65536,5,0)</f>
        <v>chipolini09@yahoo.es</v>
      </c>
      <c r="E292" s="21" t="s">
        <v>2252</v>
      </c>
      <c r="F292" s="9" t="str">
        <f>VLOOKUP(C292,'[1]terceros cto'!B$1:D$65536,3,0)</f>
        <v>Paipa</v>
      </c>
      <c r="G292" s="21">
        <v>15516</v>
      </c>
      <c r="H292" s="9">
        <v>212</v>
      </c>
      <c r="I292" s="30">
        <v>20000</v>
      </c>
      <c r="J292" s="31">
        <v>0</v>
      </c>
      <c r="K292" s="22">
        <v>0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</row>
    <row r="293" spans="1:142" x14ac:dyDescent="0.35">
      <c r="A293" s="9">
        <v>74130481</v>
      </c>
      <c r="B293" s="19">
        <v>6</v>
      </c>
      <c r="C293" s="9" t="str">
        <f>VLOOKUP(A293,'[1]terceros cto'!A$1:B$65536,2,0)</f>
        <v>ROSAS PUERTO NELSON FABIAN</v>
      </c>
      <c r="D293" s="20" t="str">
        <f>VLOOKUP(C293,'[1]terceros cto'!B$1:F$65536,5,0)</f>
        <v>comlaespiga@gmail.com</v>
      </c>
      <c r="E293" s="21" t="s">
        <v>2252</v>
      </c>
      <c r="F293" s="9" t="str">
        <f>VLOOKUP(C293,'[1]terceros cto'!B$1:D$65536,3,0)</f>
        <v>Paipa</v>
      </c>
      <c r="G293" s="21">
        <v>15516</v>
      </c>
      <c r="H293" s="9">
        <v>212</v>
      </c>
      <c r="I293" s="28">
        <v>42000</v>
      </c>
      <c r="J293" s="29">
        <v>0</v>
      </c>
      <c r="K293" s="22">
        <v>0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</row>
    <row r="294" spans="1:142" x14ac:dyDescent="0.35">
      <c r="A294" s="9">
        <v>74130573</v>
      </c>
      <c r="B294" s="19">
        <v>5</v>
      </c>
      <c r="C294" s="9" t="str">
        <f>VLOOKUP(A294,'[1]terceros cto'!A$1:B$65536,2,0)</f>
        <v>OCHOA SANABRIA GEOVANNY</v>
      </c>
      <c r="D294" s="20" t="str">
        <f>VLOOKUP(C294,'[1]terceros cto'!B$1:F$65536,5,0)</f>
        <v>geocsa@hotmail.com</v>
      </c>
      <c r="E294" s="21" t="s">
        <v>2252</v>
      </c>
      <c r="F294" s="9" t="str">
        <f>VLOOKUP(C294,'[1]terceros cto'!B$1:D$65536,3,0)</f>
        <v>Paipa</v>
      </c>
      <c r="G294" s="21">
        <v>15516</v>
      </c>
      <c r="H294" s="9">
        <v>212</v>
      </c>
      <c r="I294" s="30">
        <v>2064426</v>
      </c>
      <c r="J294" s="31">
        <v>0</v>
      </c>
      <c r="K294" s="22">
        <v>0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</row>
    <row r="295" spans="1:142" x14ac:dyDescent="0.35">
      <c r="A295" s="9">
        <v>74130658</v>
      </c>
      <c r="B295" s="19">
        <v>2</v>
      </c>
      <c r="C295" s="9" t="str">
        <f>VLOOKUP(A295,'[1]terceros cto'!A$1:B$65536,2,0)</f>
        <v>FONSECA GRANADOS WILSON</v>
      </c>
      <c r="D295" s="20" t="str">
        <f>VLOOKUP(C295,'[1]terceros cto'!B$1:F$65536,5,0)</f>
        <v>wilsonfonsecagranados05@gmail.com</v>
      </c>
      <c r="E295" s="21" t="s">
        <v>2252</v>
      </c>
      <c r="F295" s="9" t="str">
        <f>VLOOKUP(C295,'[1]terceros cto'!B$1:D$65536,3,0)</f>
        <v>KM 5 VIA DUITAMA PAIPA</v>
      </c>
      <c r="G295" s="21">
        <v>15516</v>
      </c>
      <c r="H295" s="9">
        <v>212</v>
      </c>
      <c r="I295" s="28">
        <v>360105</v>
      </c>
      <c r="J295" s="29">
        <v>0</v>
      </c>
      <c r="K295" s="22">
        <v>0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</row>
    <row r="296" spans="1:142" x14ac:dyDescent="0.35">
      <c r="A296" s="9">
        <v>74130854</v>
      </c>
      <c r="B296" s="19">
        <v>1</v>
      </c>
      <c r="C296" s="9" t="str">
        <f>VLOOKUP(A296,'[1]terceros cto'!A$1:B$65536,2,0)</f>
        <v>FONSECA  JOSE</v>
      </c>
      <c r="D296" s="20" t="str">
        <f>VLOOKUP(C296,'[1]terceros cto'!B$1:F$65536,5,0)</f>
        <v>jose-fonseca-rodriguez1@hotmail.com</v>
      </c>
      <c r="E296" s="21" t="s">
        <v>2252</v>
      </c>
      <c r="F296" s="9" t="str">
        <f>VLOOKUP(C296,'[1]terceros cto'!B$1:D$65536,3,0)</f>
        <v>Paipa</v>
      </c>
      <c r="G296" s="21">
        <v>15516</v>
      </c>
      <c r="H296" s="9">
        <v>212</v>
      </c>
      <c r="I296" s="30">
        <v>20000</v>
      </c>
      <c r="J296" s="31">
        <v>0</v>
      </c>
      <c r="K296" s="22">
        <v>0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</row>
    <row r="297" spans="1:142" x14ac:dyDescent="0.35">
      <c r="A297" s="9">
        <v>74130919</v>
      </c>
      <c r="B297" s="19">
        <v>1</v>
      </c>
      <c r="C297" s="9" t="str">
        <f>VLOOKUP(A297,'[1]terceros cto'!A$1:B$65536,2,0)</f>
        <v>DÍAZ DIAZ LUIS ALEJANDRO</v>
      </c>
      <c r="D297" s="20" t="str">
        <f>VLOOKUP(C297,'[1]terceros cto'!B$1:F$65536,5,0)</f>
        <v>ladd83@hotmail.com</v>
      </c>
      <c r="E297" s="21" t="s">
        <v>2252</v>
      </c>
      <c r="F297" s="9" t="str">
        <f>VLOOKUP(C297,'[1]terceros cto'!B$1:D$65536,3,0)</f>
        <v>Paipa</v>
      </c>
      <c r="G297" s="21">
        <v>15516</v>
      </c>
      <c r="H297" s="9">
        <v>212</v>
      </c>
      <c r="I297" s="28">
        <v>2452257</v>
      </c>
      <c r="J297" s="29">
        <v>0</v>
      </c>
      <c r="K297" s="22">
        <v>0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</row>
    <row r="298" spans="1:142" x14ac:dyDescent="0.35">
      <c r="A298" s="9">
        <v>74130961</v>
      </c>
      <c r="B298" s="19">
        <v>1</v>
      </c>
      <c r="C298" s="9" t="str">
        <f>VLOOKUP(A298,'[1]terceros cto'!A$1:B$65536,2,0)</f>
        <v>CAMACHO HERNANDEZ EDWIN ANDRES</v>
      </c>
      <c r="D298" s="20" t="str">
        <f>VLOOKUP(C298,'[1]terceros cto'!B$1:F$65536,5,0)</f>
        <v>edwincam83@hotmail.com</v>
      </c>
      <c r="E298" s="21" t="s">
        <v>2252</v>
      </c>
      <c r="F298" s="9" t="str">
        <f>VLOOKUP(C298,'[1]terceros cto'!B$1:D$65536,3,0)</f>
        <v>paipa</v>
      </c>
      <c r="G298" s="21">
        <v>15516</v>
      </c>
      <c r="H298" s="9">
        <v>212</v>
      </c>
      <c r="I298" s="30">
        <v>100000</v>
      </c>
      <c r="J298" s="31">
        <v>0</v>
      </c>
      <c r="K298" s="22">
        <v>0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</row>
    <row r="299" spans="1:142" x14ac:dyDescent="0.35">
      <c r="A299" s="9">
        <v>74182533</v>
      </c>
      <c r="B299" s="19">
        <v>3</v>
      </c>
      <c r="C299" s="9" t="str">
        <f>VLOOKUP(A299,'[1]terceros cto'!A$1:B$65536,2,0)</f>
        <v>BENAVIDES BENAVIDES EDWIN JARDIEL</v>
      </c>
      <c r="D299" s="20" t="str">
        <f>VLOOKUP(C299,'[1]terceros cto'!B$1:F$65536,5,0)</f>
        <v>vdredwin@hotmail.com</v>
      </c>
      <c r="E299" s="21" t="s">
        <v>2252</v>
      </c>
      <c r="F299" s="9" t="str">
        <f>VLOOKUP(C299,'[1]terceros cto'!B$1:D$65536,3,0)</f>
        <v>Paipa</v>
      </c>
      <c r="G299" s="21">
        <v>15516</v>
      </c>
      <c r="H299" s="9">
        <v>212</v>
      </c>
      <c r="I299" s="28">
        <v>100000</v>
      </c>
      <c r="J299" s="29">
        <v>0</v>
      </c>
      <c r="K299" s="22">
        <v>0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</row>
    <row r="300" spans="1:142" x14ac:dyDescent="0.35">
      <c r="A300" s="9">
        <v>74185393</v>
      </c>
      <c r="B300" s="19">
        <v>2</v>
      </c>
      <c r="C300" s="9" t="str">
        <f>VLOOKUP(A300,'[1]terceros cto'!A$1:B$65536,2,0)</f>
        <v>ANGARITA  JAIMEYECID CHIAANGARITA</v>
      </c>
      <c r="D300" s="20" t="str">
        <f>VLOOKUP(C300,'[1]terceros cto'!B$1:F$65536,5,0)</f>
        <v>jaime.chia@hotmail.com</v>
      </c>
      <c r="E300" s="21" t="s">
        <v>2252</v>
      </c>
      <c r="F300" s="9" t="str">
        <f>VLOOKUP(C300,'[1]terceros cto'!B$1:D$65536,3,0)</f>
        <v>Paipa</v>
      </c>
      <c r="G300" s="21">
        <v>15516</v>
      </c>
      <c r="H300" s="9">
        <v>212</v>
      </c>
      <c r="I300" s="30">
        <v>550000</v>
      </c>
      <c r="J300" s="31">
        <v>0</v>
      </c>
      <c r="K300" s="22">
        <v>0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</row>
    <row r="301" spans="1:142" x14ac:dyDescent="0.35">
      <c r="A301" s="9">
        <v>74321935</v>
      </c>
      <c r="B301" s="19">
        <v>8</v>
      </c>
      <c r="C301" s="9" t="str">
        <f>VLOOKUP(A301,'[1]terceros cto'!A$1:B$65536,2,0)</f>
        <v>RINCÓN ARISMENDI VICTOR JULIO</v>
      </c>
      <c r="D301" s="20" t="str">
        <f>VLOOKUP(C301,'[1]terceros cto'!B$1:F$65536,5,0)</f>
        <v>victorjulioariz@gmail.com</v>
      </c>
      <c r="E301" s="21" t="s">
        <v>2252</v>
      </c>
      <c r="F301" s="9" t="str">
        <f>VLOOKUP(C301,'[1]terceros cto'!B$1:D$65536,3,0)</f>
        <v>Paipa</v>
      </c>
      <c r="G301" s="21">
        <v>15516</v>
      </c>
      <c r="H301" s="9">
        <v>212</v>
      </c>
      <c r="I301" s="28">
        <v>180061</v>
      </c>
      <c r="J301" s="29">
        <v>0</v>
      </c>
      <c r="K301" s="22">
        <v>0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  <c r="DC301" s="9"/>
      <c r="DD301" s="9"/>
      <c r="DE301" s="9"/>
      <c r="DF301" s="9"/>
      <c r="DG301" s="9"/>
      <c r="DH301" s="9"/>
      <c r="DI301" s="9"/>
      <c r="DJ301" s="9"/>
      <c r="DK301" s="9"/>
      <c r="DL301" s="9"/>
      <c r="DM301" s="9"/>
      <c r="DN301" s="9"/>
      <c r="DO301" s="9"/>
      <c r="DP301" s="9"/>
      <c r="DQ301" s="9"/>
      <c r="DR301" s="9"/>
      <c r="DS301" s="9"/>
      <c r="DT301" s="9"/>
      <c r="DU301" s="9"/>
      <c r="DV301" s="9"/>
      <c r="DW301" s="9"/>
      <c r="DX301" s="9"/>
      <c r="DY301" s="9"/>
      <c r="DZ301" s="9"/>
      <c r="EA301" s="9"/>
      <c r="EB301" s="9"/>
      <c r="EC301" s="9"/>
      <c r="ED301" s="9"/>
      <c r="EE301" s="9"/>
      <c r="EF301" s="9"/>
      <c r="EG301" s="9"/>
      <c r="EH301" s="9"/>
      <c r="EI301" s="9"/>
      <c r="EJ301" s="9"/>
      <c r="EK301" s="9"/>
      <c r="EL301" s="9"/>
    </row>
    <row r="302" spans="1:142" x14ac:dyDescent="0.35">
      <c r="A302" s="9">
        <v>74322325</v>
      </c>
      <c r="B302" s="19">
        <v>1</v>
      </c>
      <c r="C302" s="9" t="str">
        <f>VLOOKUP(A302,'[1]terceros cto'!A$1:B$65536,2,0)</f>
        <v>CORONADO ALVARADO JAVIER DE JESUS</v>
      </c>
      <c r="D302" s="20" t="str">
        <f>VLOOKUP(C302,'[1]terceros cto'!B$1:F$65536,5,0)</f>
        <v>javier.coronado1@gmail.com</v>
      </c>
      <c r="E302" s="21">
        <f>VLOOKUP(C302,'[1]terceros cto'!B$1:E$65536,4,0)</f>
        <v>3142529499</v>
      </c>
      <c r="F302" s="9" t="str">
        <f>VLOOKUP(C302,'[1]terceros cto'!B$1:D$65536,3,0)</f>
        <v>CARRERA 19 N 25-45</v>
      </c>
      <c r="G302" s="21">
        <v>15516</v>
      </c>
      <c r="H302" s="9">
        <v>212</v>
      </c>
      <c r="I302" s="30">
        <v>8759204</v>
      </c>
      <c r="J302" s="31">
        <v>0</v>
      </c>
      <c r="K302" s="22">
        <v>0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  <c r="CZ302" s="9"/>
      <c r="DA302" s="9"/>
      <c r="DB302" s="9"/>
      <c r="DC302" s="9"/>
      <c r="DD302" s="9"/>
      <c r="DE302" s="9"/>
      <c r="DF302" s="9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x14ac:dyDescent="0.35">
      <c r="A303" s="9">
        <v>74322463</v>
      </c>
      <c r="B303" s="19">
        <v>8</v>
      </c>
      <c r="C303" s="9" t="str">
        <f>VLOOKUP(A303,'[1]terceros cto'!A$1:B$65536,2,0)</f>
        <v>BRAVO JIMENEZ ORLANDO HUMBERTO</v>
      </c>
      <c r="D303" s="20" t="str">
        <f>VLOOKUP(C303,'[1]terceros cto'!B$1:F$65536,5,0)</f>
        <v>orlandohbravo@gmail.com</v>
      </c>
      <c r="E303" s="21" t="s">
        <v>2252</v>
      </c>
      <c r="F303" s="9" t="str">
        <f>VLOOKUP(C303,'[1]terceros cto'!B$1:D$65536,3,0)</f>
        <v>paipa</v>
      </c>
      <c r="G303" s="21">
        <v>15516</v>
      </c>
      <c r="H303" s="9">
        <v>212</v>
      </c>
      <c r="I303" s="28">
        <v>100737</v>
      </c>
      <c r="J303" s="29">
        <v>0</v>
      </c>
      <c r="K303" s="22">
        <v>0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  <c r="CY303" s="9"/>
      <c r="CZ303" s="9"/>
      <c r="DA303" s="9"/>
      <c r="DB303" s="9"/>
      <c r="DC303" s="9"/>
      <c r="DD303" s="9"/>
      <c r="DE303" s="9"/>
      <c r="DF303" s="9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x14ac:dyDescent="0.35">
      <c r="A304" s="9">
        <v>74322739</v>
      </c>
      <c r="B304" s="19">
        <v>5</v>
      </c>
      <c r="C304" s="9" t="str">
        <f>VLOOKUP(A304,'[1]terceros cto'!A$1:B$65536,2,0)</f>
        <v>RODRIGUEZ PUERTO LUIS ALEJANDRO</v>
      </c>
      <c r="D304" s="20" t="str">
        <f>VLOOKUP(C304,'[1]terceros cto'!B$1:F$65536,5,0)</f>
        <v>luisarp9876@hotmail.com</v>
      </c>
      <c r="E304" s="21" t="s">
        <v>2252</v>
      </c>
      <c r="F304" s="9" t="str">
        <f>VLOOKUP(C304,'[1]terceros cto'!B$1:D$65536,3,0)</f>
        <v>Paipa</v>
      </c>
      <c r="G304" s="21">
        <v>15516</v>
      </c>
      <c r="H304" s="9">
        <v>212</v>
      </c>
      <c r="I304" s="30">
        <v>1215560</v>
      </c>
      <c r="J304" s="31">
        <v>0</v>
      </c>
      <c r="K304" s="22">
        <v>0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  <c r="CZ304" s="9"/>
      <c r="DA304" s="9"/>
      <c r="DB304" s="9"/>
      <c r="DC304" s="9"/>
      <c r="DD304" s="9"/>
      <c r="DE304" s="9"/>
      <c r="DF304" s="9"/>
      <c r="DG304" s="9"/>
      <c r="DH304" s="9"/>
      <c r="DI304" s="9"/>
      <c r="DJ304" s="9"/>
      <c r="DK304" s="9"/>
      <c r="DL304" s="9"/>
      <c r="DM304" s="9"/>
      <c r="DN304" s="9"/>
      <c r="DO304" s="9"/>
      <c r="DP304" s="9"/>
      <c r="DQ304" s="9"/>
      <c r="DR304" s="9"/>
      <c r="DS304" s="9"/>
      <c r="DT304" s="9"/>
      <c r="DU304" s="9"/>
      <c r="DV304" s="9"/>
      <c r="DW304" s="9"/>
      <c r="DX304" s="9"/>
      <c r="DY304" s="9"/>
      <c r="DZ304" s="9"/>
      <c r="EA304" s="9"/>
      <c r="EB304" s="9"/>
      <c r="EC304" s="9"/>
      <c r="ED304" s="9"/>
      <c r="EE304" s="9"/>
      <c r="EF304" s="9"/>
      <c r="EG304" s="9"/>
      <c r="EH304" s="9"/>
      <c r="EI304" s="9"/>
      <c r="EJ304" s="9"/>
      <c r="EK304" s="9"/>
      <c r="EL304" s="9"/>
    </row>
    <row r="305" spans="1:142" x14ac:dyDescent="0.35">
      <c r="A305" s="9">
        <v>74323126</v>
      </c>
      <c r="B305" s="19">
        <v>5</v>
      </c>
      <c r="C305" s="9" t="str">
        <f>VLOOKUP(A305,'[1]terceros cto'!A$1:B$65536,2,0)</f>
        <v>SANCHEZ SANABRIA JESUS ARMANDO</v>
      </c>
      <c r="D305" s="20" t="str">
        <f>VLOOKUP(C305,'[1]terceros cto'!B$1:F$65536,5,0)</f>
        <v>jass9901@yahoo.com</v>
      </c>
      <c r="E305" s="21" t="s">
        <v>2252</v>
      </c>
      <c r="F305" s="9" t="str">
        <f>VLOOKUP(C305,'[1]terceros cto'!B$1:D$65536,3,0)</f>
        <v>PAIPA</v>
      </c>
      <c r="G305" s="21">
        <v>15516</v>
      </c>
      <c r="H305" s="9">
        <v>212</v>
      </c>
      <c r="I305" s="28">
        <v>1293371</v>
      </c>
      <c r="J305" s="29">
        <v>0</v>
      </c>
      <c r="K305" s="22">
        <v>0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M305" s="9"/>
      <c r="DN305" s="9"/>
      <c r="DO305" s="9"/>
      <c r="DP305" s="9"/>
      <c r="DQ305" s="9"/>
      <c r="DR305" s="9"/>
      <c r="DS305" s="9"/>
      <c r="DT305" s="9"/>
      <c r="DU305" s="9"/>
      <c r="DV305" s="9"/>
      <c r="DW305" s="9"/>
      <c r="DX305" s="9"/>
      <c r="DY305" s="9"/>
      <c r="DZ305" s="9"/>
      <c r="EA305" s="9"/>
      <c r="EB305" s="9"/>
      <c r="EC305" s="9"/>
      <c r="ED305" s="9"/>
      <c r="EE305" s="9"/>
      <c r="EF305" s="9"/>
      <c r="EG305" s="9"/>
      <c r="EH305" s="9"/>
      <c r="EI305" s="9"/>
      <c r="EJ305" s="9"/>
      <c r="EK305" s="9"/>
      <c r="EL305" s="9"/>
    </row>
    <row r="306" spans="1:142" x14ac:dyDescent="0.35">
      <c r="A306" s="9">
        <v>74323291</v>
      </c>
      <c r="B306" s="19">
        <v>2</v>
      </c>
      <c r="C306" s="9" t="str">
        <f>VLOOKUP(A306,'[1]terceros cto'!A$1:B$65536,2,0)</f>
        <v>PEDRAZA BRIJALDO JULIO HERNANDO</v>
      </c>
      <c r="D306" s="20" t="str">
        <f>VLOOKUP(C306,'[1]terceros cto'!B$1:F$65536,5,0)</f>
        <v>pjuliohernando@gmail.com</v>
      </c>
      <c r="E306" s="21" t="s">
        <v>2252</v>
      </c>
      <c r="F306" s="9" t="str">
        <f>VLOOKUP(C306,'[1]terceros cto'!B$1:D$65536,3,0)</f>
        <v>Paipa</v>
      </c>
      <c r="G306" s="21">
        <v>15516</v>
      </c>
      <c r="H306" s="9">
        <v>212</v>
      </c>
      <c r="I306" s="30">
        <v>827287</v>
      </c>
      <c r="J306" s="31">
        <v>0</v>
      </c>
      <c r="K306" s="22">
        <v>0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  <c r="DC306" s="9"/>
      <c r="DD306" s="9"/>
      <c r="DE306" s="9"/>
      <c r="DF306" s="9"/>
      <c r="DG306" s="9"/>
      <c r="DH306" s="9"/>
      <c r="DI306" s="9"/>
      <c r="DJ306" s="9"/>
      <c r="DK306" s="9"/>
      <c r="DL306" s="9"/>
      <c r="DM306" s="9"/>
      <c r="DN306" s="9"/>
      <c r="DO306" s="9"/>
      <c r="DP306" s="9"/>
      <c r="DQ306" s="9"/>
      <c r="DR306" s="9"/>
      <c r="DS306" s="9"/>
      <c r="DT306" s="9"/>
      <c r="DU306" s="9"/>
      <c r="DV306" s="9"/>
      <c r="DW306" s="9"/>
      <c r="DX306" s="9"/>
      <c r="DY306" s="9"/>
      <c r="DZ306" s="9"/>
      <c r="EA306" s="9"/>
      <c r="EB306" s="9"/>
      <c r="EC306" s="9"/>
      <c r="ED306" s="9"/>
      <c r="EE306" s="9"/>
      <c r="EF306" s="9"/>
      <c r="EG306" s="9"/>
      <c r="EH306" s="9"/>
      <c r="EI306" s="9"/>
      <c r="EJ306" s="9"/>
      <c r="EK306" s="9"/>
      <c r="EL306" s="9"/>
    </row>
    <row r="307" spans="1:142" x14ac:dyDescent="0.35">
      <c r="A307" s="9">
        <v>74323325</v>
      </c>
      <c r="B307" s="19">
        <v>4</v>
      </c>
      <c r="C307" s="9" t="str">
        <f>VLOOKUP(A307,'[1]terceros cto'!A$1:B$65536,2,0)</f>
        <v>ECHEVERRIA SANCHEZ VICTOR HUGO</v>
      </c>
      <c r="D307" s="20" t="str">
        <f>VLOOKUP(C307,'[1]terceros cto'!B$1:F$65536,5,0)</f>
        <v>victorhe67@hotmail.com</v>
      </c>
      <c r="E307" s="21" t="s">
        <v>2252</v>
      </c>
      <c r="F307" s="9" t="str">
        <f>VLOOKUP(C307,'[1]terceros cto'!B$1:D$65536,3,0)</f>
        <v>Paipa</v>
      </c>
      <c r="G307" s="21">
        <v>15516</v>
      </c>
      <c r="H307" s="9">
        <v>212</v>
      </c>
      <c r="I307" s="28">
        <v>112076</v>
      </c>
      <c r="J307" s="29">
        <v>0</v>
      </c>
      <c r="K307" s="22">
        <v>0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  <c r="DC307" s="9"/>
      <c r="DD307" s="9"/>
      <c r="DE307" s="9"/>
      <c r="DF307" s="9"/>
      <c r="DG307" s="9"/>
      <c r="DH307" s="9"/>
      <c r="DI307" s="9"/>
      <c r="DJ307" s="9"/>
      <c r="DK307" s="9"/>
      <c r="DL307" s="9"/>
      <c r="DM307" s="9"/>
      <c r="DN307" s="9"/>
      <c r="DO307" s="9"/>
      <c r="DP307" s="9"/>
      <c r="DQ307" s="9"/>
      <c r="DR307" s="9"/>
      <c r="DS307" s="9"/>
      <c r="DT307" s="9"/>
      <c r="DU307" s="9"/>
      <c r="DV307" s="9"/>
      <c r="DW307" s="9"/>
      <c r="DX307" s="9"/>
      <c r="DY307" s="9"/>
      <c r="DZ307" s="9"/>
      <c r="EA307" s="9"/>
      <c r="EB307" s="9"/>
      <c r="EC307" s="9"/>
      <c r="ED307" s="9"/>
      <c r="EE307" s="9"/>
      <c r="EF307" s="9"/>
      <c r="EG307" s="9"/>
      <c r="EH307" s="9"/>
      <c r="EI307" s="9"/>
      <c r="EJ307" s="9"/>
      <c r="EK307" s="9"/>
      <c r="EL307" s="9"/>
    </row>
    <row r="308" spans="1:142" x14ac:dyDescent="0.35">
      <c r="A308" s="9">
        <v>74323333</v>
      </c>
      <c r="B308" s="19">
        <v>3</v>
      </c>
      <c r="C308" s="9" t="str">
        <f>VLOOKUP(A308,'[1]terceros cto'!A$1:B$65536,2,0)</f>
        <v>RUIZ GONZALES JOSE CONSTANTINO</v>
      </c>
      <c r="D308" s="20" t="str">
        <f>VLOOKUP(C308,'[1]terceros cto'!B$1:F$65536,5,0)</f>
        <v>costruiz@hotmail.es</v>
      </c>
      <c r="E308" s="21" t="s">
        <v>2252</v>
      </c>
      <c r="F308" s="9" t="str">
        <f>VLOOKUP(C308,'[1]terceros cto'!B$1:D$65536,3,0)</f>
        <v>PAIPA</v>
      </c>
      <c r="G308" s="21">
        <v>15516</v>
      </c>
      <c r="H308" s="9">
        <v>212</v>
      </c>
      <c r="I308" s="30">
        <v>454983</v>
      </c>
      <c r="J308" s="31">
        <v>0</v>
      </c>
      <c r="K308" s="22">
        <v>0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9"/>
      <c r="DJ308" s="9"/>
      <c r="DK308" s="9"/>
      <c r="DL308" s="9"/>
      <c r="DM308" s="9"/>
      <c r="DN308" s="9"/>
      <c r="DO308" s="9"/>
      <c r="DP308" s="9"/>
      <c r="DQ308" s="9"/>
      <c r="DR308" s="9"/>
      <c r="DS308" s="9"/>
      <c r="DT308" s="9"/>
      <c r="DU308" s="9"/>
      <c r="DV308" s="9"/>
      <c r="DW308" s="9"/>
      <c r="DX308" s="9"/>
      <c r="DY308" s="9"/>
      <c r="DZ308" s="9"/>
      <c r="EA308" s="9"/>
      <c r="EB308" s="9"/>
      <c r="EC308" s="9"/>
      <c r="ED308" s="9"/>
      <c r="EE308" s="9"/>
      <c r="EF308" s="9"/>
      <c r="EG308" s="9"/>
      <c r="EH308" s="9"/>
      <c r="EI308" s="9"/>
      <c r="EJ308" s="9"/>
      <c r="EK308" s="9"/>
      <c r="EL308" s="9"/>
    </row>
    <row r="309" spans="1:142" x14ac:dyDescent="0.35">
      <c r="A309" s="9">
        <v>74323442</v>
      </c>
      <c r="B309" s="19">
        <v>8</v>
      </c>
      <c r="C309" s="9" t="str">
        <f>VLOOKUP(A309,'[1]terceros cto'!A$1:B$65536,2,0)</f>
        <v>VARGAS ALBA NELSON RAMIRO</v>
      </c>
      <c r="D309" s="20" t="str">
        <f>VLOOKUP(C309,'[1]terceros cto'!B$1:F$65536,5,0)</f>
        <v>neravaal68@yahoo.com</v>
      </c>
      <c r="E309" s="21" t="s">
        <v>2252</v>
      </c>
      <c r="F309" s="9" t="str">
        <f>VLOOKUP(C309,'[1]terceros cto'!B$1:D$65536,3,0)</f>
        <v>paip</v>
      </c>
      <c r="G309" s="21">
        <v>15516</v>
      </c>
      <c r="H309" s="9">
        <v>212</v>
      </c>
      <c r="I309" s="28">
        <v>2567177</v>
      </c>
      <c r="J309" s="29">
        <v>0</v>
      </c>
      <c r="K309" s="22">
        <v>0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  <c r="CZ309" s="9"/>
      <c r="DA309" s="9"/>
      <c r="DB309" s="9"/>
      <c r="DC309" s="9"/>
      <c r="DD309" s="9"/>
      <c r="DE309" s="9"/>
      <c r="DF309" s="9"/>
      <c r="DG309" s="9"/>
      <c r="DH309" s="9"/>
      <c r="DI309" s="9"/>
      <c r="DJ309" s="9"/>
      <c r="DK309" s="9"/>
      <c r="DL309" s="9"/>
      <c r="DM309" s="9"/>
      <c r="DN309" s="9"/>
      <c r="DO309" s="9"/>
      <c r="DP309" s="9"/>
      <c r="DQ309" s="9"/>
      <c r="DR309" s="9"/>
      <c r="DS309" s="9"/>
      <c r="DT309" s="9"/>
      <c r="DU309" s="9"/>
      <c r="DV309" s="9"/>
      <c r="DW309" s="9"/>
      <c r="DX309" s="9"/>
      <c r="DY309" s="9"/>
      <c r="DZ309" s="9"/>
      <c r="EA309" s="9"/>
      <c r="EB309" s="9"/>
      <c r="EC309" s="9"/>
      <c r="ED309" s="9"/>
      <c r="EE309" s="9"/>
      <c r="EF309" s="9"/>
      <c r="EG309" s="9"/>
      <c r="EH309" s="9"/>
      <c r="EI309" s="9"/>
      <c r="EJ309" s="9"/>
      <c r="EK309" s="9"/>
      <c r="EL309" s="9"/>
    </row>
    <row r="310" spans="1:142" x14ac:dyDescent="0.35">
      <c r="A310" s="9">
        <v>74323485</v>
      </c>
      <c r="B310" s="19">
        <v>4</v>
      </c>
      <c r="C310" s="9" t="str">
        <f>VLOOKUP(A310,'[1]terceros cto'!A$1:B$65536,2,0)</f>
        <v>ESPITIA ALFONSO GERMAN HUMBERTO</v>
      </c>
      <c r="D310" s="20" t="str">
        <f>VLOOKUP(C310,'[1]terceros cto'!B$1:F$65536,5,0)</f>
        <v>gerhespitial@gmail.com</v>
      </c>
      <c r="E310" s="21" t="s">
        <v>2252</v>
      </c>
      <c r="F310" s="9" t="str">
        <f>VLOOKUP(C310,'[1]terceros cto'!B$1:D$65536,3,0)</f>
        <v>Paipa</v>
      </c>
      <c r="G310" s="21">
        <v>15516</v>
      </c>
      <c r="H310" s="9">
        <v>212</v>
      </c>
      <c r="I310" s="30">
        <v>50000</v>
      </c>
      <c r="J310" s="31">
        <v>0</v>
      </c>
      <c r="K310" s="22">
        <v>0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  <c r="DC310" s="9"/>
      <c r="DD310" s="9"/>
      <c r="DE310" s="9"/>
      <c r="DF310" s="9"/>
      <c r="DG310" s="9"/>
      <c r="DH310" s="9"/>
      <c r="DI310" s="9"/>
      <c r="DJ310" s="9"/>
      <c r="DK310" s="9"/>
      <c r="DL310" s="9"/>
      <c r="DM310" s="9"/>
      <c r="DN310" s="9"/>
      <c r="DO310" s="9"/>
      <c r="DP310" s="9"/>
      <c r="DQ310" s="9"/>
      <c r="DR310" s="9"/>
      <c r="DS310" s="9"/>
      <c r="DT310" s="9"/>
      <c r="DU310" s="9"/>
      <c r="DV310" s="9"/>
      <c r="DW310" s="9"/>
      <c r="DX310" s="9"/>
      <c r="DY310" s="9"/>
      <c r="DZ310" s="9"/>
      <c r="EA310" s="9"/>
      <c r="EB310" s="9"/>
      <c r="EC310" s="9"/>
      <c r="ED310" s="9"/>
      <c r="EE310" s="9"/>
      <c r="EF310" s="9"/>
      <c r="EG310" s="9"/>
      <c r="EH310" s="9"/>
      <c r="EI310" s="9"/>
      <c r="EJ310" s="9"/>
      <c r="EK310" s="9"/>
      <c r="EL310" s="9"/>
    </row>
    <row r="311" spans="1:142" x14ac:dyDescent="0.35">
      <c r="A311" s="9">
        <v>74323570</v>
      </c>
      <c r="B311" s="19">
        <v>2</v>
      </c>
      <c r="C311" s="9" t="str">
        <f>VLOOKUP(A311,'[1]terceros cto'!A$1:B$65536,2,0)</f>
        <v>BRIJALDO VEGA LEONARDO ANTONIO</v>
      </c>
      <c r="D311" s="20" t="str">
        <f>VLOOKUP(C311,'[1]terceros cto'!B$1:F$65536,5,0)</f>
        <v>lbrijaldo@hotmail.com</v>
      </c>
      <c r="E311" s="21" t="s">
        <v>2252</v>
      </c>
      <c r="F311" s="9" t="str">
        <f>VLOOKUP(C311,'[1]terceros cto'!B$1:D$65536,3,0)</f>
        <v>Paipa</v>
      </c>
      <c r="G311" s="21">
        <v>15516</v>
      </c>
      <c r="H311" s="9">
        <v>212</v>
      </c>
      <c r="I311" s="28">
        <v>47610</v>
      </c>
      <c r="J311" s="29">
        <v>0</v>
      </c>
      <c r="K311" s="22">
        <v>0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  <c r="CY311" s="9"/>
      <c r="CZ311" s="9"/>
      <c r="DA311" s="9"/>
      <c r="DB311" s="9"/>
      <c r="DC311" s="9"/>
      <c r="DD311" s="9"/>
      <c r="DE311" s="9"/>
      <c r="DF311" s="9"/>
      <c r="DG311" s="9"/>
      <c r="DH311" s="9"/>
      <c r="DI311" s="9"/>
      <c r="DJ311" s="9"/>
      <c r="DK311" s="9"/>
      <c r="DL311" s="9"/>
      <c r="DM311" s="9"/>
      <c r="DN311" s="9"/>
      <c r="DO311" s="9"/>
      <c r="DP311" s="9"/>
      <c r="DQ311" s="9"/>
      <c r="DR311" s="9"/>
      <c r="DS311" s="9"/>
      <c r="DT311" s="9"/>
      <c r="DU311" s="9"/>
      <c r="DV311" s="9"/>
      <c r="DW311" s="9"/>
      <c r="DX311" s="9"/>
      <c r="DY311" s="9"/>
      <c r="DZ311" s="9"/>
      <c r="EA311" s="9"/>
      <c r="EB311" s="9"/>
      <c r="EC311" s="9"/>
      <c r="ED311" s="9"/>
      <c r="EE311" s="9"/>
      <c r="EF311" s="9"/>
      <c r="EG311" s="9"/>
      <c r="EH311" s="9"/>
      <c r="EI311" s="9"/>
      <c r="EJ311" s="9"/>
      <c r="EK311" s="9"/>
      <c r="EL311" s="9"/>
    </row>
    <row r="312" spans="1:142" x14ac:dyDescent="0.35">
      <c r="A312" s="9">
        <v>74323615</v>
      </c>
      <c r="B312" s="19">
        <v>5</v>
      </c>
      <c r="C312" s="9" t="str">
        <f>VLOOKUP(A312,'[1]terceros cto'!A$1:B$65536,2,0)</f>
        <v>ROJAS GONZALES JUAN</v>
      </c>
      <c r="D312" s="20" t="str">
        <f>VLOOKUP(C312,'[1]terceros cto'!B$1:F$65536,5,0)</f>
        <v>inmobiliariajjrojas@yahoo.com</v>
      </c>
      <c r="E312" s="21" t="s">
        <v>2252</v>
      </c>
      <c r="F312" s="9" t="str">
        <f>VLOOKUP(C312,'[1]terceros cto'!B$1:D$65536,3,0)</f>
        <v>Paipa</v>
      </c>
      <c r="G312" s="21">
        <v>15516</v>
      </c>
      <c r="H312" s="9">
        <v>212</v>
      </c>
      <c r="I312" s="30">
        <v>978387</v>
      </c>
      <c r="J312" s="31">
        <v>0</v>
      </c>
      <c r="K312" s="22">
        <v>0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  <c r="CZ312" s="9"/>
      <c r="DA312" s="9"/>
      <c r="DB312" s="9"/>
      <c r="DC312" s="9"/>
      <c r="DD312" s="9"/>
      <c r="DE312" s="9"/>
      <c r="DF312" s="9"/>
      <c r="DG312" s="9"/>
      <c r="DH312" s="9"/>
      <c r="DI312" s="9"/>
      <c r="DJ312" s="9"/>
      <c r="DK312" s="9"/>
      <c r="DL312" s="9"/>
      <c r="DM312" s="9"/>
      <c r="DN312" s="9"/>
      <c r="DO312" s="9"/>
      <c r="DP312" s="9"/>
      <c r="DQ312" s="9"/>
      <c r="DR312" s="9"/>
      <c r="DS312" s="9"/>
      <c r="DT312" s="9"/>
      <c r="DU312" s="9"/>
      <c r="DV312" s="9"/>
      <c r="DW312" s="9"/>
      <c r="DX312" s="9"/>
      <c r="DY312" s="9"/>
      <c r="DZ312" s="9"/>
      <c r="EA312" s="9"/>
      <c r="EB312" s="9"/>
      <c r="EC312" s="9"/>
      <c r="ED312" s="9"/>
      <c r="EE312" s="9"/>
      <c r="EF312" s="9"/>
      <c r="EG312" s="9"/>
      <c r="EH312" s="9"/>
      <c r="EI312" s="9"/>
      <c r="EJ312" s="9"/>
      <c r="EK312" s="9"/>
      <c r="EL312" s="9"/>
    </row>
    <row r="313" spans="1:142" x14ac:dyDescent="0.35">
      <c r="A313" s="9">
        <v>74323681</v>
      </c>
      <c r="B313" s="19">
        <v>1</v>
      </c>
      <c r="C313" s="9" t="str">
        <f>VLOOKUP(A313,'[1]terceros cto'!A$1:B$65536,2,0)</f>
        <v>LACHE TUTA RAFAEL ANTONIO</v>
      </c>
      <c r="D313" s="20" t="str">
        <f>VLOOKUP(C313,'[1]terceros cto'!B$1:F$65536,5,0)</f>
        <v>rafa.0876@hotmail.com</v>
      </c>
      <c r="E313" s="21" t="s">
        <v>2252</v>
      </c>
      <c r="F313" s="9" t="str">
        <f>VLOOKUP(C313,'[1]terceros cto'!B$1:D$65536,3,0)</f>
        <v>PAIPA</v>
      </c>
      <c r="G313" s="21">
        <v>15516</v>
      </c>
      <c r="H313" s="9">
        <v>212</v>
      </c>
      <c r="I313" s="28">
        <v>100000</v>
      </c>
      <c r="J313" s="29">
        <v>0</v>
      </c>
      <c r="K313" s="22">
        <v>0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  <c r="CY313" s="9"/>
      <c r="CZ313" s="9"/>
      <c r="DA313" s="9"/>
      <c r="DB313" s="9"/>
      <c r="DC313" s="9"/>
      <c r="DD313" s="9"/>
      <c r="DE313" s="9"/>
      <c r="DF313" s="9"/>
      <c r="DG313" s="9"/>
      <c r="DH313" s="9"/>
      <c r="DI313" s="9"/>
      <c r="DJ313" s="9"/>
      <c r="DK313" s="9"/>
      <c r="DL313" s="9"/>
      <c r="DM313" s="9"/>
      <c r="DN313" s="9"/>
      <c r="DO313" s="9"/>
      <c r="DP313" s="9"/>
      <c r="DQ313" s="9"/>
      <c r="DR313" s="9"/>
      <c r="DS313" s="9"/>
      <c r="DT313" s="9"/>
      <c r="DU313" s="9"/>
      <c r="DV313" s="9"/>
      <c r="DW313" s="9"/>
      <c r="DX313" s="9"/>
      <c r="DY313" s="9"/>
      <c r="DZ313" s="9"/>
      <c r="EA313" s="9"/>
      <c r="EB313" s="9"/>
      <c r="EC313" s="9"/>
      <c r="ED313" s="9"/>
      <c r="EE313" s="9"/>
      <c r="EF313" s="9"/>
      <c r="EG313" s="9"/>
      <c r="EH313" s="9"/>
      <c r="EI313" s="9"/>
      <c r="EJ313" s="9"/>
      <c r="EK313" s="9"/>
      <c r="EL313" s="9"/>
    </row>
    <row r="314" spans="1:142" x14ac:dyDescent="0.35">
      <c r="A314" s="9">
        <v>74323684</v>
      </c>
      <c r="B314" s="19">
        <v>3</v>
      </c>
      <c r="C314" s="9" t="str">
        <f>VLOOKUP(A314,'[1]terceros cto'!A$1:B$65536,2,0)</f>
        <v>CORREDOR MARTINEZ FERNANDO</v>
      </c>
      <c r="D314" s="20" t="str">
        <f>VLOOKUP(C314,'[1]terceros cto'!B$1:F$65536,5,0)</f>
        <v>comarfe10.contable@hotmail.com</v>
      </c>
      <c r="E314" s="21" t="s">
        <v>2252</v>
      </c>
      <c r="F314" s="9" t="str">
        <f>VLOOKUP(C314,'[1]terceros cto'!B$1:D$65536,3,0)</f>
        <v>PAIPA</v>
      </c>
      <c r="G314" s="21">
        <v>15516</v>
      </c>
      <c r="H314" s="9">
        <v>212</v>
      </c>
      <c r="I314" s="30">
        <v>223339</v>
      </c>
      <c r="J314" s="31">
        <v>0</v>
      </c>
      <c r="K314" s="22">
        <v>0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  <c r="DC314" s="9"/>
      <c r="DD314" s="9"/>
      <c r="DE314" s="9"/>
      <c r="DF314" s="9"/>
      <c r="DG314" s="9"/>
      <c r="DH314" s="9"/>
      <c r="DI314" s="9"/>
      <c r="DJ314" s="9"/>
      <c r="DK314" s="9"/>
      <c r="DL314" s="9"/>
      <c r="DM314" s="9"/>
      <c r="DN314" s="9"/>
      <c r="DO314" s="9"/>
      <c r="DP314" s="9"/>
      <c r="DQ314" s="9"/>
      <c r="DR314" s="9"/>
      <c r="DS314" s="9"/>
      <c r="DT314" s="9"/>
      <c r="DU314" s="9"/>
      <c r="DV314" s="9"/>
      <c r="DW314" s="9"/>
      <c r="DX314" s="9"/>
      <c r="DY314" s="9"/>
      <c r="DZ314" s="9"/>
      <c r="EA314" s="9"/>
      <c r="EB314" s="9"/>
      <c r="EC314" s="9"/>
      <c r="ED314" s="9"/>
      <c r="EE314" s="9"/>
      <c r="EF314" s="9"/>
      <c r="EG314" s="9"/>
      <c r="EH314" s="9"/>
      <c r="EI314" s="9"/>
      <c r="EJ314" s="9"/>
      <c r="EK314" s="9"/>
      <c r="EL314" s="9"/>
    </row>
    <row r="315" spans="1:142" x14ac:dyDescent="0.35">
      <c r="A315" s="9">
        <v>74323950</v>
      </c>
      <c r="B315" s="19">
        <v>8</v>
      </c>
      <c r="C315" s="9" t="str">
        <f>VLOOKUP(A315,'[1]terceros cto'!A$1:B$65536,2,0)</f>
        <v>GARZON RODRIGUEZ JOSE ARISTELIO</v>
      </c>
      <c r="D315" s="20" t="str">
        <f>VLOOKUP(C315,'[1]terceros cto'!B$1:F$65536,5,0)</f>
        <v>sanjubale@hotmail.com</v>
      </c>
      <c r="E315" s="21" t="s">
        <v>2252</v>
      </c>
      <c r="F315" s="9" t="str">
        <f>VLOOKUP(C315,'[1]terceros cto'!B$1:D$65536,3,0)</f>
        <v>VDA EL TUNAL</v>
      </c>
      <c r="G315" s="21">
        <v>15516</v>
      </c>
      <c r="H315" s="9">
        <v>212</v>
      </c>
      <c r="I315" s="28">
        <v>2410088</v>
      </c>
      <c r="J315" s="29">
        <v>0</v>
      </c>
      <c r="K315" s="22">
        <v>0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  <c r="CZ315" s="9"/>
      <c r="DA315" s="9"/>
      <c r="DB315" s="9"/>
      <c r="DC315" s="9"/>
      <c r="DD315" s="9"/>
      <c r="DE315" s="9"/>
      <c r="DF315" s="9"/>
      <c r="DG315" s="9"/>
      <c r="DH315" s="9"/>
      <c r="DI315" s="9"/>
      <c r="DJ315" s="9"/>
      <c r="DK315" s="9"/>
      <c r="DL315" s="9"/>
      <c r="DM315" s="9"/>
      <c r="DN315" s="9"/>
      <c r="DO315" s="9"/>
      <c r="DP315" s="9"/>
      <c r="DQ315" s="9"/>
      <c r="DR315" s="9"/>
      <c r="DS315" s="9"/>
      <c r="DT315" s="9"/>
      <c r="DU315" s="9"/>
      <c r="DV315" s="9"/>
      <c r="DW315" s="9"/>
      <c r="DX315" s="9"/>
      <c r="DY315" s="9"/>
      <c r="DZ315" s="9"/>
      <c r="EA315" s="9"/>
      <c r="EB315" s="9"/>
      <c r="EC315" s="9"/>
      <c r="ED315" s="9"/>
      <c r="EE315" s="9"/>
      <c r="EF315" s="9"/>
      <c r="EG315" s="9"/>
      <c r="EH315" s="9"/>
      <c r="EI315" s="9"/>
      <c r="EJ315" s="9"/>
      <c r="EK315" s="9"/>
      <c r="EL315" s="9"/>
    </row>
    <row r="316" spans="1:142" x14ac:dyDescent="0.35">
      <c r="A316" s="9">
        <v>74324186</v>
      </c>
      <c r="B316" s="19">
        <v>1</v>
      </c>
      <c r="C316" s="9" t="str">
        <f>VLOOKUP(A316,'[1]terceros cto'!A$1:B$65536,2,0)</f>
        <v>MORA MATEUS WILSON RICARDO</v>
      </c>
      <c r="D316" s="20" t="str">
        <f>VLOOKUP(C316,'[1]terceros cto'!B$1:F$65536,5,0)</f>
        <v>wilsonmora13@gmail.com</v>
      </c>
      <c r="E316" s="21" t="s">
        <v>2252</v>
      </c>
      <c r="F316" s="9" t="str">
        <f>VLOOKUP(C316,'[1]terceros cto'!B$1:D$65536,3,0)</f>
        <v>Paipa</v>
      </c>
      <c r="G316" s="21">
        <v>15516</v>
      </c>
      <c r="H316" s="9">
        <v>212</v>
      </c>
      <c r="I316" s="30">
        <v>502825</v>
      </c>
      <c r="J316" s="31">
        <v>0</v>
      </c>
      <c r="K316" s="22">
        <v>0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  <c r="CZ316" s="9"/>
      <c r="DA316" s="9"/>
      <c r="DB316" s="9"/>
      <c r="DC316" s="9"/>
      <c r="DD316" s="9"/>
      <c r="DE316" s="9"/>
      <c r="DF316" s="9"/>
      <c r="DG316" s="9"/>
      <c r="DH316" s="9"/>
      <c r="DI316" s="9"/>
      <c r="DJ316" s="9"/>
      <c r="DK316" s="9"/>
      <c r="DL316" s="9"/>
      <c r="DM316" s="9"/>
      <c r="DN316" s="9"/>
      <c r="DO316" s="9"/>
      <c r="DP316" s="9"/>
      <c r="DQ316" s="9"/>
      <c r="DR316" s="9"/>
      <c r="DS316" s="9"/>
      <c r="DT316" s="9"/>
      <c r="DU316" s="9"/>
      <c r="DV316" s="9"/>
      <c r="DW316" s="9"/>
      <c r="DX316" s="9"/>
      <c r="DY316" s="9"/>
      <c r="DZ316" s="9"/>
      <c r="EA316" s="9"/>
      <c r="EB316" s="9"/>
      <c r="EC316" s="9"/>
      <c r="ED316" s="9"/>
      <c r="EE316" s="9"/>
      <c r="EF316" s="9"/>
      <c r="EG316" s="9"/>
      <c r="EH316" s="9"/>
      <c r="EI316" s="9"/>
      <c r="EJ316" s="9"/>
      <c r="EK316" s="9"/>
      <c r="EL316" s="9"/>
    </row>
    <row r="317" spans="1:142" x14ac:dyDescent="0.35">
      <c r="A317" s="9">
        <v>74324208</v>
      </c>
      <c r="B317" s="19">
        <v>5</v>
      </c>
      <c r="C317" s="9" t="str">
        <f>VLOOKUP(A317,'[1]terceros cto'!A$1:B$65536,2,0)</f>
        <v>BARON RODRIGUEZ MANUEL</v>
      </c>
      <c r="D317" s="20" t="str">
        <f>VLOOKUP(C317,'[1]terceros cto'!B$1:F$65536,5,0)</f>
        <v>manuelbaronr15@gmail.com</v>
      </c>
      <c r="E317" s="21" t="s">
        <v>2252</v>
      </c>
      <c r="F317" s="9" t="str">
        <f>VLOOKUP(C317,'[1]terceros cto'!B$1:D$65536,3,0)</f>
        <v>CALLE 25 No24A-18</v>
      </c>
      <c r="G317" s="21">
        <v>15516</v>
      </c>
      <c r="H317" s="9">
        <v>212</v>
      </c>
      <c r="I317" s="28">
        <v>38489802</v>
      </c>
      <c r="J317" s="29">
        <v>0</v>
      </c>
      <c r="K317" s="22">
        <v>0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  <c r="CY317" s="9"/>
      <c r="CZ317" s="9"/>
      <c r="DA317" s="9"/>
      <c r="DB317" s="9"/>
      <c r="DC317" s="9"/>
      <c r="DD317" s="9"/>
      <c r="DE317" s="9"/>
      <c r="DF317" s="9"/>
      <c r="DG317" s="9"/>
      <c r="DH317" s="9"/>
      <c r="DI317" s="9"/>
      <c r="DJ317" s="9"/>
      <c r="DK317" s="9"/>
      <c r="DL317" s="9"/>
      <c r="DM317" s="9"/>
      <c r="DN317" s="9"/>
      <c r="DO317" s="9"/>
      <c r="DP317" s="9"/>
      <c r="DQ317" s="9"/>
      <c r="DR317" s="9"/>
      <c r="DS317" s="9"/>
      <c r="DT317" s="9"/>
      <c r="DU317" s="9"/>
      <c r="DV317" s="9"/>
      <c r="DW317" s="9"/>
      <c r="DX317" s="9"/>
      <c r="DY317" s="9"/>
      <c r="DZ317" s="9"/>
      <c r="EA317" s="9"/>
      <c r="EB317" s="9"/>
      <c r="EC317" s="9"/>
      <c r="ED317" s="9"/>
      <c r="EE317" s="9"/>
      <c r="EF317" s="9"/>
      <c r="EG317" s="9"/>
      <c r="EH317" s="9"/>
      <c r="EI317" s="9"/>
      <c r="EJ317" s="9"/>
      <c r="EK317" s="9"/>
      <c r="EL317" s="9"/>
    </row>
    <row r="318" spans="1:142" x14ac:dyDescent="0.35">
      <c r="A318" s="9">
        <v>74324324</v>
      </c>
      <c r="B318" s="19">
        <v>1</v>
      </c>
      <c r="C318" s="9" t="str">
        <f>VLOOKUP(A318,'[1]terceros cto'!A$1:B$65536,2,0)</f>
        <v>GUZMAN SILVA JOSE MANUEL</v>
      </c>
      <c r="D318" s="20" t="str">
        <f>VLOOKUP(C318,'[1]terceros cto'!B$1:F$65536,5,0)</f>
        <v>jomausi@gmail.com</v>
      </c>
      <c r="E318" s="21" t="s">
        <v>2252</v>
      </c>
      <c r="F318" s="9" t="str">
        <f>VLOOKUP(C318,'[1]terceros cto'!B$1:D$65536,3,0)</f>
        <v>PAIPA</v>
      </c>
      <c r="G318" s="21">
        <v>15516</v>
      </c>
      <c r="H318" s="9">
        <v>212</v>
      </c>
      <c r="I318" s="30">
        <v>1200000</v>
      </c>
      <c r="J318" s="31">
        <v>0</v>
      </c>
      <c r="K318" s="22">
        <v>0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  <c r="CZ318" s="9"/>
      <c r="DA318" s="9"/>
      <c r="DB318" s="9"/>
      <c r="DC318" s="9"/>
      <c r="DD318" s="9"/>
      <c r="DE318" s="9"/>
      <c r="DF318" s="9"/>
      <c r="DG318" s="9"/>
      <c r="DH318" s="9"/>
      <c r="DI318" s="9"/>
      <c r="DJ318" s="9"/>
      <c r="DK318" s="9"/>
      <c r="DL318" s="9"/>
      <c r="DM318" s="9"/>
      <c r="DN318" s="9"/>
      <c r="DO318" s="9"/>
      <c r="DP318" s="9"/>
      <c r="DQ318" s="9"/>
      <c r="DR318" s="9"/>
      <c r="DS318" s="9"/>
      <c r="DT318" s="9"/>
      <c r="DU318" s="9"/>
      <c r="DV318" s="9"/>
      <c r="DW318" s="9"/>
      <c r="DX318" s="9"/>
      <c r="DY318" s="9"/>
      <c r="DZ318" s="9"/>
      <c r="EA318" s="9"/>
      <c r="EB318" s="9"/>
      <c r="EC318" s="9"/>
      <c r="ED318" s="9"/>
      <c r="EE318" s="9"/>
      <c r="EF318" s="9"/>
      <c r="EG318" s="9"/>
      <c r="EH318" s="9"/>
      <c r="EI318" s="9"/>
      <c r="EJ318" s="9"/>
      <c r="EK318" s="9"/>
      <c r="EL318" s="9"/>
    </row>
    <row r="319" spans="1:142" x14ac:dyDescent="0.35">
      <c r="A319" s="9">
        <v>74326585</v>
      </c>
      <c r="B319" s="19">
        <v>6</v>
      </c>
      <c r="C319" s="9" t="str">
        <f>VLOOKUP(A319,'[1]terceros cto'!A$1:B$65536,2,0)</f>
        <v>SARMIENTO  MORA IADER  MAURICIO</v>
      </c>
      <c r="D319" s="20" t="str">
        <f>VLOOKUP(C319,'[1]terceros cto'!B$1:F$65536,5,0)</f>
        <v>maurosarmiento10@gmail.com</v>
      </c>
      <c r="E319" s="21" t="s">
        <v>2252</v>
      </c>
      <c r="F319" s="9" t="str">
        <f>VLOOKUP(C319,'[1]terceros cto'!B$1:D$65536,3,0)</f>
        <v>paipa</v>
      </c>
      <c r="G319" s="21">
        <v>15516</v>
      </c>
      <c r="H319" s="9">
        <v>212</v>
      </c>
      <c r="I319" s="28">
        <v>3383612</v>
      </c>
      <c r="J319" s="29">
        <v>0</v>
      </c>
      <c r="K319" s="22">
        <v>0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  <c r="CY319" s="9"/>
      <c r="CZ319" s="9"/>
      <c r="DA319" s="9"/>
      <c r="DB319" s="9"/>
      <c r="DC319" s="9"/>
      <c r="DD319" s="9"/>
      <c r="DE319" s="9"/>
      <c r="DF319" s="9"/>
      <c r="DG319" s="9"/>
      <c r="DH319" s="9"/>
      <c r="DI319" s="9"/>
      <c r="DJ319" s="9"/>
      <c r="DK319" s="9"/>
      <c r="DL319" s="9"/>
      <c r="DM319" s="9"/>
      <c r="DN319" s="9"/>
      <c r="DO319" s="9"/>
      <c r="DP319" s="9"/>
      <c r="DQ319" s="9"/>
      <c r="DR319" s="9"/>
      <c r="DS319" s="9"/>
      <c r="DT319" s="9"/>
      <c r="DU319" s="9"/>
      <c r="DV319" s="9"/>
      <c r="DW319" s="9"/>
      <c r="DX319" s="9"/>
      <c r="DY319" s="9"/>
      <c r="DZ319" s="9"/>
      <c r="EA319" s="9"/>
      <c r="EB319" s="9"/>
      <c r="EC319" s="9"/>
      <c r="ED319" s="9"/>
      <c r="EE319" s="9"/>
      <c r="EF319" s="9"/>
      <c r="EG319" s="9"/>
      <c r="EH319" s="9"/>
      <c r="EI319" s="9"/>
      <c r="EJ319" s="9"/>
      <c r="EK319" s="9"/>
      <c r="EL319" s="9"/>
    </row>
    <row r="320" spans="1:142" x14ac:dyDescent="0.35">
      <c r="A320" s="9">
        <v>74326835</v>
      </c>
      <c r="B320" s="19">
        <v>2</v>
      </c>
      <c r="C320" s="9" t="str">
        <f>VLOOKUP(A320,'[1]terceros cto'!A$1:B$65536,2,0)</f>
        <v>FUENTES CASTRO PABLO ANTONIO</v>
      </c>
      <c r="D320" s="20" t="str">
        <f>VLOOKUP(C320,'[1]terceros cto'!B$1:F$65536,5,0)</f>
        <v>paublo.fuentes74326@gmail.com</v>
      </c>
      <c r="E320" s="21" t="s">
        <v>2252</v>
      </c>
      <c r="F320" s="9" t="str">
        <f>VLOOKUP(C320,'[1]terceros cto'!B$1:D$65536,3,0)</f>
        <v>PAIPA</v>
      </c>
      <c r="G320" s="21">
        <v>15516</v>
      </c>
      <c r="H320" s="9">
        <v>212</v>
      </c>
      <c r="I320" s="30">
        <v>220011</v>
      </c>
      <c r="J320" s="31">
        <v>0</v>
      </c>
      <c r="K320" s="22">
        <v>0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  <c r="CZ320" s="9"/>
      <c r="DA320" s="9"/>
      <c r="DB320" s="9"/>
      <c r="DC320" s="9"/>
      <c r="DD320" s="9"/>
      <c r="DE320" s="9"/>
      <c r="DF320" s="9"/>
      <c r="DG320" s="9"/>
      <c r="DH320" s="9"/>
      <c r="DI320" s="9"/>
      <c r="DJ320" s="9"/>
      <c r="DK320" s="9"/>
      <c r="DL320" s="9"/>
      <c r="DM320" s="9"/>
      <c r="DN320" s="9"/>
      <c r="DO320" s="9"/>
      <c r="DP320" s="9"/>
      <c r="DQ320" s="9"/>
      <c r="DR320" s="9"/>
      <c r="DS320" s="9"/>
      <c r="DT320" s="9"/>
      <c r="DU320" s="9"/>
      <c r="DV320" s="9"/>
      <c r="DW320" s="9"/>
      <c r="DX320" s="9"/>
      <c r="DY320" s="9"/>
      <c r="DZ320" s="9"/>
      <c r="EA320" s="9"/>
      <c r="EB320" s="9"/>
      <c r="EC320" s="9"/>
      <c r="ED320" s="9"/>
      <c r="EE320" s="9"/>
      <c r="EF320" s="9"/>
      <c r="EG320" s="9"/>
      <c r="EH320" s="9"/>
      <c r="EI320" s="9"/>
      <c r="EJ320" s="9"/>
      <c r="EK320" s="9"/>
      <c r="EL320" s="9"/>
    </row>
    <row r="321" spans="1:142" x14ac:dyDescent="0.35">
      <c r="A321" s="9">
        <v>74357109</v>
      </c>
      <c r="B321" s="19">
        <v>6</v>
      </c>
      <c r="C321" s="9" t="str">
        <f>VLOOKUP(A321,'[1]terceros cto'!A$1:B$65536,2,0)</f>
        <v>RAMIREZ RODRIGUEZ LUIS ALVARO</v>
      </c>
      <c r="D321" s="20" t="str">
        <f>VLOOKUP(C321,'[1]terceros cto'!B$1:F$65536,5,0)</f>
        <v>alvaro.ramirez49@yahoo.es</v>
      </c>
      <c r="E321" s="21" t="s">
        <v>2252</v>
      </c>
      <c r="F321" s="9" t="str">
        <f>VLOOKUP(C321,'[1]terceros cto'!B$1:D$65536,3,0)</f>
        <v>CALLE 6 N 8 14</v>
      </c>
      <c r="G321" s="21">
        <v>15516</v>
      </c>
      <c r="H321" s="9">
        <v>212</v>
      </c>
      <c r="I321" s="28">
        <v>100000</v>
      </c>
      <c r="J321" s="29">
        <v>0</v>
      </c>
      <c r="K321" s="22">
        <v>0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  <c r="CZ321" s="9"/>
      <c r="DA321" s="9"/>
      <c r="DB321" s="9"/>
      <c r="DC321" s="9"/>
      <c r="DD321" s="9"/>
      <c r="DE321" s="9"/>
      <c r="DF321" s="9"/>
      <c r="DG321" s="9"/>
      <c r="DH321" s="9"/>
      <c r="DI321" s="9"/>
      <c r="DJ321" s="9"/>
      <c r="DK321" s="9"/>
      <c r="DL321" s="9"/>
      <c r="DM321" s="9"/>
      <c r="DN321" s="9"/>
      <c r="DO321" s="9"/>
      <c r="DP321" s="9"/>
      <c r="DQ321" s="9"/>
      <c r="DR321" s="9"/>
      <c r="DS321" s="9"/>
      <c r="DT321" s="9"/>
      <c r="DU321" s="9"/>
      <c r="DV321" s="9"/>
      <c r="DW321" s="9"/>
      <c r="DX321" s="9"/>
      <c r="DY321" s="9"/>
      <c r="DZ321" s="9"/>
      <c r="EA321" s="9"/>
      <c r="EB321" s="9"/>
      <c r="EC321" s="9"/>
      <c r="ED321" s="9"/>
      <c r="EE321" s="9"/>
      <c r="EF321" s="9"/>
      <c r="EG321" s="9"/>
      <c r="EH321" s="9"/>
      <c r="EI321" s="9"/>
      <c r="EJ321" s="9"/>
      <c r="EK321" s="9"/>
      <c r="EL321" s="9"/>
    </row>
    <row r="322" spans="1:142" x14ac:dyDescent="0.35">
      <c r="A322" s="9">
        <v>74358612</v>
      </c>
      <c r="B322" s="19">
        <v>4</v>
      </c>
      <c r="C322" s="9" t="str">
        <f>VLOOKUP(A322,'[1]terceros cto'!A$1:B$65536,2,0)</f>
        <v>SANDOVAL FUQUEN HUGO HUMBERTO</v>
      </c>
      <c r="D322" s="20" t="str">
        <f>VLOOKUP(C322,'[1]terceros cto'!B$1:F$65536,5,0)</f>
        <v>andocreando@icloud.com</v>
      </c>
      <c r="E322" s="21" t="s">
        <v>2252</v>
      </c>
      <c r="F322" s="9" t="str">
        <f>VLOOKUP(C322,'[1]terceros cto'!B$1:D$65536,3,0)</f>
        <v>PAIPA</v>
      </c>
      <c r="G322" s="21">
        <v>15516</v>
      </c>
      <c r="H322" s="9">
        <v>212</v>
      </c>
      <c r="I322" s="30">
        <v>370093</v>
      </c>
      <c r="J322" s="31">
        <v>0</v>
      </c>
      <c r="K322" s="22">
        <v>0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  <c r="CZ322" s="9"/>
      <c r="DA322" s="9"/>
      <c r="DB322" s="9"/>
      <c r="DC322" s="9"/>
      <c r="DD322" s="9"/>
      <c r="DE322" s="9"/>
      <c r="DF322" s="9"/>
      <c r="DG322" s="9"/>
      <c r="DH322" s="9"/>
      <c r="DI322" s="9"/>
      <c r="DJ322" s="9"/>
      <c r="DK322" s="9"/>
      <c r="DL322" s="9"/>
      <c r="DM322" s="9"/>
      <c r="DN322" s="9"/>
      <c r="DO322" s="9"/>
      <c r="DP322" s="9"/>
      <c r="DQ322" s="9"/>
      <c r="DR322" s="9"/>
      <c r="DS322" s="9"/>
      <c r="DT322" s="9"/>
      <c r="DU322" s="9"/>
      <c r="DV322" s="9"/>
      <c r="DW322" s="9"/>
      <c r="DX322" s="9"/>
      <c r="DY322" s="9"/>
      <c r="DZ322" s="9"/>
      <c r="EA322" s="9"/>
      <c r="EB322" s="9"/>
      <c r="EC322" s="9"/>
      <c r="ED322" s="9"/>
      <c r="EE322" s="9"/>
      <c r="EF322" s="9"/>
      <c r="EG322" s="9"/>
      <c r="EH322" s="9"/>
      <c r="EI322" s="9"/>
      <c r="EJ322" s="9"/>
      <c r="EK322" s="9"/>
      <c r="EL322" s="9"/>
    </row>
    <row r="323" spans="1:142" x14ac:dyDescent="0.35">
      <c r="A323" s="9">
        <v>74358765</v>
      </c>
      <c r="B323" s="19">
        <v>2</v>
      </c>
      <c r="C323" s="9" t="str">
        <f>VLOOKUP(A323,'[1]terceros cto'!A$1:B$65536,2,0)</f>
        <v>GRANADOS BENAVIDES LUIS ALVARO</v>
      </c>
      <c r="D323" s="20" t="str">
        <f>VLOOKUP(C323,'[1]terceros cto'!B$1:F$65536,5,0)</f>
        <v>luisalvarogranados@gmail.com</v>
      </c>
      <c r="E323" s="21" t="s">
        <v>2252</v>
      </c>
      <c r="F323" s="9" t="str">
        <f>VLOOKUP(C323,'[1]terceros cto'!B$1:D$65536,3,0)</f>
        <v>Paipa</v>
      </c>
      <c r="G323" s="21">
        <v>15516</v>
      </c>
      <c r="H323" s="9">
        <v>212</v>
      </c>
      <c r="I323" s="28">
        <v>30000</v>
      </c>
      <c r="J323" s="29">
        <v>0</v>
      </c>
      <c r="K323" s="22">
        <v>0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  <c r="CY323" s="9"/>
      <c r="CZ323" s="9"/>
      <c r="DA323" s="9"/>
      <c r="DB323" s="9"/>
      <c r="DC323" s="9"/>
      <c r="DD323" s="9"/>
      <c r="DE323" s="9"/>
      <c r="DF323" s="9"/>
      <c r="DG323" s="9"/>
      <c r="DH323" s="9"/>
      <c r="DI323" s="9"/>
      <c r="DJ323" s="9"/>
      <c r="DK323" s="9"/>
      <c r="DL323" s="9"/>
      <c r="DM323" s="9"/>
      <c r="DN323" s="9"/>
      <c r="DO323" s="9"/>
      <c r="DP323" s="9"/>
      <c r="DQ323" s="9"/>
      <c r="DR323" s="9"/>
      <c r="DS323" s="9"/>
      <c r="DT323" s="9"/>
      <c r="DU323" s="9"/>
      <c r="DV323" s="9"/>
      <c r="DW323" s="9"/>
      <c r="DX323" s="9"/>
      <c r="DY323" s="9"/>
      <c r="DZ323" s="9"/>
      <c r="EA323" s="9"/>
      <c r="EB323" s="9"/>
      <c r="EC323" s="9"/>
      <c r="ED323" s="9"/>
      <c r="EE323" s="9"/>
      <c r="EF323" s="9"/>
      <c r="EG323" s="9"/>
      <c r="EH323" s="9"/>
      <c r="EI323" s="9"/>
      <c r="EJ323" s="9"/>
      <c r="EK323" s="9"/>
      <c r="EL323" s="9"/>
    </row>
    <row r="324" spans="1:142" x14ac:dyDescent="0.35">
      <c r="A324" s="9">
        <v>74358835</v>
      </c>
      <c r="B324" s="19">
        <v>1</v>
      </c>
      <c r="C324" s="9" t="str">
        <f>VLOOKUP(A324,'[1]terceros cto'!A$1:B$65536,2,0)</f>
        <v>MORA  MATEUS MILTON MAURICIO</v>
      </c>
      <c r="D324" s="20" t="str">
        <f>VLOOKUP(C324,'[1]terceros cto'!B$1:F$65536,5,0)</f>
        <v>m_m_mora@yahoo.com</v>
      </c>
      <c r="E324" s="21" t="s">
        <v>2252</v>
      </c>
      <c r="F324" s="9" t="str">
        <f>VLOOKUP(C324,'[1]terceros cto'!B$1:D$65536,3,0)</f>
        <v>paipa</v>
      </c>
      <c r="G324" s="21">
        <v>15516</v>
      </c>
      <c r="H324" s="9">
        <v>212</v>
      </c>
      <c r="I324" s="30">
        <v>932430</v>
      </c>
      <c r="J324" s="31">
        <v>0</v>
      </c>
      <c r="K324" s="22">
        <v>0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  <c r="CY324" s="9"/>
      <c r="CZ324" s="9"/>
      <c r="DA324" s="9"/>
      <c r="DB324" s="9"/>
      <c r="DC324" s="9"/>
      <c r="DD324" s="9"/>
      <c r="DE324" s="9"/>
      <c r="DF324" s="9"/>
      <c r="DG324" s="9"/>
      <c r="DH324" s="9"/>
      <c r="DI324" s="9"/>
      <c r="DJ324" s="9"/>
      <c r="DK324" s="9"/>
      <c r="DL324" s="9"/>
      <c r="DM324" s="9"/>
      <c r="DN324" s="9"/>
      <c r="DO324" s="9"/>
      <c r="DP324" s="9"/>
      <c r="DQ324" s="9"/>
      <c r="DR324" s="9"/>
      <c r="DS324" s="9"/>
      <c r="DT324" s="9"/>
      <c r="DU324" s="9"/>
      <c r="DV324" s="9"/>
      <c r="DW324" s="9"/>
      <c r="DX324" s="9"/>
      <c r="DY324" s="9"/>
      <c r="DZ324" s="9"/>
      <c r="EA324" s="9"/>
      <c r="EB324" s="9"/>
      <c r="EC324" s="9"/>
      <c r="ED324" s="9"/>
      <c r="EE324" s="9"/>
      <c r="EF324" s="9"/>
      <c r="EG324" s="9"/>
      <c r="EH324" s="9"/>
      <c r="EI324" s="9"/>
      <c r="EJ324" s="9"/>
      <c r="EK324" s="9"/>
      <c r="EL324" s="9"/>
    </row>
    <row r="325" spans="1:142" x14ac:dyDescent="0.35">
      <c r="A325" s="9">
        <v>74358901</v>
      </c>
      <c r="B325" s="19">
        <v>8</v>
      </c>
      <c r="C325" s="9" t="str">
        <f>VLOOKUP(A325,'[1]terceros cto'!A$1:B$65536,2,0)</f>
        <v>ZAMBRANO VARGAS JOSE ANGEL</v>
      </c>
      <c r="D325" s="20" t="str">
        <f>VLOOKUP(C325,'[1]terceros cto'!B$1:F$65536,5,0)</f>
        <v>angelz429@hotmail.com</v>
      </c>
      <c r="E325" s="21" t="s">
        <v>2252</v>
      </c>
      <c r="F325" s="9" t="str">
        <f>VLOOKUP(C325,'[1]terceros cto'!B$1:D$65536,3,0)</f>
        <v>Paipa</v>
      </c>
      <c r="G325" s="21">
        <v>15516</v>
      </c>
      <c r="H325" s="9">
        <v>212</v>
      </c>
      <c r="I325" s="28">
        <v>140000</v>
      </c>
      <c r="J325" s="29">
        <v>0</v>
      </c>
      <c r="K325" s="22">
        <v>0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  <c r="CY325" s="9"/>
      <c r="CZ325" s="9"/>
      <c r="DA325" s="9"/>
      <c r="DB325" s="9"/>
      <c r="DC325" s="9"/>
      <c r="DD325" s="9"/>
      <c r="DE325" s="9"/>
      <c r="DF325" s="9"/>
      <c r="DG325" s="9"/>
      <c r="DH325" s="9"/>
      <c r="DI325" s="9"/>
      <c r="DJ325" s="9"/>
      <c r="DK325" s="9"/>
      <c r="DL325" s="9"/>
      <c r="DM325" s="9"/>
      <c r="DN325" s="9"/>
      <c r="DO325" s="9"/>
      <c r="DP325" s="9"/>
      <c r="DQ325" s="9"/>
      <c r="DR325" s="9"/>
      <c r="DS325" s="9"/>
      <c r="DT325" s="9"/>
      <c r="DU325" s="9"/>
      <c r="DV325" s="9"/>
      <c r="DW325" s="9"/>
      <c r="DX325" s="9"/>
      <c r="DY325" s="9"/>
      <c r="DZ325" s="9"/>
      <c r="EA325" s="9"/>
      <c r="EB325" s="9"/>
      <c r="EC325" s="9"/>
      <c r="ED325" s="9"/>
      <c r="EE325" s="9"/>
      <c r="EF325" s="9"/>
      <c r="EG325" s="9"/>
      <c r="EH325" s="9"/>
      <c r="EI325" s="9"/>
      <c r="EJ325" s="9"/>
      <c r="EK325" s="9"/>
      <c r="EL325" s="9"/>
    </row>
    <row r="326" spans="1:142" x14ac:dyDescent="0.35">
      <c r="A326" s="9">
        <v>74358930</v>
      </c>
      <c r="B326" s="19">
        <v>1</v>
      </c>
      <c r="C326" s="9" t="str">
        <f>VLOOKUP(A326,'[1]terceros cto'!A$1:B$65536,2,0)</f>
        <v>MOLANO FONSECA GABRIEL</v>
      </c>
      <c r="D326" s="20" t="str">
        <f>VLOOKUP(C326,'[1]terceros cto'!B$1:F$65536,5,0)</f>
        <v>gabrielmolanof72@gmail.com</v>
      </c>
      <c r="E326" s="21" t="s">
        <v>2252</v>
      </c>
      <c r="F326" s="9" t="str">
        <f>VLOOKUP(C326,'[1]terceros cto'!B$1:D$65536,3,0)</f>
        <v>PAIPA</v>
      </c>
      <c r="G326" s="21">
        <v>15516</v>
      </c>
      <c r="H326" s="9">
        <v>212</v>
      </c>
      <c r="I326" s="30">
        <v>395187</v>
      </c>
      <c r="J326" s="31">
        <v>0</v>
      </c>
      <c r="K326" s="22">
        <v>0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  <c r="CY326" s="9"/>
      <c r="CZ326" s="9"/>
      <c r="DA326" s="9"/>
      <c r="DB326" s="9"/>
      <c r="DC326" s="9"/>
      <c r="DD326" s="9"/>
      <c r="DE326" s="9"/>
      <c r="DF326" s="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x14ac:dyDescent="0.35">
      <c r="A327" s="9">
        <v>74359064</v>
      </c>
      <c r="B327" s="19">
        <v>2</v>
      </c>
      <c r="C327" s="9" t="str">
        <f>VLOOKUP(A327,'[1]terceros cto'!A$1:B$65536,2,0)</f>
        <v>OCHOA DIEGO</v>
      </c>
      <c r="D327" s="20" t="str">
        <f>VLOOKUP(C327,'[1]terceros cto'!B$1:F$65536,5,0)</f>
        <v>ochoacamargo@hotmail.com</v>
      </c>
      <c r="E327" s="21" t="s">
        <v>2252</v>
      </c>
      <c r="F327" s="9" t="str">
        <f>VLOOKUP(C327,'[1]terceros cto'!B$1:D$65536,3,0)</f>
        <v>CLL 25 19 52</v>
      </c>
      <c r="G327" s="21">
        <v>15516</v>
      </c>
      <c r="H327" s="9">
        <v>212</v>
      </c>
      <c r="I327" s="28">
        <v>777576</v>
      </c>
      <c r="J327" s="29">
        <v>0</v>
      </c>
      <c r="K327" s="22">
        <v>0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  <c r="CZ327" s="9"/>
      <c r="DA327" s="9"/>
      <c r="DB327" s="9"/>
      <c r="DC327" s="9"/>
      <c r="DD327" s="9"/>
      <c r="DE327" s="9"/>
      <c r="DF327" s="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x14ac:dyDescent="0.35">
      <c r="A328" s="9">
        <v>74359106</v>
      </c>
      <c r="B328" s="19">
        <v>3</v>
      </c>
      <c r="C328" s="9" t="str">
        <f>VLOOKUP(A328,'[1]terceros cto'!A$1:B$65536,2,0)</f>
        <v>MORALES  JAVIER GUATIBONZA</v>
      </c>
      <c r="D328" s="20" t="str">
        <f>VLOOKUP(C328,'[1]terceros cto'!B$1:F$65536,5,0)</f>
        <v>javiguatibonzam@gmail.com</v>
      </c>
      <c r="E328" s="21" t="s">
        <v>2252</v>
      </c>
      <c r="F328" s="9" t="str">
        <f>VLOOKUP(C328,'[1]terceros cto'!B$1:D$65536,3,0)</f>
        <v>Paipa</v>
      </c>
      <c r="G328" s="21">
        <v>15516</v>
      </c>
      <c r="H328" s="9">
        <v>212</v>
      </c>
      <c r="I328" s="30">
        <v>20000</v>
      </c>
      <c r="J328" s="31">
        <v>0</v>
      </c>
      <c r="K328" s="22">
        <v>0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  <c r="CZ328" s="9"/>
      <c r="DA328" s="9"/>
      <c r="DB328" s="9"/>
      <c r="DC328" s="9"/>
      <c r="DD328" s="9"/>
      <c r="DE328" s="9"/>
      <c r="DF328" s="9"/>
      <c r="DG328" s="9"/>
      <c r="DH328" s="9"/>
      <c r="DI328" s="9"/>
      <c r="DJ328" s="9"/>
      <c r="DK328" s="9"/>
      <c r="DL328" s="9"/>
      <c r="DM328" s="9"/>
      <c r="DN328" s="9"/>
      <c r="DO328" s="9"/>
      <c r="DP328" s="9"/>
      <c r="DQ328" s="9"/>
      <c r="DR328" s="9"/>
      <c r="DS328" s="9"/>
      <c r="DT328" s="9"/>
      <c r="DU328" s="9"/>
      <c r="DV328" s="9"/>
      <c r="DW328" s="9"/>
      <c r="DX328" s="9"/>
      <c r="DY328" s="9"/>
      <c r="DZ328" s="9"/>
      <c r="EA328" s="9"/>
      <c r="EB328" s="9"/>
      <c r="EC328" s="9"/>
      <c r="ED328" s="9"/>
      <c r="EE328" s="9"/>
      <c r="EF328" s="9"/>
      <c r="EG328" s="9"/>
      <c r="EH328" s="9"/>
      <c r="EI328" s="9"/>
      <c r="EJ328" s="9"/>
      <c r="EK328" s="9"/>
      <c r="EL328" s="9"/>
    </row>
    <row r="329" spans="1:142" x14ac:dyDescent="0.35">
      <c r="A329" s="9">
        <v>74359114</v>
      </c>
      <c r="B329" s="19">
        <v>2</v>
      </c>
      <c r="C329" s="9" t="str">
        <f>VLOOKUP(A329,'[1]terceros cto'!A$1:B$65536,2,0)</f>
        <v>VASQUEZ CASTRO MARTIN MARTIN</v>
      </c>
      <c r="D329" s="20" t="str">
        <f>VLOOKUP(C329,'[1]terceros cto'!B$1:F$65536,5,0)</f>
        <v>servulomartin@gmail.com</v>
      </c>
      <c r="E329" s="21" t="s">
        <v>2252</v>
      </c>
      <c r="F329" s="9" t="str">
        <f>VLOOKUP(C329,'[1]terceros cto'!B$1:D$65536,3,0)</f>
        <v>Paipa</v>
      </c>
      <c r="G329" s="21">
        <v>15516</v>
      </c>
      <c r="H329" s="9">
        <v>212</v>
      </c>
      <c r="I329" s="28">
        <v>638249</v>
      </c>
      <c r="J329" s="29">
        <v>0</v>
      </c>
      <c r="K329" s="22">
        <v>0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  <c r="CZ329" s="9"/>
      <c r="DA329" s="9"/>
      <c r="DB329" s="9"/>
      <c r="DC329" s="9"/>
      <c r="DD329" s="9"/>
      <c r="DE329" s="9"/>
      <c r="DF329" s="9"/>
      <c r="DG329" s="9"/>
      <c r="DH329" s="9"/>
      <c r="DI329" s="9"/>
      <c r="DJ329" s="9"/>
      <c r="DK329" s="9"/>
      <c r="DL329" s="9"/>
      <c r="DM329" s="9"/>
      <c r="DN329" s="9"/>
      <c r="DO329" s="9"/>
      <c r="DP329" s="9"/>
      <c r="DQ329" s="9"/>
      <c r="DR329" s="9"/>
      <c r="DS329" s="9"/>
      <c r="DT329" s="9"/>
      <c r="DU329" s="9"/>
      <c r="DV329" s="9"/>
      <c r="DW329" s="9"/>
      <c r="DX329" s="9"/>
      <c r="DY329" s="9"/>
      <c r="DZ329" s="9"/>
      <c r="EA329" s="9"/>
      <c r="EB329" s="9"/>
      <c r="EC329" s="9"/>
      <c r="ED329" s="9"/>
      <c r="EE329" s="9"/>
      <c r="EF329" s="9"/>
      <c r="EG329" s="9"/>
      <c r="EH329" s="9"/>
      <c r="EI329" s="9"/>
      <c r="EJ329" s="9"/>
      <c r="EK329" s="9"/>
      <c r="EL329" s="9"/>
    </row>
    <row r="330" spans="1:142" x14ac:dyDescent="0.35">
      <c r="A330" s="9">
        <v>74359250</v>
      </c>
      <c r="B330" s="19">
        <v>6</v>
      </c>
      <c r="C330" s="9" t="str">
        <f>VLOOKUP(A330,'[1]terceros cto'!A$1:B$65536,2,0)</f>
        <v>CORONADO RODRIGUEZ EDGAR</v>
      </c>
      <c r="D330" s="20" t="str">
        <f>VLOOKUP(C330,'[1]terceros cto'!B$1:F$65536,5,0)</f>
        <v>ecoronado0034@gmail.com</v>
      </c>
      <c r="E330" s="21" t="s">
        <v>2252</v>
      </c>
      <c r="F330" s="9" t="str">
        <f>VLOOKUP(C330,'[1]terceros cto'!B$1:D$65536,3,0)</f>
        <v>PAIPA</v>
      </c>
      <c r="G330" s="21">
        <v>15516</v>
      </c>
      <c r="H330" s="9">
        <v>212</v>
      </c>
      <c r="I330" s="30">
        <v>350008</v>
      </c>
      <c r="J330" s="31">
        <v>0</v>
      </c>
      <c r="K330" s="22">
        <v>0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  <c r="CY330" s="9"/>
      <c r="CZ330" s="9"/>
      <c r="DA330" s="9"/>
      <c r="DB330" s="9"/>
      <c r="DC330" s="9"/>
      <c r="DD330" s="9"/>
      <c r="DE330" s="9"/>
      <c r="DF330" s="9"/>
      <c r="DG330" s="9"/>
      <c r="DH330" s="9"/>
      <c r="DI330" s="9"/>
      <c r="DJ330" s="9"/>
      <c r="DK330" s="9"/>
      <c r="DL330" s="9"/>
      <c r="DM330" s="9"/>
      <c r="DN330" s="9"/>
      <c r="DO330" s="9"/>
      <c r="DP330" s="9"/>
      <c r="DQ330" s="9"/>
      <c r="DR330" s="9"/>
      <c r="DS330" s="9"/>
      <c r="DT330" s="9"/>
      <c r="DU330" s="9"/>
      <c r="DV330" s="9"/>
      <c r="DW330" s="9"/>
      <c r="DX330" s="9"/>
      <c r="DY330" s="9"/>
      <c r="DZ330" s="9"/>
      <c r="EA330" s="9"/>
      <c r="EB330" s="9"/>
      <c r="EC330" s="9"/>
      <c r="ED330" s="9"/>
      <c r="EE330" s="9"/>
      <c r="EF330" s="9"/>
      <c r="EG330" s="9"/>
      <c r="EH330" s="9"/>
      <c r="EI330" s="9"/>
      <c r="EJ330" s="9"/>
      <c r="EK330" s="9"/>
      <c r="EL330" s="9"/>
    </row>
    <row r="331" spans="1:142" x14ac:dyDescent="0.35">
      <c r="A331" s="9">
        <v>74359430</v>
      </c>
      <c r="B331" s="19">
        <v>5</v>
      </c>
      <c r="C331" s="9" t="str">
        <f>VLOOKUP(A331,'[1]terceros cto'!A$1:B$65536,2,0)</f>
        <v>MUÑOZ OCHOA ERNESTO YESID</v>
      </c>
      <c r="D331" s="20" t="str">
        <f>VLOOKUP(C331,'[1]terceros cto'!B$1:F$65536,5,0)</f>
        <v>danielitomz@hotmail.es</v>
      </c>
      <c r="E331" s="21" t="s">
        <v>2252</v>
      </c>
      <c r="F331" s="9" t="str">
        <f>VLOOKUP(C331,'[1]terceros cto'!B$1:D$65536,3,0)</f>
        <v>Paipa</v>
      </c>
      <c r="G331" s="21">
        <v>15516</v>
      </c>
      <c r="H331" s="9">
        <v>212</v>
      </c>
      <c r="I331" s="28">
        <v>480000</v>
      </c>
      <c r="J331" s="29">
        <v>0</v>
      </c>
      <c r="K331" s="22">
        <v>0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  <c r="CZ331" s="9"/>
      <c r="DA331" s="9"/>
      <c r="DB331" s="9"/>
      <c r="DC331" s="9"/>
      <c r="DD331" s="9"/>
      <c r="DE331" s="9"/>
      <c r="DF331" s="9"/>
      <c r="DG331" s="9"/>
      <c r="DH331" s="9"/>
      <c r="DI331" s="9"/>
      <c r="DJ331" s="9"/>
      <c r="DK331" s="9"/>
      <c r="DL331" s="9"/>
      <c r="DM331" s="9"/>
      <c r="DN331" s="9"/>
      <c r="DO331" s="9"/>
      <c r="DP331" s="9"/>
      <c r="DQ331" s="9"/>
      <c r="DR331" s="9"/>
      <c r="DS331" s="9"/>
      <c r="DT331" s="9"/>
      <c r="DU331" s="9"/>
      <c r="DV331" s="9"/>
      <c r="DW331" s="9"/>
      <c r="DX331" s="9"/>
      <c r="DY331" s="9"/>
      <c r="DZ331" s="9"/>
      <c r="EA331" s="9"/>
      <c r="EB331" s="9"/>
      <c r="EC331" s="9"/>
      <c r="ED331" s="9"/>
      <c r="EE331" s="9"/>
      <c r="EF331" s="9"/>
      <c r="EG331" s="9"/>
      <c r="EH331" s="9"/>
      <c r="EI331" s="9"/>
      <c r="EJ331" s="9"/>
      <c r="EK331" s="9"/>
      <c r="EL331" s="9"/>
    </row>
    <row r="332" spans="1:142" x14ac:dyDescent="0.35">
      <c r="A332" s="9">
        <v>74359458</v>
      </c>
      <c r="B332" s="19">
        <v>0</v>
      </c>
      <c r="C332" s="9" t="str">
        <f>VLOOKUP(A332,'[1]terceros cto'!A$1:B$65536,2,0)</f>
        <v>SANDOVAL FUQUEN EDDY URBANO</v>
      </c>
      <c r="D332" s="20" t="str">
        <f>VLOOKUP(C332,'[1]terceros cto'!B$1:F$65536,5,0)</f>
        <v>sys.eddy@gmail.com</v>
      </c>
      <c r="E332" s="21" t="str">
        <f>VLOOKUP(C332,'[1]terceros cto'!B$1:E$65536,4,0)</f>
        <v>7851245</v>
      </c>
      <c r="F332" s="9" t="str">
        <f>VLOOKUP(C332,'[1]terceros cto'!B$1:D$65536,3,0)</f>
        <v>CARRERA 17 No 27-47</v>
      </c>
      <c r="G332" s="21">
        <v>15516</v>
      </c>
      <c r="H332" s="9">
        <v>212</v>
      </c>
      <c r="I332" s="30">
        <v>3225907</v>
      </c>
      <c r="J332" s="31">
        <v>0</v>
      </c>
      <c r="K332" s="22">
        <v>0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  <c r="CZ332" s="9"/>
      <c r="DA332" s="9"/>
      <c r="DB332" s="9"/>
      <c r="DC332" s="9"/>
      <c r="DD332" s="9"/>
      <c r="DE332" s="9"/>
      <c r="DF332" s="9"/>
      <c r="DG332" s="9"/>
      <c r="DH332" s="9"/>
      <c r="DI332" s="9"/>
      <c r="DJ332" s="9"/>
      <c r="DK332" s="9"/>
      <c r="DL332" s="9"/>
      <c r="DM332" s="9"/>
      <c r="DN332" s="9"/>
      <c r="DO332" s="9"/>
      <c r="DP332" s="9"/>
      <c r="DQ332" s="9"/>
      <c r="DR332" s="9"/>
      <c r="DS332" s="9"/>
      <c r="DT332" s="9"/>
      <c r="DU332" s="9"/>
      <c r="DV332" s="9"/>
      <c r="DW332" s="9"/>
      <c r="DX332" s="9"/>
      <c r="DY332" s="9"/>
      <c r="DZ332" s="9"/>
      <c r="EA332" s="9"/>
      <c r="EB332" s="9"/>
      <c r="EC332" s="9"/>
      <c r="ED332" s="9"/>
      <c r="EE332" s="9"/>
      <c r="EF332" s="9"/>
      <c r="EG332" s="9"/>
      <c r="EH332" s="9"/>
      <c r="EI332" s="9"/>
      <c r="EJ332" s="9"/>
      <c r="EK332" s="9"/>
      <c r="EL332" s="9"/>
    </row>
    <row r="333" spans="1:142" x14ac:dyDescent="0.35">
      <c r="A333" s="9">
        <v>74359466</v>
      </c>
      <c r="B333" s="19">
        <v>1</v>
      </c>
      <c r="C333" s="9" t="str">
        <f>VLOOKUP(A333,'[1]terceros cto'!A$1:B$65536,2,0)</f>
        <v>GARZON SANCHEZ CARLOS MAURICIO</v>
      </c>
      <c r="D333" s="20" t="str">
        <f>VLOOKUP(C333,'[1]terceros cto'!B$1:F$65536,5,0)</f>
        <v>cmgs0219@hotmail.com</v>
      </c>
      <c r="E333" s="21" t="s">
        <v>2252</v>
      </c>
      <c r="F333" s="9" t="str">
        <f>VLOOKUP(C333,'[1]terceros cto'!B$1:D$65536,3,0)</f>
        <v>PAIPA</v>
      </c>
      <c r="G333" s="21">
        <v>15516</v>
      </c>
      <c r="H333" s="9">
        <v>212</v>
      </c>
      <c r="I333" s="28">
        <v>365018</v>
      </c>
      <c r="J333" s="29">
        <v>0</v>
      </c>
      <c r="K333" s="22">
        <v>0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  <c r="DC333" s="9"/>
      <c r="DD333" s="9"/>
      <c r="DE333" s="9"/>
      <c r="DF333" s="9"/>
      <c r="DG333" s="9"/>
      <c r="DH333" s="9"/>
      <c r="DI333" s="9"/>
      <c r="DJ333" s="9"/>
      <c r="DK333" s="9"/>
      <c r="DL333" s="9"/>
      <c r="DM333" s="9"/>
      <c r="DN333" s="9"/>
      <c r="DO333" s="9"/>
      <c r="DP333" s="9"/>
      <c r="DQ333" s="9"/>
      <c r="DR333" s="9"/>
      <c r="DS333" s="9"/>
      <c r="DT333" s="9"/>
      <c r="DU333" s="9"/>
      <c r="DV333" s="9"/>
      <c r="DW333" s="9"/>
      <c r="DX333" s="9"/>
      <c r="DY333" s="9"/>
      <c r="DZ333" s="9"/>
      <c r="EA333" s="9"/>
      <c r="EB333" s="9"/>
      <c r="EC333" s="9"/>
      <c r="ED333" s="9"/>
      <c r="EE333" s="9"/>
      <c r="EF333" s="9"/>
      <c r="EG333" s="9"/>
      <c r="EH333" s="9"/>
      <c r="EI333" s="9"/>
      <c r="EJ333" s="9"/>
      <c r="EK333" s="9"/>
      <c r="EL333" s="9"/>
    </row>
    <row r="334" spans="1:142" x14ac:dyDescent="0.35">
      <c r="A334" s="9">
        <v>74359597</v>
      </c>
      <c r="B334" s="19">
        <v>6</v>
      </c>
      <c r="C334" s="9" t="str">
        <f>VLOOKUP(A334,'[1]terceros cto'!A$1:B$65536,2,0)</f>
        <v>GARCIA  SEGUNDO</v>
      </c>
      <c r="D334" s="20" t="str">
        <f>VLOOKUP(C334,'[1]terceros cto'!B$1:F$65536,5,0)</f>
        <v>euclidesgl@hotmail.com</v>
      </c>
      <c r="E334" s="21" t="s">
        <v>2252</v>
      </c>
      <c r="F334" s="9" t="str">
        <f>VLOOKUP(C334,'[1]terceros cto'!B$1:D$65536,3,0)</f>
        <v>Paipa</v>
      </c>
      <c r="G334" s="21">
        <v>15516</v>
      </c>
      <c r="H334" s="9">
        <v>212</v>
      </c>
      <c r="I334" s="30">
        <v>20000</v>
      </c>
      <c r="J334" s="31">
        <v>0</v>
      </c>
      <c r="K334" s="22">
        <v>0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  <c r="CY334" s="9"/>
      <c r="CZ334" s="9"/>
      <c r="DA334" s="9"/>
      <c r="DB334" s="9"/>
      <c r="DC334" s="9"/>
      <c r="DD334" s="9"/>
      <c r="DE334" s="9"/>
      <c r="DF334" s="9"/>
      <c r="DG334" s="9"/>
      <c r="DH334" s="9"/>
      <c r="DI334" s="9"/>
      <c r="DJ334" s="9"/>
      <c r="DK334" s="9"/>
      <c r="DL334" s="9"/>
      <c r="DM334" s="9"/>
      <c r="DN334" s="9"/>
      <c r="DO334" s="9"/>
      <c r="DP334" s="9"/>
      <c r="DQ334" s="9"/>
      <c r="DR334" s="9"/>
      <c r="DS334" s="9"/>
      <c r="DT334" s="9"/>
      <c r="DU334" s="9"/>
      <c r="DV334" s="9"/>
      <c r="DW334" s="9"/>
      <c r="DX334" s="9"/>
      <c r="DY334" s="9"/>
      <c r="DZ334" s="9"/>
      <c r="EA334" s="9"/>
      <c r="EB334" s="9"/>
      <c r="EC334" s="9"/>
      <c r="ED334" s="9"/>
      <c r="EE334" s="9"/>
      <c r="EF334" s="9"/>
      <c r="EG334" s="9"/>
      <c r="EH334" s="9"/>
      <c r="EI334" s="9"/>
      <c r="EJ334" s="9"/>
      <c r="EK334" s="9"/>
      <c r="EL334" s="9"/>
    </row>
    <row r="335" spans="1:142" x14ac:dyDescent="0.35">
      <c r="A335" s="9">
        <v>74359614</v>
      </c>
      <c r="B335" s="19">
        <v>3</v>
      </c>
      <c r="C335" s="9" t="str">
        <f>VLOOKUP(A335,'[1]terceros cto'!A$1:B$65536,2,0)</f>
        <v>SANDOVAL SANDOVAL EDGAR MAURICIO</v>
      </c>
      <c r="D335" s="20" t="str">
        <f>VLOOKUP(C335,'[1]terceros cto'!B$1:F$65536,5,0)</f>
        <v>productosalimenticios.alisos@gmail.com</v>
      </c>
      <c r="E335" s="21" t="s">
        <v>2252</v>
      </c>
      <c r="F335" s="9" t="str">
        <f>VLOOKUP(C335,'[1]terceros cto'!B$1:D$65536,3,0)</f>
        <v>KM2 VIA PAIPA DUITAMA</v>
      </c>
      <c r="G335" s="21">
        <v>15516</v>
      </c>
      <c r="H335" s="9">
        <v>212</v>
      </c>
      <c r="I335" s="28">
        <v>4214000</v>
      </c>
      <c r="J335" s="29">
        <v>0</v>
      </c>
      <c r="K335" s="22">
        <v>0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/>
      <c r="CZ335" s="9"/>
      <c r="DA335" s="9"/>
      <c r="DB335" s="9"/>
      <c r="DC335" s="9"/>
      <c r="DD335" s="9"/>
      <c r="DE335" s="9"/>
      <c r="DF335" s="9"/>
      <c r="DG335" s="9"/>
      <c r="DH335" s="9"/>
      <c r="DI335" s="9"/>
      <c r="DJ335" s="9"/>
      <c r="DK335" s="9"/>
      <c r="DL335" s="9"/>
      <c r="DM335" s="9"/>
      <c r="DN335" s="9"/>
      <c r="DO335" s="9"/>
      <c r="DP335" s="9"/>
      <c r="DQ335" s="9"/>
      <c r="DR335" s="9"/>
      <c r="DS335" s="9"/>
      <c r="DT335" s="9"/>
      <c r="DU335" s="9"/>
      <c r="DV335" s="9"/>
      <c r="DW335" s="9"/>
      <c r="DX335" s="9"/>
      <c r="DY335" s="9"/>
      <c r="DZ335" s="9"/>
      <c r="EA335" s="9"/>
      <c r="EB335" s="9"/>
      <c r="EC335" s="9"/>
      <c r="ED335" s="9"/>
      <c r="EE335" s="9"/>
      <c r="EF335" s="9"/>
      <c r="EG335" s="9"/>
      <c r="EH335" s="9"/>
      <c r="EI335" s="9"/>
      <c r="EJ335" s="9"/>
      <c r="EK335" s="9"/>
      <c r="EL335" s="9"/>
    </row>
    <row r="336" spans="1:142" x14ac:dyDescent="0.35">
      <c r="A336" s="9">
        <v>74359719</v>
      </c>
      <c r="B336" s="19">
        <v>8</v>
      </c>
      <c r="C336" s="9" t="str">
        <f>VLOOKUP(A336,'[1]terceros cto'!A$1:B$65536,2,0)</f>
        <v>NIÑO  RAFAEL BAYONA</v>
      </c>
      <c r="D336" s="20" t="str">
        <f>VLOOKUP(C336,'[1]terceros cto'!B$1:F$65536,5,0)</f>
        <v>rafaelbayonanino@gmail.com</v>
      </c>
      <c r="E336" s="21" t="s">
        <v>2252</v>
      </c>
      <c r="F336" s="9" t="str">
        <f>VLOOKUP(C336,'[1]terceros cto'!B$1:D$65536,3,0)</f>
        <v>Paipa</v>
      </c>
      <c r="G336" s="21">
        <v>15516</v>
      </c>
      <c r="H336" s="9">
        <v>212</v>
      </c>
      <c r="I336" s="30">
        <v>31740</v>
      </c>
      <c r="J336" s="31">
        <v>0</v>
      </c>
      <c r="K336" s="22">
        <v>0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  <c r="CZ336" s="9"/>
      <c r="DA336" s="9"/>
      <c r="DB336" s="9"/>
      <c r="DC336" s="9"/>
      <c r="DD336" s="9"/>
      <c r="DE336" s="9"/>
      <c r="DF336" s="9"/>
      <c r="DG336" s="9"/>
      <c r="DH336" s="9"/>
      <c r="DI336" s="9"/>
      <c r="DJ336" s="9"/>
      <c r="DK336" s="9"/>
      <c r="DL336" s="9"/>
      <c r="DM336" s="9"/>
      <c r="DN336" s="9"/>
      <c r="DO336" s="9"/>
      <c r="DP336" s="9"/>
      <c r="DQ336" s="9"/>
      <c r="DR336" s="9"/>
      <c r="DS336" s="9"/>
      <c r="DT336" s="9"/>
      <c r="DU336" s="9"/>
      <c r="DV336" s="9"/>
      <c r="DW336" s="9"/>
      <c r="DX336" s="9"/>
      <c r="DY336" s="9"/>
      <c r="DZ336" s="9"/>
      <c r="EA336" s="9"/>
      <c r="EB336" s="9"/>
      <c r="EC336" s="9"/>
      <c r="ED336" s="9"/>
      <c r="EE336" s="9"/>
      <c r="EF336" s="9"/>
      <c r="EG336" s="9"/>
      <c r="EH336" s="9"/>
      <c r="EI336" s="9"/>
      <c r="EJ336" s="9"/>
      <c r="EK336" s="9"/>
      <c r="EL336" s="9"/>
    </row>
    <row r="337" spans="1:142" x14ac:dyDescent="0.35">
      <c r="A337" s="9">
        <v>74359958</v>
      </c>
      <c r="B337" s="19">
        <v>1</v>
      </c>
      <c r="C337" s="9" t="str">
        <f>VLOOKUP(A337,'[1]terceros cto'!A$1:B$65536,2,0)</f>
        <v>GONZALEZ MONTOYA GERMAN  ANDRES</v>
      </c>
      <c r="D337" s="20" t="str">
        <f>VLOOKUP(C337,'[1]terceros cto'!B$1:F$65536,5,0)</f>
        <v>germanandres78@yahoo.es</v>
      </c>
      <c r="E337" s="21" t="s">
        <v>2252</v>
      </c>
      <c r="F337" s="9" t="str">
        <f>VLOOKUP(C337,'[1]terceros cto'!B$1:D$65536,3,0)</f>
        <v>paipa</v>
      </c>
      <c r="G337" s="21">
        <v>15516</v>
      </c>
      <c r="H337" s="9">
        <v>212</v>
      </c>
      <c r="I337" s="28">
        <v>440000</v>
      </c>
      <c r="J337" s="29">
        <v>0</v>
      </c>
      <c r="K337" s="22">
        <v>0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  <c r="DC337" s="9"/>
      <c r="DD337" s="9"/>
      <c r="DE337" s="9"/>
      <c r="DF337" s="9"/>
      <c r="DG337" s="9"/>
      <c r="DH337" s="9"/>
      <c r="DI337" s="9"/>
      <c r="DJ337" s="9"/>
      <c r="DK337" s="9"/>
      <c r="DL337" s="9"/>
      <c r="DM337" s="9"/>
      <c r="DN337" s="9"/>
      <c r="DO337" s="9"/>
      <c r="DP337" s="9"/>
      <c r="DQ337" s="9"/>
      <c r="DR337" s="9"/>
      <c r="DS337" s="9"/>
      <c r="DT337" s="9"/>
      <c r="DU337" s="9"/>
      <c r="DV337" s="9"/>
      <c r="DW337" s="9"/>
      <c r="DX337" s="9"/>
      <c r="DY337" s="9"/>
      <c r="DZ337" s="9"/>
      <c r="EA337" s="9"/>
      <c r="EB337" s="9"/>
      <c r="EC337" s="9"/>
      <c r="ED337" s="9"/>
      <c r="EE337" s="9"/>
      <c r="EF337" s="9"/>
      <c r="EG337" s="9"/>
      <c r="EH337" s="9"/>
      <c r="EI337" s="9"/>
      <c r="EJ337" s="9"/>
      <c r="EK337" s="9"/>
      <c r="EL337" s="9"/>
    </row>
    <row r="338" spans="1:142" x14ac:dyDescent="0.35">
      <c r="A338" s="9">
        <v>74360117</v>
      </c>
      <c r="B338" s="19">
        <v>6</v>
      </c>
      <c r="C338" s="9" t="str">
        <f>VLOOKUP(A338,'[1]terceros cto'!A$1:B$65536,2,0)</f>
        <v>SANDOVAL SANDOVAL JUAN CARLOS</v>
      </c>
      <c r="D338" s="20" t="str">
        <f>VLOOKUP(C338,'[1]terceros cto'!B$1:F$65536,5,0)</f>
        <v>almavet.gerencia@gmail.com</v>
      </c>
      <c r="E338" s="21" t="s">
        <v>2252</v>
      </c>
      <c r="F338" s="9" t="str">
        <f>VLOOKUP(C338,'[1]terceros cto'!B$1:D$65536,3,0)</f>
        <v>AV LIBERTADORES 19 B 3 11</v>
      </c>
      <c r="G338" s="21">
        <v>15516</v>
      </c>
      <c r="H338" s="9">
        <v>212</v>
      </c>
      <c r="I338" s="30">
        <v>1052588</v>
      </c>
      <c r="J338" s="31">
        <v>0</v>
      </c>
      <c r="K338" s="22">
        <v>0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  <c r="CZ338" s="9"/>
      <c r="DA338" s="9"/>
      <c r="DB338" s="9"/>
      <c r="DC338" s="9"/>
      <c r="DD338" s="9"/>
      <c r="DE338" s="9"/>
      <c r="DF338" s="9"/>
      <c r="DG338" s="9"/>
      <c r="DH338" s="9"/>
      <c r="DI338" s="9"/>
      <c r="DJ338" s="9"/>
      <c r="DK338" s="9"/>
      <c r="DL338" s="9"/>
      <c r="DM338" s="9"/>
      <c r="DN338" s="9"/>
      <c r="DO338" s="9"/>
      <c r="DP338" s="9"/>
      <c r="DQ338" s="9"/>
      <c r="DR338" s="9"/>
      <c r="DS338" s="9"/>
      <c r="DT338" s="9"/>
      <c r="DU338" s="9"/>
      <c r="DV338" s="9"/>
      <c r="DW338" s="9"/>
      <c r="DX338" s="9"/>
      <c r="DY338" s="9"/>
      <c r="DZ338" s="9"/>
      <c r="EA338" s="9"/>
      <c r="EB338" s="9"/>
      <c r="EC338" s="9"/>
      <c r="ED338" s="9"/>
      <c r="EE338" s="9"/>
      <c r="EF338" s="9"/>
      <c r="EG338" s="9"/>
      <c r="EH338" s="9"/>
      <c r="EI338" s="9"/>
      <c r="EJ338" s="9"/>
      <c r="EK338" s="9"/>
      <c r="EL338" s="9"/>
    </row>
    <row r="339" spans="1:142" x14ac:dyDescent="0.35">
      <c r="A339" s="9">
        <v>74360181</v>
      </c>
      <c r="B339" s="19">
        <v>8</v>
      </c>
      <c r="C339" s="9" t="str">
        <f>VLOOKUP(A339,'[1]terceros cto'!A$1:B$65536,2,0)</f>
        <v>SOLANO PACHECO HOLLMAN EDUARDO</v>
      </c>
      <c r="D339" s="20" t="str">
        <f>VLOOKUP(C339,'[1]terceros cto'!B$1:F$65536,5,0)</f>
        <v>hollman.solano@prosolpa.com</v>
      </c>
      <c r="E339" s="21" t="s">
        <v>2252</v>
      </c>
      <c r="F339" s="9" t="str">
        <f>VLOOKUP(C339,'[1]terceros cto'!B$1:D$65536,3,0)</f>
        <v>Calle 25 21 18</v>
      </c>
      <c r="G339" s="21">
        <v>15516</v>
      </c>
      <c r="H339" s="9">
        <v>212</v>
      </c>
      <c r="I339" s="28">
        <v>238368</v>
      </c>
      <c r="J339" s="29">
        <v>0</v>
      </c>
      <c r="K339" s="22">
        <v>0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  <c r="DC339" s="9"/>
      <c r="DD339" s="9"/>
      <c r="DE339" s="9"/>
      <c r="DF339" s="9"/>
      <c r="DG339" s="9"/>
      <c r="DH339" s="9"/>
      <c r="DI339" s="9"/>
      <c r="DJ339" s="9"/>
      <c r="DK339" s="9"/>
      <c r="DL339" s="9"/>
      <c r="DM339" s="9"/>
      <c r="DN339" s="9"/>
      <c r="DO339" s="9"/>
      <c r="DP339" s="9"/>
      <c r="DQ339" s="9"/>
      <c r="DR339" s="9"/>
      <c r="DS339" s="9"/>
      <c r="DT339" s="9"/>
      <c r="DU339" s="9"/>
      <c r="DV339" s="9"/>
      <c r="DW339" s="9"/>
      <c r="DX339" s="9"/>
      <c r="DY339" s="9"/>
      <c r="DZ339" s="9"/>
      <c r="EA339" s="9"/>
      <c r="EB339" s="9"/>
      <c r="EC339" s="9"/>
      <c r="ED339" s="9"/>
      <c r="EE339" s="9"/>
      <c r="EF339" s="9"/>
      <c r="EG339" s="9"/>
      <c r="EH339" s="9"/>
      <c r="EI339" s="9"/>
      <c r="EJ339" s="9"/>
      <c r="EK339" s="9"/>
      <c r="EL339" s="9"/>
    </row>
    <row r="340" spans="1:142" x14ac:dyDescent="0.35">
      <c r="A340" s="9">
        <v>74360250</v>
      </c>
      <c r="B340" s="19">
        <v>8</v>
      </c>
      <c r="C340" s="9" t="str">
        <f>VLOOKUP(A340,'[1]terceros cto'!A$1:B$65536,2,0)</f>
        <v>ROSAS PUERTO ALVARO ALEXANDER</v>
      </c>
      <c r="D340" s="20" t="str">
        <f>VLOOKUP(C340,'[1]terceros cto'!B$1:F$65536,5,0)</f>
        <v>alexanderrosas2186@gmail.com</v>
      </c>
      <c r="E340" s="21" t="s">
        <v>2252</v>
      </c>
      <c r="F340" s="9" t="str">
        <f>VLOOKUP(C340,'[1]terceros cto'!B$1:D$65536,3,0)</f>
        <v>Paipa</v>
      </c>
      <c r="G340" s="21">
        <v>15516</v>
      </c>
      <c r="H340" s="9">
        <v>212</v>
      </c>
      <c r="I340" s="30">
        <v>70631</v>
      </c>
      <c r="J340" s="31">
        <v>0</v>
      </c>
      <c r="K340" s="22">
        <v>0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  <c r="DC340" s="9"/>
      <c r="DD340" s="9"/>
      <c r="DE340" s="9"/>
      <c r="DF340" s="9"/>
      <c r="DG340" s="9"/>
      <c r="DH340" s="9"/>
      <c r="DI340" s="9"/>
      <c r="DJ340" s="9"/>
      <c r="DK340" s="9"/>
      <c r="DL340" s="9"/>
      <c r="DM340" s="9"/>
      <c r="DN340" s="9"/>
      <c r="DO340" s="9"/>
      <c r="DP340" s="9"/>
      <c r="DQ340" s="9"/>
      <c r="DR340" s="9"/>
      <c r="DS340" s="9"/>
      <c r="DT340" s="9"/>
      <c r="DU340" s="9"/>
      <c r="DV340" s="9"/>
      <c r="DW340" s="9"/>
      <c r="DX340" s="9"/>
      <c r="DY340" s="9"/>
      <c r="DZ340" s="9"/>
      <c r="EA340" s="9"/>
      <c r="EB340" s="9"/>
      <c r="EC340" s="9"/>
      <c r="ED340" s="9"/>
      <c r="EE340" s="9"/>
      <c r="EF340" s="9"/>
      <c r="EG340" s="9"/>
      <c r="EH340" s="9"/>
      <c r="EI340" s="9"/>
      <c r="EJ340" s="9"/>
      <c r="EK340" s="9"/>
      <c r="EL340" s="9"/>
    </row>
    <row r="341" spans="1:142" x14ac:dyDescent="0.35">
      <c r="A341" s="9">
        <v>74360282</v>
      </c>
      <c r="B341" s="19">
        <v>3</v>
      </c>
      <c r="C341" s="9" t="str">
        <f>VLOOKUP(A341,'[1]terceros cto'!A$1:B$65536,2,0)</f>
        <v>GARCIA LOPEZ WILFREDY</v>
      </c>
      <c r="D341" s="20" t="str">
        <f>VLOOKUP(C341,'[1]terceros cto'!B$1:F$65536,5,0)</f>
        <v>facturacionwlfrey24@gmail.com</v>
      </c>
      <c r="E341" s="21" t="s">
        <v>2252</v>
      </c>
      <c r="F341" s="9" t="str">
        <f>VLOOKUP(C341,'[1]terceros cto'!B$1:D$65536,3,0)</f>
        <v>Siderúrgica vía tunja paipa</v>
      </c>
      <c r="G341" s="21">
        <v>15516</v>
      </c>
      <c r="H341" s="9">
        <v>212</v>
      </c>
      <c r="I341" s="28">
        <v>14004</v>
      </c>
      <c r="J341" s="29">
        <v>0</v>
      </c>
      <c r="K341" s="22">
        <v>0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  <c r="DC341" s="9"/>
      <c r="DD341" s="9"/>
      <c r="DE341" s="9"/>
      <c r="DF341" s="9"/>
      <c r="DG341" s="9"/>
      <c r="DH341" s="9"/>
      <c r="DI341" s="9"/>
      <c r="DJ341" s="9"/>
      <c r="DK341" s="9"/>
      <c r="DL341" s="9"/>
      <c r="DM341" s="9"/>
      <c r="DN341" s="9"/>
      <c r="DO341" s="9"/>
      <c r="DP341" s="9"/>
      <c r="DQ341" s="9"/>
      <c r="DR341" s="9"/>
      <c r="DS341" s="9"/>
      <c r="DT341" s="9"/>
      <c r="DU341" s="9"/>
      <c r="DV341" s="9"/>
      <c r="DW341" s="9"/>
      <c r="DX341" s="9"/>
      <c r="DY341" s="9"/>
      <c r="DZ341" s="9"/>
      <c r="EA341" s="9"/>
      <c r="EB341" s="9"/>
      <c r="EC341" s="9"/>
      <c r="ED341" s="9"/>
      <c r="EE341" s="9"/>
      <c r="EF341" s="9"/>
      <c r="EG341" s="9"/>
      <c r="EH341" s="9"/>
      <c r="EI341" s="9"/>
      <c r="EJ341" s="9"/>
      <c r="EK341" s="9"/>
      <c r="EL341" s="9"/>
    </row>
    <row r="342" spans="1:142" x14ac:dyDescent="0.35">
      <c r="A342" s="9">
        <v>74360586</v>
      </c>
      <c r="B342" s="19">
        <v>7</v>
      </c>
      <c r="C342" s="9" t="str">
        <f>VLOOKUP(A342,'[1]terceros cto'!A$1:B$65536,2,0)</f>
        <v>MATEUS PULIDO NESTOR EMILIO</v>
      </c>
      <c r="D342" s="20" t="str">
        <f>VLOOKUP(C342,'[1]terceros cto'!B$1:F$65536,5,0)</f>
        <v>nestormateus1979@hotmail.com</v>
      </c>
      <c r="E342" s="21" t="s">
        <v>2252</v>
      </c>
      <c r="F342" s="9" t="str">
        <f>VLOOKUP(C342,'[1]terceros cto'!B$1:D$65536,3,0)</f>
        <v>Paipa</v>
      </c>
      <c r="G342" s="21">
        <v>15516</v>
      </c>
      <c r="H342" s="9">
        <v>212</v>
      </c>
      <c r="I342" s="30">
        <v>305958</v>
      </c>
      <c r="J342" s="31">
        <v>0</v>
      </c>
      <c r="K342" s="22">
        <v>0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  <c r="DC342" s="9"/>
      <c r="DD342" s="9"/>
      <c r="DE342" s="9"/>
      <c r="DF342" s="9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x14ac:dyDescent="0.35">
      <c r="A343" s="9">
        <v>74360802</v>
      </c>
      <c r="B343" s="19">
        <v>3</v>
      </c>
      <c r="C343" s="9" t="str">
        <f>VLOOKUP(A343,'[1]terceros cto'!A$1:B$65536,2,0)</f>
        <v>GARAVITO  WILLIAM COY</v>
      </c>
      <c r="D343" s="20" t="str">
        <f>VLOOKUP(C343,'[1]terceros cto'!B$1:F$65536,5,0)</f>
        <v>wicoga1980@gmail.com</v>
      </c>
      <c r="E343" s="21" t="s">
        <v>2252</v>
      </c>
      <c r="F343" s="9" t="str">
        <f>VLOOKUP(C343,'[1]terceros cto'!B$1:D$65536,3,0)</f>
        <v>Paipa</v>
      </c>
      <c r="G343" s="21">
        <v>15516</v>
      </c>
      <c r="H343" s="9">
        <v>212</v>
      </c>
      <c r="I343" s="28">
        <v>50000</v>
      </c>
      <c r="J343" s="29">
        <v>0</v>
      </c>
      <c r="K343" s="22">
        <v>0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  <c r="DC343" s="9"/>
      <c r="DD343" s="9"/>
      <c r="DE343" s="9"/>
      <c r="DF343" s="9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x14ac:dyDescent="0.35">
      <c r="A344" s="9">
        <v>74360950</v>
      </c>
      <c r="B344" s="19">
        <v>5</v>
      </c>
      <c r="C344" s="9" t="str">
        <f>VLOOKUP(A344,'[1]terceros cto'!A$1:B$65536,2,0)</f>
        <v>AVENDANO PARRA WILSON ORLANDO</v>
      </c>
      <c r="D344" s="20" t="str">
        <f>VLOOKUP(C344,'[1]terceros cto'!B$1:F$65536,5,0)</f>
        <v>wap7636@hotmail.com</v>
      </c>
      <c r="E344" s="21" t="s">
        <v>2252</v>
      </c>
      <c r="F344" s="9" t="str">
        <f>VLOOKUP(C344,'[1]terceros cto'!B$1:D$65536,3,0)</f>
        <v>Paipa</v>
      </c>
      <c r="G344" s="21">
        <v>15516</v>
      </c>
      <c r="H344" s="9">
        <v>212</v>
      </c>
      <c r="I344" s="30">
        <v>100000</v>
      </c>
      <c r="J344" s="31">
        <v>0</v>
      </c>
      <c r="K344" s="22">
        <v>0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  <c r="DC344" s="9"/>
      <c r="DD344" s="9"/>
      <c r="DE344" s="9"/>
      <c r="DF344" s="9"/>
      <c r="DG344" s="9"/>
      <c r="DH344" s="9"/>
      <c r="DI344" s="9"/>
      <c r="DJ344" s="9"/>
      <c r="DK344" s="9"/>
      <c r="DL344" s="9"/>
      <c r="DM344" s="9"/>
      <c r="DN344" s="9"/>
      <c r="DO344" s="9"/>
      <c r="DP344" s="9"/>
      <c r="DQ344" s="9"/>
      <c r="DR344" s="9"/>
      <c r="DS344" s="9"/>
      <c r="DT344" s="9"/>
      <c r="DU344" s="9"/>
      <c r="DV344" s="9"/>
      <c r="DW344" s="9"/>
      <c r="DX344" s="9"/>
      <c r="DY344" s="9"/>
      <c r="DZ344" s="9"/>
      <c r="EA344" s="9"/>
      <c r="EB344" s="9"/>
      <c r="EC344" s="9"/>
      <c r="ED344" s="9"/>
      <c r="EE344" s="9"/>
      <c r="EF344" s="9"/>
      <c r="EG344" s="9"/>
      <c r="EH344" s="9"/>
      <c r="EI344" s="9"/>
      <c r="EJ344" s="9"/>
      <c r="EK344" s="9"/>
      <c r="EL344" s="9"/>
    </row>
    <row r="345" spans="1:142" x14ac:dyDescent="0.35">
      <c r="A345" s="9">
        <v>74362620</v>
      </c>
      <c r="B345" s="19">
        <v>9</v>
      </c>
      <c r="C345" s="9" t="str">
        <f>VLOOKUP(A345,'[1]terceros cto'!A$1:B$65536,2,0)</f>
        <v>LOPEZ NUCHE ORLANDO ORLANDO</v>
      </c>
      <c r="D345" s="20" t="str">
        <f>VLOOKUP(C345,'[1]terceros cto'!B$1:F$65536,5,0)</f>
        <v>calesorlandolopez@hotmail.com</v>
      </c>
      <c r="E345" s="21" t="s">
        <v>2252</v>
      </c>
      <c r="F345" s="9" t="str">
        <f>VLOOKUP(C345,'[1]terceros cto'!B$1:D$65536,3,0)</f>
        <v>Paipa</v>
      </c>
      <c r="G345" s="21">
        <v>15516</v>
      </c>
      <c r="H345" s="9">
        <v>212</v>
      </c>
      <c r="I345" s="28">
        <v>128103</v>
      </c>
      <c r="J345" s="29">
        <v>0</v>
      </c>
      <c r="K345" s="22">
        <v>0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  <c r="DC345" s="9"/>
      <c r="DD345" s="9"/>
      <c r="DE345" s="9"/>
      <c r="DF345" s="9"/>
      <c r="DG345" s="9"/>
      <c r="DH345" s="9"/>
      <c r="DI345" s="9"/>
      <c r="DJ345" s="9"/>
      <c r="DK345" s="9"/>
      <c r="DL345" s="9"/>
      <c r="DM345" s="9"/>
      <c r="DN345" s="9"/>
      <c r="DO345" s="9"/>
      <c r="DP345" s="9"/>
      <c r="DQ345" s="9"/>
      <c r="DR345" s="9"/>
      <c r="DS345" s="9"/>
      <c r="DT345" s="9"/>
      <c r="DU345" s="9"/>
      <c r="DV345" s="9"/>
      <c r="DW345" s="9"/>
      <c r="DX345" s="9"/>
      <c r="DY345" s="9"/>
      <c r="DZ345" s="9"/>
      <c r="EA345" s="9"/>
      <c r="EB345" s="9"/>
      <c r="EC345" s="9"/>
      <c r="ED345" s="9"/>
      <c r="EE345" s="9"/>
      <c r="EF345" s="9"/>
      <c r="EG345" s="9"/>
      <c r="EH345" s="9"/>
      <c r="EI345" s="9"/>
      <c r="EJ345" s="9"/>
      <c r="EK345" s="9"/>
      <c r="EL345" s="9"/>
    </row>
    <row r="346" spans="1:142" x14ac:dyDescent="0.35">
      <c r="A346" s="9">
        <v>74372267</v>
      </c>
      <c r="B346" s="19">
        <v>4</v>
      </c>
      <c r="C346" s="9" t="str">
        <f>VLOOKUP(A346,'[1]terceros cto'!A$1:B$65536,2,0)</f>
        <v>REYES VELANDIA VICTOR RAUL</v>
      </c>
      <c r="D346" s="20" t="str">
        <f>VLOOKUP(C346,'[1]terceros cto'!B$1:F$65536,5,0)</f>
        <v>contabilidadservitecsa@gmail.com</v>
      </c>
      <c r="E346" s="21" t="s">
        <v>2252</v>
      </c>
      <c r="F346" s="9" t="str">
        <f>VLOOKUP(C346,'[1]terceros cto'!B$1:D$65536,3,0)</f>
        <v>CRA 16NO 22 -28</v>
      </c>
      <c r="G346" s="21">
        <v>15516</v>
      </c>
      <c r="H346" s="9">
        <v>212</v>
      </c>
      <c r="I346" s="30">
        <v>70004</v>
      </c>
      <c r="J346" s="31">
        <v>0</v>
      </c>
      <c r="K346" s="22">
        <v>0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  <c r="CZ346" s="9"/>
      <c r="DA346" s="9"/>
      <c r="DB346" s="9"/>
      <c r="DC346" s="9"/>
      <c r="DD346" s="9"/>
      <c r="DE346" s="9"/>
      <c r="DF346" s="9"/>
      <c r="DG346" s="9"/>
      <c r="DH346" s="9"/>
      <c r="DI346" s="9"/>
      <c r="DJ346" s="9"/>
      <c r="DK346" s="9"/>
      <c r="DL346" s="9"/>
      <c r="DM346" s="9"/>
      <c r="DN346" s="9"/>
      <c r="DO346" s="9"/>
      <c r="DP346" s="9"/>
      <c r="DQ346" s="9"/>
      <c r="DR346" s="9"/>
      <c r="DS346" s="9"/>
      <c r="DT346" s="9"/>
      <c r="DU346" s="9"/>
      <c r="DV346" s="9"/>
      <c r="DW346" s="9"/>
      <c r="DX346" s="9"/>
      <c r="DY346" s="9"/>
      <c r="DZ346" s="9"/>
      <c r="EA346" s="9"/>
      <c r="EB346" s="9"/>
      <c r="EC346" s="9"/>
      <c r="ED346" s="9"/>
      <c r="EE346" s="9"/>
      <c r="EF346" s="9"/>
      <c r="EG346" s="9"/>
      <c r="EH346" s="9"/>
      <c r="EI346" s="9"/>
      <c r="EJ346" s="9"/>
      <c r="EK346" s="9"/>
      <c r="EL346" s="9"/>
    </row>
    <row r="347" spans="1:142" x14ac:dyDescent="0.35">
      <c r="A347" s="9">
        <v>74372907</v>
      </c>
      <c r="B347" s="19">
        <v>1</v>
      </c>
      <c r="C347" s="9" t="str">
        <f>VLOOKUP(A347,'[1]terceros cto'!A$1:B$65536,2,0)</f>
        <v>ESTUPIÑAN ALARCON CARLOS YOOVANY</v>
      </c>
      <c r="D347" s="20" t="str">
        <f>VLOOKUP(C347,'[1]terceros cto'!B$1:F$65536,5,0)</f>
        <v>yovi7ea@gmail.com</v>
      </c>
      <c r="E347" s="21" t="s">
        <v>2252</v>
      </c>
      <c r="F347" s="9" t="str">
        <f>VLOOKUP(C347,'[1]terceros cto'!B$1:D$65536,3,0)</f>
        <v>Paipa</v>
      </c>
      <c r="G347" s="21">
        <v>15516</v>
      </c>
      <c r="H347" s="9">
        <v>212</v>
      </c>
      <c r="I347" s="28">
        <v>70000</v>
      </c>
      <c r="J347" s="29">
        <v>0</v>
      </c>
      <c r="K347" s="22">
        <v>0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  <c r="CZ347" s="9"/>
      <c r="DA347" s="9"/>
      <c r="DB347" s="9"/>
      <c r="DC347" s="9"/>
      <c r="DD347" s="9"/>
      <c r="DE347" s="9"/>
      <c r="DF347" s="9"/>
      <c r="DG347" s="9"/>
      <c r="DH347" s="9"/>
      <c r="DI347" s="9"/>
      <c r="DJ347" s="9"/>
      <c r="DK347" s="9"/>
      <c r="DL347" s="9"/>
      <c r="DM347" s="9"/>
      <c r="DN347" s="9"/>
      <c r="DO347" s="9"/>
      <c r="DP347" s="9"/>
      <c r="DQ347" s="9"/>
      <c r="DR347" s="9"/>
      <c r="DS347" s="9"/>
      <c r="DT347" s="9"/>
      <c r="DU347" s="9"/>
      <c r="DV347" s="9"/>
      <c r="DW347" s="9"/>
      <c r="DX347" s="9"/>
      <c r="DY347" s="9"/>
      <c r="DZ347" s="9"/>
      <c r="EA347" s="9"/>
      <c r="EB347" s="9"/>
      <c r="EC347" s="9"/>
      <c r="ED347" s="9"/>
      <c r="EE347" s="9"/>
      <c r="EF347" s="9"/>
      <c r="EG347" s="9"/>
      <c r="EH347" s="9"/>
      <c r="EI347" s="9"/>
      <c r="EJ347" s="9"/>
      <c r="EK347" s="9"/>
      <c r="EL347" s="9"/>
    </row>
    <row r="348" spans="1:142" x14ac:dyDescent="0.35">
      <c r="A348" s="9">
        <v>74373015</v>
      </c>
      <c r="B348" s="19">
        <v>1</v>
      </c>
      <c r="C348" s="9" t="str">
        <f>VLOOKUP(A348,'[1]terceros cto'!A$1:B$65536,2,0)</f>
        <v>PRADO  JULIÁN</v>
      </c>
      <c r="D348" s="20" t="str">
        <f>VLOOKUP(C348,'[1]terceros cto'!B$1:F$65536,5,0)</f>
        <v>julipra@hotmail.com</v>
      </c>
      <c r="E348" s="21" t="s">
        <v>2252</v>
      </c>
      <c r="F348" s="9" t="str">
        <f>VLOOKUP(C348,'[1]terceros cto'!B$1:D$65536,3,0)</f>
        <v>Paipa</v>
      </c>
      <c r="G348" s="21">
        <v>15516</v>
      </c>
      <c r="H348" s="9">
        <v>212</v>
      </c>
      <c r="I348" s="30">
        <v>210103</v>
      </c>
      <c r="J348" s="31">
        <v>0</v>
      </c>
      <c r="K348" s="22">
        <v>0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  <c r="CZ348" s="9"/>
      <c r="DA348" s="9"/>
      <c r="DB348" s="9"/>
      <c r="DC348" s="9"/>
      <c r="DD348" s="9"/>
      <c r="DE348" s="9"/>
      <c r="DF348" s="9"/>
      <c r="DG348" s="9"/>
      <c r="DH348" s="9"/>
      <c r="DI348" s="9"/>
      <c r="DJ348" s="9"/>
      <c r="DK348" s="9"/>
      <c r="DL348" s="9"/>
      <c r="DM348" s="9"/>
      <c r="DN348" s="9"/>
      <c r="DO348" s="9"/>
      <c r="DP348" s="9"/>
      <c r="DQ348" s="9"/>
      <c r="DR348" s="9"/>
      <c r="DS348" s="9"/>
      <c r="DT348" s="9"/>
      <c r="DU348" s="9"/>
      <c r="DV348" s="9"/>
      <c r="DW348" s="9"/>
      <c r="DX348" s="9"/>
      <c r="DY348" s="9"/>
      <c r="DZ348" s="9"/>
      <c r="EA348" s="9"/>
      <c r="EB348" s="9"/>
      <c r="EC348" s="9"/>
      <c r="ED348" s="9"/>
      <c r="EE348" s="9"/>
      <c r="EF348" s="9"/>
      <c r="EG348" s="9"/>
      <c r="EH348" s="9"/>
      <c r="EI348" s="9"/>
      <c r="EJ348" s="9"/>
      <c r="EK348" s="9"/>
      <c r="EL348" s="9"/>
    </row>
    <row r="349" spans="1:142" x14ac:dyDescent="0.35">
      <c r="A349" s="9">
        <v>74374302</v>
      </c>
      <c r="B349" s="19">
        <v>3</v>
      </c>
      <c r="C349" s="9" t="str">
        <f>VLOOKUP(A349,'[1]terceros cto'!A$1:B$65536,2,0)</f>
        <v>CARDENAS LEON AGUSTO</v>
      </c>
      <c r="D349" s="20" t="str">
        <f>VLOOKUP(C349,'[1]terceros cto'!B$1:F$65536,5,0)</f>
        <v>augusgetmoving@gmail.com</v>
      </c>
      <c r="E349" s="21" t="s">
        <v>2252</v>
      </c>
      <c r="F349" s="9" t="str">
        <f>VLOOKUP(C349,'[1]terceros cto'!B$1:D$65536,3,0)</f>
        <v>calle 29a No 16 -29</v>
      </c>
      <c r="G349" s="21">
        <v>15516</v>
      </c>
      <c r="H349" s="9">
        <v>212</v>
      </c>
      <c r="I349" s="28">
        <v>30004</v>
      </c>
      <c r="J349" s="29">
        <v>0</v>
      </c>
      <c r="K349" s="22">
        <v>0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  <c r="CZ349" s="9"/>
      <c r="DA349" s="9"/>
      <c r="DB349" s="9"/>
      <c r="DC349" s="9"/>
      <c r="DD349" s="9"/>
      <c r="DE349" s="9"/>
      <c r="DF349" s="9"/>
      <c r="DG349" s="9"/>
      <c r="DH349" s="9"/>
      <c r="DI349" s="9"/>
      <c r="DJ349" s="9"/>
      <c r="DK349" s="9"/>
      <c r="DL349" s="9"/>
      <c r="DM349" s="9"/>
      <c r="DN349" s="9"/>
      <c r="DO349" s="9"/>
      <c r="DP349" s="9"/>
      <c r="DQ349" s="9"/>
      <c r="DR349" s="9"/>
      <c r="DS349" s="9"/>
      <c r="DT349" s="9"/>
      <c r="DU349" s="9"/>
      <c r="DV349" s="9"/>
      <c r="DW349" s="9"/>
      <c r="DX349" s="9"/>
      <c r="DY349" s="9"/>
      <c r="DZ349" s="9"/>
      <c r="EA349" s="9"/>
      <c r="EB349" s="9"/>
      <c r="EC349" s="9"/>
      <c r="ED349" s="9"/>
      <c r="EE349" s="9"/>
      <c r="EF349" s="9"/>
      <c r="EG349" s="9"/>
      <c r="EH349" s="9"/>
      <c r="EI349" s="9"/>
      <c r="EJ349" s="9"/>
      <c r="EK349" s="9"/>
      <c r="EL349" s="9"/>
    </row>
    <row r="350" spans="1:142" x14ac:dyDescent="0.35">
      <c r="A350" s="9">
        <v>74375740</v>
      </c>
      <c r="B350" s="19">
        <v>0</v>
      </c>
      <c r="C350" s="9" t="str">
        <f>VLOOKUP(A350,'[1]terceros cto'!A$1:B$65536,2,0)</f>
        <v>PITA MACHUCA GUILLERMO ANTONIO</v>
      </c>
      <c r="D350" s="20" t="str">
        <f>VLOOKUP(C350,'[1]terceros cto'!B$1:F$65536,5,0)</f>
        <v>guillo.555@hotmail.com</v>
      </c>
      <c r="E350" s="21" t="s">
        <v>2252</v>
      </c>
      <c r="F350" s="9" t="str">
        <f>VLOOKUP(C350,'[1]terceros cto'!B$1:D$65536,3,0)</f>
        <v>CLL 18 A 26 44</v>
      </c>
      <c r="G350" s="21">
        <v>15516</v>
      </c>
      <c r="H350" s="9">
        <v>212</v>
      </c>
      <c r="I350" s="30">
        <v>100000</v>
      </c>
      <c r="J350" s="31">
        <v>0</v>
      </c>
      <c r="K350" s="22">
        <v>0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  <c r="CZ350" s="9"/>
      <c r="DA350" s="9"/>
      <c r="DB350" s="9"/>
      <c r="DC350" s="9"/>
      <c r="DD350" s="9"/>
      <c r="DE350" s="9"/>
      <c r="DF350" s="9"/>
      <c r="DG350" s="9"/>
      <c r="DH350" s="9"/>
      <c r="DI350" s="9"/>
      <c r="DJ350" s="9"/>
      <c r="DK350" s="9"/>
      <c r="DL350" s="9"/>
      <c r="DM350" s="9"/>
      <c r="DN350" s="9"/>
      <c r="DO350" s="9"/>
      <c r="DP350" s="9"/>
      <c r="DQ350" s="9"/>
      <c r="DR350" s="9"/>
      <c r="DS350" s="9"/>
      <c r="DT350" s="9"/>
      <c r="DU350" s="9"/>
      <c r="DV350" s="9"/>
      <c r="DW350" s="9"/>
      <c r="DX350" s="9"/>
      <c r="DY350" s="9"/>
      <c r="DZ350" s="9"/>
      <c r="EA350" s="9"/>
      <c r="EB350" s="9"/>
      <c r="EC350" s="9"/>
      <c r="ED350" s="9"/>
      <c r="EE350" s="9"/>
      <c r="EF350" s="9"/>
      <c r="EG350" s="9"/>
      <c r="EH350" s="9"/>
      <c r="EI350" s="9"/>
      <c r="EJ350" s="9"/>
      <c r="EK350" s="9"/>
      <c r="EL350" s="9"/>
    </row>
    <row r="351" spans="1:142" x14ac:dyDescent="0.35">
      <c r="A351" s="9">
        <v>74379167</v>
      </c>
      <c r="B351" s="19">
        <v>8</v>
      </c>
      <c r="C351" s="9" t="str">
        <f>VLOOKUP(A351,'[1]terceros cto'!A$1:B$65536,2,0)</f>
        <v>SANABRIA VILLATE ANDRES MARCELO</v>
      </c>
      <c r="D351" s="20" t="str">
        <f>VLOOKUP(C351,'[1]terceros cto'!B$1:F$65536,5,0)</f>
        <v>andressanabriamvz@gmail.com</v>
      </c>
      <c r="E351" s="21" t="s">
        <v>2252</v>
      </c>
      <c r="F351" s="9" t="str">
        <f>VLOOKUP(C351,'[1]terceros cto'!B$1:D$65536,3,0)</f>
        <v>Paipa</v>
      </c>
      <c r="G351" s="21">
        <v>15516</v>
      </c>
      <c r="H351" s="9">
        <v>212</v>
      </c>
      <c r="I351" s="28">
        <v>50000</v>
      </c>
      <c r="J351" s="29">
        <v>0</v>
      </c>
      <c r="K351" s="22">
        <v>0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  <c r="DA351" s="9"/>
      <c r="DB351" s="9"/>
      <c r="DC351" s="9"/>
      <c r="DD351" s="9"/>
      <c r="DE351" s="9"/>
      <c r="DF351" s="9"/>
      <c r="DG351" s="9"/>
      <c r="DH351" s="9"/>
      <c r="DI351" s="9"/>
      <c r="DJ351" s="9"/>
      <c r="DK351" s="9"/>
      <c r="DL351" s="9"/>
      <c r="DM351" s="9"/>
      <c r="DN351" s="9"/>
      <c r="DO351" s="9"/>
      <c r="DP351" s="9"/>
      <c r="DQ351" s="9"/>
      <c r="DR351" s="9"/>
      <c r="DS351" s="9"/>
      <c r="DT351" s="9"/>
      <c r="DU351" s="9"/>
      <c r="DV351" s="9"/>
      <c r="DW351" s="9"/>
      <c r="DX351" s="9"/>
      <c r="DY351" s="9"/>
      <c r="DZ351" s="9"/>
      <c r="EA351" s="9"/>
      <c r="EB351" s="9"/>
      <c r="EC351" s="9"/>
      <c r="ED351" s="9"/>
      <c r="EE351" s="9"/>
      <c r="EF351" s="9"/>
      <c r="EG351" s="9"/>
      <c r="EH351" s="9"/>
      <c r="EI351" s="9"/>
      <c r="EJ351" s="9"/>
      <c r="EK351" s="9"/>
      <c r="EL351" s="9"/>
    </row>
    <row r="352" spans="1:142" x14ac:dyDescent="0.35">
      <c r="A352" s="9">
        <v>74379250</v>
      </c>
      <c r="B352" s="19">
        <v>1</v>
      </c>
      <c r="C352" s="9" t="str">
        <f>VLOOKUP(A352,'[1]terceros cto'!A$1:B$65536,2,0)</f>
        <v>SILVA MONTANA ROGGER IVAN</v>
      </c>
      <c r="D352" s="20" t="str">
        <f>VLOOKUP(C352,'[1]terceros cto'!B$1:F$65536,5,0)</f>
        <v>roggerivansilva@gmail.com</v>
      </c>
      <c r="E352" s="21">
        <f>VLOOKUP(C352,'[1]terceros cto'!B$1:E$65536,4,0)</f>
        <v>3112959989</v>
      </c>
      <c r="F352" s="9" t="str">
        <f>VLOOKUP(C352,'[1]terceros cto'!B$1:D$65536,3,0)</f>
        <v>DUITAMA</v>
      </c>
      <c r="G352" s="21">
        <v>15516</v>
      </c>
      <c r="H352" s="9">
        <v>212</v>
      </c>
      <c r="I352" s="30">
        <v>317037</v>
      </c>
      <c r="J352" s="31">
        <v>0</v>
      </c>
      <c r="K352" s="22">
        <v>0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  <c r="CZ352" s="9"/>
      <c r="DA352" s="9"/>
      <c r="DB352" s="9"/>
      <c r="DC352" s="9"/>
      <c r="DD352" s="9"/>
      <c r="DE352" s="9"/>
      <c r="DF352" s="9"/>
      <c r="DG352" s="9"/>
      <c r="DH352" s="9"/>
      <c r="DI352" s="9"/>
      <c r="DJ352" s="9"/>
      <c r="DK352" s="9"/>
      <c r="DL352" s="9"/>
      <c r="DM352" s="9"/>
      <c r="DN352" s="9"/>
      <c r="DO352" s="9"/>
      <c r="DP352" s="9"/>
      <c r="DQ352" s="9"/>
      <c r="DR352" s="9"/>
      <c r="DS352" s="9"/>
      <c r="DT352" s="9"/>
      <c r="DU352" s="9"/>
      <c r="DV352" s="9"/>
      <c r="DW352" s="9"/>
      <c r="DX352" s="9"/>
      <c r="DY352" s="9"/>
      <c r="DZ352" s="9"/>
      <c r="EA352" s="9"/>
      <c r="EB352" s="9"/>
      <c r="EC352" s="9"/>
      <c r="ED352" s="9"/>
      <c r="EE352" s="9"/>
      <c r="EF352" s="9"/>
      <c r="EG352" s="9"/>
      <c r="EH352" s="9"/>
      <c r="EI352" s="9"/>
      <c r="EJ352" s="9"/>
      <c r="EK352" s="9"/>
      <c r="EL352" s="9"/>
    </row>
    <row r="353" spans="1:142" x14ac:dyDescent="0.35">
      <c r="A353" s="9">
        <v>74381744</v>
      </c>
      <c r="B353" s="19">
        <v>4</v>
      </c>
      <c r="C353" s="9" t="str">
        <f>VLOOKUP(A353,'[1]terceros cto'!A$1:B$65536,2,0)</f>
        <v>FIRACATIVE CARLOS ARTURO</v>
      </c>
      <c r="D353" s="20" t="str">
        <f>VLOOKUP(C353,'[1]terceros cto'!B$1:F$65536,5,0)</f>
        <v>carlosfiracative10@gmail.com</v>
      </c>
      <c r="E353" s="21" t="s">
        <v>2252</v>
      </c>
      <c r="F353" s="9" t="str">
        <f>VLOOKUP(C353,'[1]terceros cto'!B$1:D$65536,3,0)</f>
        <v>Paipa</v>
      </c>
      <c r="G353" s="21">
        <v>15516</v>
      </c>
      <c r="H353" s="9">
        <v>212</v>
      </c>
      <c r="I353" s="28">
        <v>220000</v>
      </c>
      <c r="J353" s="29">
        <v>0</v>
      </c>
      <c r="K353" s="22">
        <v>0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  <c r="CY353" s="9"/>
      <c r="CZ353" s="9"/>
      <c r="DA353" s="9"/>
      <c r="DB353" s="9"/>
      <c r="DC353" s="9"/>
      <c r="DD353" s="9"/>
      <c r="DE353" s="9"/>
      <c r="DF353" s="9"/>
      <c r="DG353" s="9"/>
      <c r="DH353" s="9"/>
      <c r="DI353" s="9"/>
      <c r="DJ353" s="9"/>
      <c r="DK353" s="9"/>
      <c r="DL353" s="9"/>
      <c r="DM353" s="9"/>
      <c r="DN353" s="9"/>
      <c r="DO353" s="9"/>
      <c r="DP353" s="9"/>
      <c r="DQ353" s="9"/>
      <c r="DR353" s="9"/>
      <c r="DS353" s="9"/>
      <c r="DT353" s="9"/>
      <c r="DU353" s="9"/>
      <c r="DV353" s="9"/>
      <c r="DW353" s="9"/>
      <c r="DX353" s="9"/>
      <c r="DY353" s="9"/>
      <c r="DZ353" s="9"/>
      <c r="EA353" s="9"/>
      <c r="EB353" s="9"/>
      <c r="EC353" s="9"/>
      <c r="ED353" s="9"/>
      <c r="EE353" s="9"/>
      <c r="EF353" s="9"/>
      <c r="EG353" s="9"/>
      <c r="EH353" s="9"/>
      <c r="EI353" s="9"/>
      <c r="EJ353" s="9"/>
      <c r="EK353" s="9"/>
      <c r="EL353" s="9"/>
    </row>
    <row r="354" spans="1:142" x14ac:dyDescent="0.35">
      <c r="A354" s="9">
        <v>74423558</v>
      </c>
      <c r="B354" s="19">
        <v>2</v>
      </c>
      <c r="C354" s="9" t="str">
        <f>VLOOKUP(A354,'[1]terceros cto'!A$1:B$65536,2,0)</f>
        <v>BLANCO DUARTE RAFAEL EDUARDO</v>
      </c>
      <c r="D354" s="20" t="str">
        <f>VLOOKUP(C354,'[1]terceros cto'!B$1:F$65536,5,0)</f>
        <v>mateorafa10@gmail.com</v>
      </c>
      <c r="E354" s="21" t="s">
        <v>2252</v>
      </c>
      <c r="F354" s="9" t="str">
        <f>VLOOKUP(C354,'[1]terceros cto'!B$1:D$65536,3,0)</f>
        <v>| MANZANA J CASA 10 LA ESTACION DE AL</v>
      </c>
      <c r="G354" s="21">
        <v>15516</v>
      </c>
      <c r="H354" s="9">
        <v>212</v>
      </c>
      <c r="I354" s="30">
        <v>1580244</v>
      </c>
      <c r="J354" s="31">
        <v>0</v>
      </c>
      <c r="K354" s="22">
        <v>0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  <c r="CY354" s="9"/>
      <c r="CZ354" s="9"/>
      <c r="DA354" s="9"/>
      <c r="DB354" s="9"/>
      <c r="DC354" s="9"/>
      <c r="DD354" s="9"/>
      <c r="DE354" s="9"/>
      <c r="DF354" s="9"/>
      <c r="DG354" s="9"/>
      <c r="DH354" s="9"/>
      <c r="DI354" s="9"/>
      <c r="DJ354" s="9"/>
      <c r="DK354" s="9"/>
      <c r="DL354" s="9"/>
      <c r="DM354" s="9"/>
      <c r="DN354" s="9"/>
      <c r="DO354" s="9"/>
      <c r="DP354" s="9"/>
      <c r="DQ354" s="9"/>
      <c r="DR354" s="9"/>
      <c r="DS354" s="9"/>
      <c r="DT354" s="9"/>
      <c r="DU354" s="9"/>
      <c r="DV354" s="9"/>
      <c r="DW354" s="9"/>
      <c r="DX354" s="9"/>
      <c r="DY354" s="9"/>
      <c r="DZ354" s="9"/>
      <c r="EA354" s="9"/>
      <c r="EB354" s="9"/>
      <c r="EC354" s="9"/>
      <c r="ED354" s="9"/>
      <c r="EE354" s="9"/>
      <c r="EF354" s="9"/>
      <c r="EG354" s="9"/>
      <c r="EH354" s="9"/>
      <c r="EI354" s="9"/>
      <c r="EJ354" s="9"/>
      <c r="EK354" s="9"/>
      <c r="EL354" s="9"/>
    </row>
    <row r="355" spans="1:142" x14ac:dyDescent="0.35">
      <c r="A355" s="9">
        <v>74433619</v>
      </c>
      <c r="B355" s="19">
        <v>6</v>
      </c>
      <c r="C355" s="9" t="str">
        <f>VLOOKUP(A355,'[1]terceros cto'!A$1:B$65536,2,0)</f>
        <v>COY SALAMANCA ELIECER ANTONIO</v>
      </c>
      <c r="D355" s="20" t="str">
        <f>VLOOKUP(C355,'[1]terceros cto'!B$1:F$65536,5,0)</f>
        <v>delocos1006@hotmail.com</v>
      </c>
      <c r="E355" s="21" t="s">
        <v>2252</v>
      </c>
      <c r="F355" s="9" t="str">
        <f>VLOOKUP(C355,'[1]terceros cto'!B$1:D$65536,3,0)</f>
        <v>Paipa</v>
      </c>
      <c r="G355" s="21">
        <v>15516</v>
      </c>
      <c r="H355" s="9">
        <v>212</v>
      </c>
      <c r="I355" s="28">
        <v>125759</v>
      </c>
      <c r="J355" s="29">
        <v>0</v>
      </c>
      <c r="K355" s="22">
        <v>0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  <c r="CY355" s="9"/>
      <c r="CZ355" s="9"/>
      <c r="DA355" s="9"/>
      <c r="DB355" s="9"/>
      <c r="DC355" s="9"/>
      <c r="DD355" s="9"/>
      <c r="DE355" s="9"/>
      <c r="DF355" s="9"/>
      <c r="DG355" s="9"/>
      <c r="DH355" s="9"/>
      <c r="DI355" s="9"/>
      <c r="DJ355" s="9"/>
      <c r="DK355" s="9"/>
      <c r="DL355" s="9"/>
      <c r="DM355" s="9"/>
      <c r="DN355" s="9"/>
      <c r="DO355" s="9"/>
      <c r="DP355" s="9"/>
      <c r="DQ355" s="9"/>
      <c r="DR355" s="9"/>
      <c r="DS355" s="9"/>
      <c r="DT355" s="9"/>
      <c r="DU355" s="9"/>
      <c r="DV355" s="9"/>
      <c r="DW355" s="9"/>
      <c r="DX355" s="9"/>
      <c r="DY355" s="9"/>
      <c r="DZ355" s="9"/>
      <c r="EA355" s="9"/>
      <c r="EB355" s="9"/>
      <c r="EC355" s="9"/>
      <c r="ED355" s="9"/>
      <c r="EE355" s="9"/>
      <c r="EF355" s="9"/>
      <c r="EG355" s="9"/>
      <c r="EH355" s="9"/>
      <c r="EI355" s="9"/>
      <c r="EJ355" s="9"/>
      <c r="EK355" s="9"/>
      <c r="EL355" s="9"/>
    </row>
    <row r="356" spans="1:142" x14ac:dyDescent="0.35">
      <c r="A356" s="9">
        <v>74451745</v>
      </c>
      <c r="B356" s="19">
        <v>2</v>
      </c>
      <c r="C356" s="9" t="str">
        <f>VLOOKUP(A356,'[1]terceros cto'!A$1:B$65536,2,0)</f>
        <v>CASTRO MENDEZ CESAR CAMILO</v>
      </c>
      <c r="D356" s="20" t="str">
        <f>VLOOKUP(C356,'[1]terceros cto'!B$1:F$65536,5,0)</f>
        <v>kami_kast@hotmail.com</v>
      </c>
      <c r="E356" s="21" t="s">
        <v>2252</v>
      </c>
      <c r="F356" s="9" t="str">
        <f>VLOOKUP(C356,'[1]terceros cto'!B$1:D$65536,3,0)</f>
        <v>VEREDA LLANO GRANDE</v>
      </c>
      <c r="G356" s="21">
        <v>15516</v>
      </c>
      <c r="H356" s="9">
        <v>212</v>
      </c>
      <c r="I356" s="30">
        <v>623329</v>
      </c>
      <c r="J356" s="31">
        <v>0</v>
      </c>
      <c r="K356" s="22">
        <v>0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  <c r="CY356" s="9"/>
      <c r="CZ356" s="9"/>
      <c r="DA356" s="9"/>
      <c r="DB356" s="9"/>
      <c r="DC356" s="9"/>
      <c r="DD356" s="9"/>
      <c r="DE356" s="9"/>
      <c r="DF356" s="9"/>
      <c r="DG356" s="9"/>
      <c r="DH356" s="9"/>
      <c r="DI356" s="9"/>
      <c r="DJ356" s="9"/>
      <c r="DK356" s="9"/>
      <c r="DL356" s="9"/>
      <c r="DM356" s="9"/>
      <c r="DN356" s="9"/>
      <c r="DO356" s="9"/>
      <c r="DP356" s="9"/>
      <c r="DQ356" s="9"/>
      <c r="DR356" s="9"/>
      <c r="DS356" s="9"/>
      <c r="DT356" s="9"/>
      <c r="DU356" s="9"/>
      <c r="DV356" s="9"/>
      <c r="DW356" s="9"/>
      <c r="DX356" s="9"/>
      <c r="DY356" s="9"/>
      <c r="DZ356" s="9"/>
      <c r="EA356" s="9"/>
      <c r="EB356" s="9"/>
      <c r="EC356" s="9"/>
      <c r="ED356" s="9"/>
      <c r="EE356" s="9"/>
      <c r="EF356" s="9"/>
      <c r="EG356" s="9"/>
      <c r="EH356" s="9"/>
      <c r="EI356" s="9"/>
      <c r="EJ356" s="9"/>
      <c r="EK356" s="9"/>
      <c r="EL356" s="9"/>
    </row>
    <row r="357" spans="1:142" x14ac:dyDescent="0.35">
      <c r="A357" s="9">
        <v>74856670</v>
      </c>
      <c r="B357" s="19">
        <v>8</v>
      </c>
      <c r="C357" s="9" t="str">
        <f>VLOOKUP(A357,'[1]terceros cto'!A$1:B$65536,2,0)</f>
        <v>CALDERON  JORGE EDISSON</v>
      </c>
      <c r="D357" s="20" t="str">
        <f>VLOOKUP(C357,'[1]terceros cto'!B$1:F$65536,5,0)</f>
        <v>facturacionjorgecalderon@gmail.com</v>
      </c>
      <c r="E357" s="21" t="s">
        <v>2252</v>
      </c>
      <c r="F357" s="9" t="str">
        <f>VLOOKUP(C357,'[1]terceros cto'!B$1:D$65536,3,0)</f>
        <v>Paipa</v>
      </c>
      <c r="G357" s="21">
        <v>15516</v>
      </c>
      <c r="H357" s="9">
        <v>212</v>
      </c>
      <c r="I357" s="28">
        <v>100000</v>
      </c>
      <c r="J357" s="29">
        <v>0</v>
      </c>
      <c r="K357" s="22">
        <v>0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  <c r="CY357" s="9"/>
      <c r="CZ357" s="9"/>
      <c r="DA357" s="9"/>
      <c r="DB357" s="9"/>
      <c r="DC357" s="9"/>
      <c r="DD357" s="9"/>
      <c r="DE357" s="9"/>
      <c r="DF357" s="9"/>
      <c r="DG357" s="9"/>
      <c r="DH357" s="9"/>
      <c r="DI357" s="9"/>
      <c r="DJ357" s="9"/>
      <c r="DK357" s="9"/>
      <c r="DL357" s="9"/>
      <c r="DM357" s="9"/>
      <c r="DN357" s="9"/>
      <c r="DO357" s="9"/>
      <c r="DP357" s="9"/>
      <c r="DQ357" s="9"/>
      <c r="DR357" s="9"/>
      <c r="DS357" s="9"/>
      <c r="DT357" s="9"/>
      <c r="DU357" s="9"/>
      <c r="DV357" s="9"/>
      <c r="DW357" s="9"/>
      <c r="DX357" s="9"/>
      <c r="DY357" s="9"/>
      <c r="DZ357" s="9"/>
      <c r="EA357" s="9"/>
      <c r="EB357" s="9"/>
      <c r="EC357" s="9"/>
      <c r="ED357" s="9"/>
      <c r="EE357" s="9"/>
      <c r="EF357" s="9"/>
      <c r="EG357" s="9"/>
      <c r="EH357" s="9"/>
      <c r="EI357" s="9"/>
      <c r="EJ357" s="9"/>
      <c r="EK357" s="9"/>
      <c r="EL357" s="9"/>
    </row>
    <row r="358" spans="1:142" x14ac:dyDescent="0.35">
      <c r="A358" s="9">
        <v>79041449</v>
      </c>
      <c r="B358" s="19">
        <v>6</v>
      </c>
      <c r="C358" s="9" t="str">
        <f>VLOOKUP(A358,'[1]terceros cto'!A$1:B$65536,2,0)</f>
        <v>GONZALEZ GUERRERO CESAR YURI</v>
      </c>
      <c r="D358" s="20" t="str">
        <f>VLOOKUP(C358,'[1]terceros cto'!B$1:F$65536,5,0)</f>
        <v>cesaryurigonzalez@gmail.com</v>
      </c>
      <c r="E358" s="21" t="s">
        <v>2252</v>
      </c>
      <c r="F358" s="9" t="str">
        <f>VLOOKUP(C358,'[1]terceros cto'!B$1:D$65536,3,0)</f>
        <v>Paipa</v>
      </c>
      <c r="G358" s="21">
        <v>15516</v>
      </c>
      <c r="H358" s="9">
        <v>212</v>
      </c>
      <c r="I358" s="30">
        <v>495163</v>
      </c>
      <c r="J358" s="31">
        <v>0</v>
      </c>
      <c r="K358" s="22">
        <v>0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  <c r="CY358" s="9"/>
      <c r="CZ358" s="9"/>
      <c r="DA358" s="9"/>
      <c r="DB358" s="9"/>
      <c r="DC358" s="9"/>
      <c r="DD358" s="9"/>
      <c r="DE358" s="9"/>
      <c r="DF358" s="9"/>
      <c r="DG358" s="9"/>
      <c r="DH358" s="9"/>
      <c r="DI358" s="9"/>
      <c r="DJ358" s="9"/>
      <c r="DK358" s="9"/>
      <c r="DL358" s="9"/>
      <c r="DM358" s="9"/>
      <c r="DN358" s="9"/>
      <c r="DO358" s="9"/>
      <c r="DP358" s="9"/>
      <c r="DQ358" s="9"/>
      <c r="DR358" s="9"/>
      <c r="DS358" s="9"/>
      <c r="DT358" s="9"/>
      <c r="DU358" s="9"/>
      <c r="DV358" s="9"/>
      <c r="DW358" s="9"/>
      <c r="DX358" s="9"/>
      <c r="DY358" s="9"/>
      <c r="DZ358" s="9"/>
      <c r="EA358" s="9"/>
      <c r="EB358" s="9"/>
      <c r="EC358" s="9"/>
      <c r="ED358" s="9"/>
      <c r="EE358" s="9"/>
      <c r="EF358" s="9"/>
      <c r="EG358" s="9"/>
      <c r="EH358" s="9"/>
      <c r="EI358" s="9"/>
      <c r="EJ358" s="9"/>
      <c r="EK358" s="9"/>
      <c r="EL358" s="9"/>
    </row>
    <row r="359" spans="1:142" x14ac:dyDescent="0.35">
      <c r="A359" s="9">
        <v>79050843</v>
      </c>
      <c r="B359" s="19">
        <v>3</v>
      </c>
      <c r="C359" s="9" t="str">
        <f>VLOOKUP(A359,'[1]terceros cto'!A$1:B$65536,2,0)</f>
        <v>CERINZA HERRERA JUAN DE JESUS</v>
      </c>
      <c r="D359" s="20" t="str">
        <f>VLOOKUP(C359,'[1]terceros cto'!B$1:F$65536,5,0)</f>
        <v>jcerinzah@gmail.com</v>
      </c>
      <c r="E359" s="21" t="s">
        <v>2252</v>
      </c>
      <c r="F359" s="9" t="str">
        <f>VLOOKUP(C359,'[1]terceros cto'!B$1:D$65536,3,0)</f>
        <v>BARRIO FTIMA</v>
      </c>
      <c r="G359" s="21">
        <v>15516</v>
      </c>
      <c r="H359" s="9">
        <v>212</v>
      </c>
      <c r="I359" s="28">
        <v>2553840</v>
      </c>
      <c r="J359" s="29">
        <v>0</v>
      </c>
      <c r="K359" s="22">
        <v>0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  <c r="CZ359" s="9"/>
      <c r="DA359" s="9"/>
      <c r="DB359" s="9"/>
      <c r="DC359" s="9"/>
      <c r="DD359" s="9"/>
      <c r="DE359" s="9"/>
      <c r="DF359" s="9"/>
      <c r="DG359" s="9"/>
      <c r="DH359" s="9"/>
      <c r="DI359" s="9"/>
      <c r="DJ359" s="9"/>
      <c r="DK359" s="9"/>
      <c r="DL359" s="9"/>
      <c r="DM359" s="9"/>
      <c r="DN359" s="9"/>
      <c r="DO359" s="9"/>
      <c r="DP359" s="9"/>
      <c r="DQ359" s="9"/>
      <c r="DR359" s="9"/>
      <c r="DS359" s="9"/>
      <c r="DT359" s="9"/>
      <c r="DU359" s="9"/>
      <c r="DV359" s="9"/>
      <c r="DW359" s="9"/>
      <c r="DX359" s="9"/>
      <c r="DY359" s="9"/>
      <c r="DZ359" s="9"/>
      <c r="EA359" s="9"/>
      <c r="EB359" s="9"/>
      <c r="EC359" s="9"/>
      <c r="ED359" s="9"/>
      <c r="EE359" s="9"/>
      <c r="EF359" s="9"/>
      <c r="EG359" s="9"/>
      <c r="EH359" s="9"/>
      <c r="EI359" s="9"/>
      <c r="EJ359" s="9"/>
      <c r="EK359" s="9"/>
      <c r="EL359" s="9"/>
    </row>
    <row r="360" spans="1:142" x14ac:dyDescent="0.35">
      <c r="A360" s="9">
        <v>79119004</v>
      </c>
      <c r="B360" s="19">
        <v>1</v>
      </c>
      <c r="C360" s="9" t="str">
        <f>VLOOKUP(A360,'[1]terceros cto'!A$1:B$65536,2,0)</f>
        <v>SALAMANCA GUACANEME JOSE ARISTOBULO</v>
      </c>
      <c r="D360" s="20" t="str">
        <f>VLOOKUP(C360,'[1]terceros cto'!B$1:F$65536,5,0)</f>
        <v>gercan9@hotmail.com</v>
      </c>
      <c r="E360" s="21" t="s">
        <v>2252</v>
      </c>
      <c r="F360" s="9" t="str">
        <f>VLOOKUP(C360,'[1]terceros cto'!B$1:D$65536,3,0)</f>
        <v>Paipa</v>
      </c>
      <c r="G360" s="21">
        <v>15516</v>
      </c>
      <c r="H360" s="9">
        <v>212</v>
      </c>
      <c r="I360" s="30">
        <v>100000</v>
      </c>
      <c r="J360" s="31">
        <v>0</v>
      </c>
      <c r="K360" s="22">
        <v>0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  <c r="DC360" s="9"/>
      <c r="DD360" s="9"/>
      <c r="DE360" s="9"/>
      <c r="DF360" s="9"/>
      <c r="DG360" s="9"/>
      <c r="DH360" s="9"/>
      <c r="DI360" s="9"/>
      <c r="DJ360" s="9"/>
      <c r="DK360" s="9"/>
      <c r="DL360" s="9"/>
      <c r="DM360" s="9"/>
      <c r="DN360" s="9"/>
      <c r="DO360" s="9"/>
      <c r="DP360" s="9"/>
      <c r="DQ360" s="9"/>
      <c r="DR360" s="9"/>
      <c r="DS360" s="9"/>
      <c r="DT360" s="9"/>
      <c r="DU360" s="9"/>
      <c r="DV360" s="9"/>
      <c r="DW360" s="9"/>
      <c r="DX360" s="9"/>
      <c r="DY360" s="9"/>
      <c r="DZ360" s="9"/>
      <c r="EA360" s="9"/>
      <c r="EB360" s="9"/>
      <c r="EC360" s="9"/>
      <c r="ED360" s="9"/>
      <c r="EE360" s="9"/>
      <c r="EF360" s="9"/>
      <c r="EG360" s="9"/>
      <c r="EH360" s="9"/>
      <c r="EI360" s="9"/>
      <c r="EJ360" s="9"/>
      <c r="EK360" s="9"/>
      <c r="EL360" s="9"/>
    </row>
    <row r="361" spans="1:142" x14ac:dyDescent="0.35">
      <c r="A361" s="9">
        <v>79149800</v>
      </c>
      <c r="B361" s="19">
        <v>4</v>
      </c>
      <c r="C361" s="9" t="str">
        <f>VLOOKUP(A361,'[1]terceros cto'!A$1:B$65536,2,0)</f>
        <v>OTALORA ANGEL LUIS RAFAEL</v>
      </c>
      <c r="D361" s="20" t="str">
        <f>VLOOKUP(C361,'[1]terceros cto'!B$1:F$65536,5,0)</f>
        <v>rafaelotaloraangel@gmail.com</v>
      </c>
      <c r="E361" s="21" t="s">
        <v>2252</v>
      </c>
      <c r="F361" s="9" t="str">
        <f>VLOOKUP(C361,'[1]terceros cto'!B$1:D$65536,3,0)</f>
        <v>Paipa</v>
      </c>
      <c r="G361" s="21">
        <v>15516</v>
      </c>
      <c r="H361" s="9">
        <v>212</v>
      </c>
      <c r="I361" s="28">
        <v>130086</v>
      </c>
      <c r="J361" s="29">
        <v>0</v>
      </c>
      <c r="K361" s="22">
        <v>0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  <c r="CY361" s="9"/>
      <c r="CZ361" s="9"/>
      <c r="DA361" s="9"/>
      <c r="DB361" s="9"/>
      <c r="DC361" s="9"/>
      <c r="DD361" s="9"/>
      <c r="DE361" s="9"/>
      <c r="DF361" s="9"/>
      <c r="DG361" s="9"/>
      <c r="DH361" s="9"/>
      <c r="DI361" s="9"/>
      <c r="DJ361" s="9"/>
      <c r="DK361" s="9"/>
      <c r="DL361" s="9"/>
      <c r="DM361" s="9"/>
      <c r="DN361" s="9"/>
      <c r="DO361" s="9"/>
      <c r="DP361" s="9"/>
      <c r="DQ361" s="9"/>
      <c r="DR361" s="9"/>
      <c r="DS361" s="9"/>
      <c r="DT361" s="9"/>
      <c r="DU361" s="9"/>
      <c r="DV361" s="9"/>
      <c r="DW361" s="9"/>
      <c r="DX361" s="9"/>
      <c r="DY361" s="9"/>
      <c r="DZ361" s="9"/>
      <c r="EA361" s="9"/>
      <c r="EB361" s="9"/>
      <c r="EC361" s="9"/>
      <c r="ED361" s="9"/>
      <c r="EE361" s="9"/>
      <c r="EF361" s="9"/>
      <c r="EG361" s="9"/>
      <c r="EH361" s="9"/>
      <c r="EI361" s="9"/>
      <c r="EJ361" s="9"/>
      <c r="EK361" s="9"/>
      <c r="EL361" s="9"/>
    </row>
    <row r="362" spans="1:142" x14ac:dyDescent="0.35">
      <c r="A362" s="9">
        <v>79187602</v>
      </c>
      <c r="B362" s="19">
        <v>4</v>
      </c>
      <c r="C362" s="9" t="str">
        <f>VLOOKUP(A362,'[1]terceros cto'!A$1:B$65536,2,0)</f>
        <v>CASTILLO  ROBINSON OCHOA</v>
      </c>
      <c r="D362" s="20" t="str">
        <f>VLOOKUP(C362,'[1]terceros cto'!B$1:F$65536,5,0)</f>
        <v>amuccajica@gmail.com</v>
      </c>
      <c r="E362" s="21" t="s">
        <v>2252</v>
      </c>
      <c r="F362" s="9" t="str">
        <f>VLOOKUP(C362,'[1]terceros cto'!B$1:D$65536,3,0)</f>
        <v>Paipa</v>
      </c>
      <c r="G362" s="21">
        <v>15516</v>
      </c>
      <c r="H362" s="9">
        <v>212</v>
      </c>
      <c r="I362" s="30">
        <v>50000</v>
      </c>
      <c r="J362" s="31">
        <v>0</v>
      </c>
      <c r="K362" s="22">
        <v>0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  <c r="CY362" s="9"/>
      <c r="CZ362" s="9"/>
      <c r="DA362" s="9"/>
      <c r="DB362" s="9"/>
      <c r="DC362" s="9"/>
      <c r="DD362" s="9"/>
      <c r="DE362" s="9"/>
      <c r="DF362" s="9"/>
      <c r="DG362" s="9"/>
      <c r="DH362" s="9"/>
      <c r="DI362" s="9"/>
      <c r="DJ362" s="9"/>
      <c r="DK362" s="9"/>
      <c r="DL362" s="9"/>
      <c r="DM362" s="9"/>
      <c r="DN362" s="9"/>
      <c r="DO362" s="9"/>
      <c r="DP362" s="9"/>
      <c r="DQ362" s="9"/>
      <c r="DR362" s="9"/>
      <c r="DS362" s="9"/>
      <c r="DT362" s="9"/>
      <c r="DU362" s="9"/>
      <c r="DV362" s="9"/>
      <c r="DW362" s="9"/>
      <c r="DX362" s="9"/>
      <c r="DY362" s="9"/>
      <c r="DZ362" s="9"/>
      <c r="EA362" s="9"/>
      <c r="EB362" s="9"/>
      <c r="EC362" s="9"/>
      <c r="ED362" s="9"/>
      <c r="EE362" s="9"/>
      <c r="EF362" s="9"/>
      <c r="EG362" s="9"/>
      <c r="EH362" s="9"/>
      <c r="EI362" s="9"/>
      <c r="EJ362" s="9"/>
      <c r="EK362" s="9"/>
      <c r="EL362" s="9"/>
    </row>
    <row r="363" spans="1:142" x14ac:dyDescent="0.35">
      <c r="A363" s="9">
        <v>79247654</v>
      </c>
      <c r="B363" s="19">
        <v>5</v>
      </c>
      <c r="C363" s="9" t="str">
        <f>VLOOKUP(A363,'[1]terceros cto'!A$1:B$65536,2,0)</f>
        <v>FONSECA JAVIER ROJAS</v>
      </c>
      <c r="D363" s="20" t="str">
        <f>VLOOKUP(C363,'[1]terceros cto'!B$1:F$65536,5,0)</f>
        <v>gloriafonsecayiyis25@gmail.com</v>
      </c>
      <c r="E363" s="21" t="s">
        <v>2252</v>
      </c>
      <c r="F363" s="9" t="str">
        <f>VLOOKUP(C363,'[1]terceros cto'!B$1:D$65536,3,0)</f>
        <v>PAIPA</v>
      </c>
      <c r="G363" s="21">
        <v>15516</v>
      </c>
      <c r="H363" s="9">
        <v>212</v>
      </c>
      <c r="I363" s="28">
        <v>4060012</v>
      </c>
      <c r="J363" s="29">
        <v>0</v>
      </c>
      <c r="K363" s="22">
        <v>0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  <c r="DC363" s="9"/>
      <c r="DD363" s="9"/>
      <c r="DE363" s="9"/>
      <c r="DF363" s="9"/>
      <c r="DG363" s="9"/>
      <c r="DH363" s="9"/>
      <c r="DI363" s="9"/>
      <c r="DJ363" s="9"/>
      <c r="DK363" s="9"/>
      <c r="DL363" s="9"/>
      <c r="DM363" s="9"/>
      <c r="DN363" s="9"/>
      <c r="DO363" s="9"/>
      <c r="DP363" s="9"/>
      <c r="DQ363" s="9"/>
      <c r="DR363" s="9"/>
      <c r="DS363" s="9"/>
      <c r="DT363" s="9"/>
      <c r="DU363" s="9"/>
      <c r="DV363" s="9"/>
      <c r="DW363" s="9"/>
      <c r="DX363" s="9"/>
      <c r="DY363" s="9"/>
      <c r="DZ363" s="9"/>
      <c r="EA363" s="9"/>
      <c r="EB363" s="9"/>
      <c r="EC363" s="9"/>
      <c r="ED363" s="9"/>
      <c r="EE363" s="9"/>
      <c r="EF363" s="9"/>
      <c r="EG363" s="9"/>
      <c r="EH363" s="9"/>
      <c r="EI363" s="9"/>
      <c r="EJ363" s="9"/>
      <c r="EK363" s="9"/>
      <c r="EL363" s="9"/>
    </row>
    <row r="364" spans="1:142" x14ac:dyDescent="0.35">
      <c r="A364" s="9">
        <v>79442906</v>
      </c>
      <c r="B364" s="19">
        <v>1</v>
      </c>
      <c r="C364" s="9" t="str">
        <f>VLOOKUP(A364,'[1]terceros cto'!A$1:B$65536,2,0)</f>
        <v>LÓPEZ BOLIVAR ANTONIO ANTONIO</v>
      </c>
      <c r="D364" s="20" t="str">
        <f>VLOOKUP(C364,'[1]terceros cto'!B$1:F$65536,5,0)</f>
        <v>j.antoniolb@hotmail.com</v>
      </c>
      <c r="E364" s="21" t="s">
        <v>2252</v>
      </c>
      <c r="F364" s="9" t="str">
        <f>VLOOKUP(C364,'[1]terceros cto'!B$1:D$65536,3,0)</f>
        <v>Paipa</v>
      </c>
      <c r="G364" s="21">
        <v>15516</v>
      </c>
      <c r="H364" s="9">
        <v>212</v>
      </c>
      <c r="I364" s="30">
        <v>100000</v>
      </c>
      <c r="J364" s="31">
        <v>0</v>
      </c>
      <c r="K364" s="22">
        <v>0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  <c r="CY364" s="9"/>
      <c r="CZ364" s="9"/>
      <c r="DA364" s="9"/>
      <c r="DB364" s="9"/>
      <c r="DC364" s="9"/>
      <c r="DD364" s="9"/>
      <c r="DE364" s="9"/>
      <c r="DF364" s="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x14ac:dyDescent="0.35">
      <c r="A365" s="9">
        <v>79489986</v>
      </c>
      <c r="B365" s="19">
        <v>3</v>
      </c>
      <c r="C365" s="9" t="str">
        <f>VLOOKUP(A365,'[1]terceros cto'!A$1:B$65536,2,0)</f>
        <v>GUERRERO  EMILIO QUINTERO</v>
      </c>
      <c r="D365" s="20" t="str">
        <f>VLOOKUP(C365,'[1]terceros cto'!B$1:F$65536,5,0)</f>
        <v>emilito-50@hotmail.com</v>
      </c>
      <c r="E365" s="21" t="s">
        <v>2252</v>
      </c>
      <c r="F365" s="9" t="str">
        <f>VLOOKUP(C365,'[1]terceros cto'!B$1:D$65536,3,0)</f>
        <v>Paipa</v>
      </c>
      <c r="G365" s="21">
        <v>15516</v>
      </c>
      <c r="H365" s="9">
        <v>212</v>
      </c>
      <c r="I365" s="28">
        <v>90078</v>
      </c>
      <c r="J365" s="29">
        <v>0</v>
      </c>
      <c r="K365" s="22">
        <v>0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/>
      <c r="CZ365" s="9"/>
      <c r="DA365" s="9"/>
      <c r="DB365" s="9"/>
      <c r="DC365" s="9"/>
      <c r="DD365" s="9"/>
      <c r="DE365" s="9"/>
      <c r="DF365" s="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x14ac:dyDescent="0.35">
      <c r="A366" s="9">
        <v>79504446</v>
      </c>
      <c r="B366" s="19">
        <v>2</v>
      </c>
      <c r="C366" s="9" t="str">
        <f>VLOOKUP(A366,'[1]terceros cto'!A$1:B$65536,2,0)</f>
        <v>MALDONADO VANEGAS WILLIAM DAVID</v>
      </c>
      <c r="D366" s="20" t="str">
        <f>VLOOKUP(C366,'[1]terceros cto'!B$1:F$65536,5,0)</f>
        <v>widamava@hotmail.com</v>
      </c>
      <c r="E366" s="21" t="s">
        <v>2252</v>
      </c>
      <c r="F366" s="9" t="str">
        <f>VLOOKUP(C366,'[1]terceros cto'!B$1:D$65536,3,0)</f>
        <v>Paipa</v>
      </c>
      <c r="G366" s="21">
        <v>15516</v>
      </c>
      <c r="H366" s="9">
        <v>212</v>
      </c>
      <c r="I366" s="30">
        <v>95077</v>
      </c>
      <c r="J366" s="31">
        <v>0</v>
      </c>
      <c r="K366" s="22">
        <v>0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  <c r="DC366" s="9"/>
      <c r="DD366" s="9"/>
      <c r="DE366" s="9"/>
      <c r="DF366" s="9"/>
      <c r="DG366" s="9"/>
      <c r="DH366" s="9"/>
      <c r="DI366" s="9"/>
      <c r="DJ366" s="9"/>
      <c r="DK366" s="9"/>
      <c r="DL366" s="9"/>
      <c r="DM366" s="9"/>
      <c r="DN366" s="9"/>
      <c r="DO366" s="9"/>
      <c r="DP366" s="9"/>
      <c r="DQ366" s="9"/>
      <c r="DR366" s="9"/>
      <c r="DS366" s="9"/>
      <c r="DT366" s="9"/>
      <c r="DU366" s="9"/>
      <c r="DV366" s="9"/>
      <c r="DW366" s="9"/>
      <c r="DX366" s="9"/>
      <c r="DY366" s="9"/>
      <c r="DZ366" s="9"/>
      <c r="EA366" s="9"/>
      <c r="EB366" s="9"/>
      <c r="EC366" s="9"/>
      <c r="ED366" s="9"/>
      <c r="EE366" s="9"/>
      <c r="EF366" s="9"/>
      <c r="EG366" s="9"/>
      <c r="EH366" s="9"/>
      <c r="EI366" s="9"/>
      <c r="EJ366" s="9"/>
      <c r="EK366" s="9"/>
      <c r="EL366" s="9"/>
    </row>
    <row r="367" spans="1:142" x14ac:dyDescent="0.35">
      <c r="A367" s="9">
        <v>79504795</v>
      </c>
      <c r="B367" s="19">
        <v>8</v>
      </c>
      <c r="C367" s="9" t="str">
        <f>VLOOKUP(A367,'[1]terceros cto'!A$1:B$65536,2,0)</f>
        <v>ACOSTA FONSECA CESAR AUGUSTO</v>
      </c>
      <c r="D367" s="20" t="str">
        <f>VLOOKUP(C367,'[1]terceros cto'!B$1:F$65536,5,0)</f>
        <v>cesaracosta66@gmail.com</v>
      </c>
      <c r="E367" s="21" t="s">
        <v>2252</v>
      </c>
      <c r="F367" s="9" t="str">
        <f>VLOOKUP(C367,'[1]terceros cto'!B$1:D$65536,3,0)</f>
        <v>Paipa</v>
      </c>
      <c r="G367" s="21">
        <v>15516</v>
      </c>
      <c r="H367" s="9">
        <v>212</v>
      </c>
      <c r="I367" s="28">
        <v>70000</v>
      </c>
      <c r="J367" s="29">
        <v>0</v>
      </c>
      <c r="K367" s="22">
        <v>0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  <c r="CZ367" s="9"/>
      <c r="DA367" s="9"/>
      <c r="DB367" s="9"/>
      <c r="DC367" s="9"/>
      <c r="DD367" s="9"/>
      <c r="DE367" s="9"/>
      <c r="DF367" s="9"/>
      <c r="DG367" s="9"/>
      <c r="DH367" s="9"/>
      <c r="DI367" s="9"/>
      <c r="DJ367" s="9"/>
      <c r="DK367" s="9"/>
      <c r="DL367" s="9"/>
      <c r="DM367" s="9"/>
      <c r="DN367" s="9"/>
      <c r="DO367" s="9"/>
      <c r="DP367" s="9"/>
      <c r="DQ367" s="9"/>
      <c r="DR367" s="9"/>
      <c r="DS367" s="9"/>
      <c r="DT367" s="9"/>
      <c r="DU367" s="9"/>
      <c r="DV367" s="9"/>
      <c r="DW367" s="9"/>
      <c r="DX367" s="9"/>
      <c r="DY367" s="9"/>
      <c r="DZ367" s="9"/>
      <c r="EA367" s="9"/>
      <c r="EB367" s="9"/>
      <c r="EC367" s="9"/>
      <c r="ED367" s="9"/>
      <c r="EE367" s="9"/>
      <c r="EF367" s="9"/>
      <c r="EG367" s="9"/>
      <c r="EH367" s="9"/>
      <c r="EI367" s="9"/>
      <c r="EJ367" s="9"/>
      <c r="EK367" s="9"/>
      <c r="EL367" s="9"/>
    </row>
    <row r="368" spans="1:142" x14ac:dyDescent="0.35">
      <c r="A368" s="9">
        <v>79520055</v>
      </c>
      <c r="B368" s="19">
        <v>3</v>
      </c>
      <c r="C368" s="9" t="str">
        <f>VLOOKUP(A368,'[1]terceros cto'!A$1:B$65536,2,0)</f>
        <v>ROMERO TORRES URIEL ARCENIO</v>
      </c>
      <c r="D368" s="20" t="str">
        <f>VLOOKUP(C368,'[1]terceros cto'!B$1:F$65536,5,0)</f>
        <v>ury-romero@hotmail.com</v>
      </c>
      <c r="E368" s="21" t="s">
        <v>2252</v>
      </c>
      <c r="F368" s="9" t="str">
        <f>VLOOKUP(C368,'[1]terceros cto'!B$1:D$65536,3,0)</f>
        <v>Paipa</v>
      </c>
      <c r="G368" s="21">
        <v>15516</v>
      </c>
      <c r="H368" s="9">
        <v>212</v>
      </c>
      <c r="I368" s="30">
        <v>165920</v>
      </c>
      <c r="J368" s="31">
        <v>0</v>
      </c>
      <c r="K368" s="22">
        <v>0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  <c r="CZ368" s="9"/>
      <c r="DA368" s="9"/>
      <c r="DB368" s="9"/>
      <c r="DC368" s="9"/>
      <c r="DD368" s="9"/>
      <c r="DE368" s="9"/>
      <c r="DF368" s="9"/>
      <c r="DG368" s="9"/>
      <c r="DH368" s="9"/>
      <c r="DI368" s="9"/>
      <c r="DJ368" s="9"/>
      <c r="DK368" s="9"/>
      <c r="DL368" s="9"/>
      <c r="DM368" s="9"/>
      <c r="DN368" s="9"/>
      <c r="DO368" s="9"/>
      <c r="DP368" s="9"/>
      <c r="DQ368" s="9"/>
      <c r="DR368" s="9"/>
      <c r="DS368" s="9"/>
      <c r="DT368" s="9"/>
      <c r="DU368" s="9"/>
      <c r="DV368" s="9"/>
      <c r="DW368" s="9"/>
      <c r="DX368" s="9"/>
      <c r="DY368" s="9"/>
      <c r="DZ368" s="9"/>
      <c r="EA368" s="9"/>
      <c r="EB368" s="9"/>
      <c r="EC368" s="9"/>
      <c r="ED368" s="9"/>
      <c r="EE368" s="9"/>
      <c r="EF368" s="9"/>
      <c r="EG368" s="9"/>
      <c r="EH368" s="9"/>
      <c r="EI368" s="9"/>
      <c r="EJ368" s="9"/>
      <c r="EK368" s="9"/>
      <c r="EL368" s="9"/>
    </row>
    <row r="369" spans="1:142" x14ac:dyDescent="0.35">
      <c r="A369" s="9">
        <v>79529721</v>
      </c>
      <c r="B369" s="19">
        <v>1</v>
      </c>
      <c r="C369" s="9" t="str">
        <f>VLOOKUP(A369,'[1]terceros cto'!A$1:B$65536,2,0)</f>
        <v>JIMENEZ RICARDO RAVELO</v>
      </c>
      <c r="D369" s="20" t="str">
        <f>VLOOKUP(C369,'[1]terceros cto'!B$1:F$65536,5,0)</f>
        <v>raveloricardo@gmail.com</v>
      </c>
      <c r="E369" s="21" t="s">
        <v>2252</v>
      </c>
      <c r="F369" s="9" t="str">
        <f>VLOOKUP(C369,'[1]terceros cto'!B$1:D$65536,3,0)</f>
        <v>CARRERA 71 N 4 59 INT 101</v>
      </c>
      <c r="G369" s="21">
        <v>15516</v>
      </c>
      <c r="H369" s="9">
        <v>212</v>
      </c>
      <c r="I369" s="28">
        <v>157065</v>
      </c>
      <c r="J369" s="29">
        <v>0</v>
      </c>
      <c r="K369" s="22">
        <v>0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  <c r="CY369" s="9"/>
      <c r="CZ369" s="9"/>
      <c r="DA369" s="9"/>
      <c r="DB369" s="9"/>
      <c r="DC369" s="9"/>
      <c r="DD369" s="9"/>
      <c r="DE369" s="9"/>
      <c r="DF369" s="9"/>
      <c r="DG369" s="9"/>
      <c r="DH369" s="9"/>
      <c r="DI369" s="9"/>
      <c r="DJ369" s="9"/>
      <c r="DK369" s="9"/>
      <c r="DL369" s="9"/>
      <c r="DM369" s="9"/>
      <c r="DN369" s="9"/>
      <c r="DO369" s="9"/>
      <c r="DP369" s="9"/>
      <c r="DQ369" s="9"/>
      <c r="DR369" s="9"/>
      <c r="DS369" s="9"/>
      <c r="DT369" s="9"/>
      <c r="DU369" s="9"/>
      <c r="DV369" s="9"/>
      <c r="DW369" s="9"/>
      <c r="DX369" s="9"/>
      <c r="DY369" s="9"/>
      <c r="DZ369" s="9"/>
      <c r="EA369" s="9"/>
      <c r="EB369" s="9"/>
      <c r="EC369" s="9"/>
      <c r="ED369" s="9"/>
      <c r="EE369" s="9"/>
      <c r="EF369" s="9"/>
      <c r="EG369" s="9"/>
      <c r="EH369" s="9"/>
      <c r="EI369" s="9"/>
      <c r="EJ369" s="9"/>
      <c r="EK369" s="9"/>
      <c r="EL369" s="9"/>
    </row>
    <row r="370" spans="1:142" x14ac:dyDescent="0.35">
      <c r="A370" s="9">
        <v>79563476</v>
      </c>
      <c r="B370" s="19">
        <v>5</v>
      </c>
      <c r="C370" s="9" t="str">
        <f>VLOOKUP(A370,'[1]terceros cto'!A$1:B$65536,2,0)</f>
        <v>PATIÑO  DENILSON SANABRIA</v>
      </c>
      <c r="D370" s="20" t="str">
        <f>VLOOKUP(C370,'[1]terceros cto'!B$1:F$65536,5,0)</f>
        <v>denilson71@hotmail.es</v>
      </c>
      <c r="E370" s="21" t="s">
        <v>2252</v>
      </c>
      <c r="F370" s="9" t="str">
        <f>VLOOKUP(C370,'[1]terceros cto'!B$1:D$65536,3,0)</f>
        <v>Paipa</v>
      </c>
      <c r="G370" s="21">
        <v>15516</v>
      </c>
      <c r="H370" s="9">
        <v>212</v>
      </c>
      <c r="I370" s="30">
        <v>50000</v>
      </c>
      <c r="J370" s="31">
        <v>0</v>
      </c>
      <c r="K370" s="22">
        <v>0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  <c r="CY370" s="9"/>
      <c r="CZ370" s="9"/>
      <c r="DA370" s="9"/>
      <c r="DB370" s="9"/>
      <c r="DC370" s="9"/>
      <c r="DD370" s="9"/>
      <c r="DE370" s="9"/>
      <c r="DF370" s="9"/>
      <c r="DG370" s="9"/>
      <c r="DH370" s="9"/>
      <c r="DI370" s="9"/>
      <c r="DJ370" s="9"/>
      <c r="DK370" s="9"/>
      <c r="DL370" s="9"/>
      <c r="DM370" s="9"/>
      <c r="DN370" s="9"/>
      <c r="DO370" s="9"/>
      <c r="DP370" s="9"/>
      <c r="DQ370" s="9"/>
      <c r="DR370" s="9"/>
      <c r="DS370" s="9"/>
      <c r="DT370" s="9"/>
      <c r="DU370" s="9"/>
      <c r="DV370" s="9"/>
      <c r="DW370" s="9"/>
      <c r="DX370" s="9"/>
      <c r="DY370" s="9"/>
      <c r="DZ370" s="9"/>
      <c r="EA370" s="9"/>
      <c r="EB370" s="9"/>
      <c r="EC370" s="9"/>
      <c r="ED370" s="9"/>
      <c r="EE370" s="9"/>
      <c r="EF370" s="9"/>
      <c r="EG370" s="9"/>
      <c r="EH370" s="9"/>
      <c r="EI370" s="9"/>
      <c r="EJ370" s="9"/>
      <c r="EK370" s="9"/>
      <c r="EL370" s="9"/>
    </row>
    <row r="371" spans="1:142" x14ac:dyDescent="0.35">
      <c r="A371" s="9">
        <v>79628851</v>
      </c>
      <c r="B371" s="19">
        <v>5</v>
      </c>
      <c r="C371" s="9" t="str">
        <f>VLOOKUP(A371,'[1]terceros cto'!A$1:B$65536,2,0)</f>
        <v>PARRA GARZON LUIS ABELARDO</v>
      </c>
      <c r="D371" s="20" t="str">
        <f>VLOOKUP(C371,'[1]terceros cto'!B$1:F$65536,5,0)</f>
        <v>facturacion@montacargaslaparra.com</v>
      </c>
      <c r="E371" s="21" t="s">
        <v>2252</v>
      </c>
      <c r="F371" s="9" t="str">
        <f>VLOOKUP(C371,'[1]terceros cto'!B$1:D$65536,3,0)</f>
        <v>Paipa</v>
      </c>
      <c r="G371" s="21">
        <v>15516</v>
      </c>
      <c r="H371" s="9">
        <v>212</v>
      </c>
      <c r="I371" s="28">
        <v>200000</v>
      </c>
      <c r="J371" s="29">
        <v>0</v>
      </c>
      <c r="K371" s="22">
        <v>0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  <c r="DC371" s="9"/>
      <c r="DD371" s="9"/>
      <c r="DE371" s="9"/>
      <c r="DF371" s="9"/>
      <c r="DG371" s="9"/>
      <c r="DH371" s="9"/>
      <c r="DI371" s="9"/>
      <c r="DJ371" s="9"/>
      <c r="DK371" s="9"/>
      <c r="DL371" s="9"/>
      <c r="DM371" s="9"/>
      <c r="DN371" s="9"/>
      <c r="DO371" s="9"/>
      <c r="DP371" s="9"/>
      <c r="DQ371" s="9"/>
      <c r="DR371" s="9"/>
      <c r="DS371" s="9"/>
      <c r="DT371" s="9"/>
      <c r="DU371" s="9"/>
      <c r="DV371" s="9"/>
      <c r="DW371" s="9"/>
      <c r="DX371" s="9"/>
      <c r="DY371" s="9"/>
      <c r="DZ371" s="9"/>
      <c r="EA371" s="9"/>
      <c r="EB371" s="9"/>
      <c r="EC371" s="9"/>
      <c r="ED371" s="9"/>
      <c r="EE371" s="9"/>
      <c r="EF371" s="9"/>
      <c r="EG371" s="9"/>
      <c r="EH371" s="9"/>
      <c r="EI371" s="9"/>
      <c r="EJ371" s="9"/>
      <c r="EK371" s="9"/>
      <c r="EL371" s="9"/>
    </row>
    <row r="372" spans="1:142" x14ac:dyDescent="0.35">
      <c r="A372" s="9">
        <v>79651146</v>
      </c>
      <c r="B372" s="19">
        <v>7</v>
      </c>
      <c r="C372" s="9" t="str">
        <f>VLOOKUP(A372,'[1]terceros cto'!A$1:B$65536,2,0)</f>
        <v>GOMEZ SANCHEZ NORBERTO</v>
      </c>
      <c r="D372" s="20" t="str">
        <f>VLOOKUP(C372,'[1]terceros cto'!B$1:F$65536,5,0)</f>
        <v>norbertogomez880@hotmail.com</v>
      </c>
      <c r="E372" s="21">
        <f>VLOOKUP(C372,'[1]terceros cto'!B$1:E$65536,4,0)</f>
        <v>3213436939</v>
      </c>
      <c r="F372" s="9" t="str">
        <f>VLOOKUP(C372,'[1]terceros cto'!B$1:D$65536,3,0)</f>
        <v>KM 5 VIA PAIPA DUITAMA VEREDA SAN LORENZO DE ABAJO</v>
      </c>
      <c r="G372" s="21">
        <v>15516</v>
      </c>
      <c r="H372" s="9">
        <v>212</v>
      </c>
      <c r="I372" s="30">
        <v>8254121</v>
      </c>
      <c r="J372" s="31">
        <v>0</v>
      </c>
      <c r="K372" s="22">
        <v>0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  <c r="CY372" s="9"/>
      <c r="CZ372" s="9"/>
      <c r="DA372" s="9"/>
      <c r="DB372" s="9"/>
      <c r="DC372" s="9"/>
      <c r="DD372" s="9"/>
      <c r="DE372" s="9"/>
      <c r="DF372" s="9"/>
      <c r="DG372" s="9"/>
      <c r="DH372" s="9"/>
      <c r="DI372" s="9"/>
      <c r="DJ372" s="9"/>
      <c r="DK372" s="9"/>
      <c r="DL372" s="9"/>
      <c r="DM372" s="9"/>
      <c r="DN372" s="9"/>
      <c r="DO372" s="9"/>
      <c r="DP372" s="9"/>
      <c r="DQ372" s="9"/>
      <c r="DR372" s="9"/>
      <c r="DS372" s="9"/>
      <c r="DT372" s="9"/>
      <c r="DU372" s="9"/>
      <c r="DV372" s="9"/>
      <c r="DW372" s="9"/>
      <c r="DX372" s="9"/>
      <c r="DY372" s="9"/>
      <c r="DZ372" s="9"/>
      <c r="EA372" s="9"/>
      <c r="EB372" s="9"/>
      <c r="EC372" s="9"/>
      <c r="ED372" s="9"/>
      <c r="EE372" s="9"/>
      <c r="EF372" s="9"/>
      <c r="EG372" s="9"/>
      <c r="EH372" s="9"/>
      <c r="EI372" s="9"/>
      <c r="EJ372" s="9"/>
      <c r="EK372" s="9"/>
      <c r="EL372" s="9"/>
    </row>
    <row r="373" spans="1:142" x14ac:dyDescent="0.35">
      <c r="A373" s="9">
        <v>79685306</v>
      </c>
      <c r="B373" s="19">
        <v>5</v>
      </c>
      <c r="C373" s="9" t="str">
        <f>VLOOKUP(A373,'[1]terceros cto'!A$1:B$65536,2,0)</f>
        <v>OCHOA REAL RICHARD ALEXANDER</v>
      </c>
      <c r="D373" s="20" t="str">
        <f>VLOOKUP(C373,'[1]terceros cto'!B$1:F$65536,5,0)</f>
        <v>rialocre74@gmail.com</v>
      </c>
      <c r="E373" s="21" t="s">
        <v>2252</v>
      </c>
      <c r="F373" s="9" t="str">
        <f>VLOOKUP(C373,'[1]terceros cto'!B$1:D$65536,3,0)</f>
        <v>Paipa</v>
      </c>
      <c r="G373" s="21">
        <v>15516</v>
      </c>
      <c r="H373" s="9">
        <v>212</v>
      </c>
      <c r="I373" s="28">
        <v>240240</v>
      </c>
      <c r="J373" s="29">
        <v>0</v>
      </c>
      <c r="K373" s="22">
        <v>0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  <c r="CZ373" s="9"/>
      <c r="DA373" s="9"/>
      <c r="DB373" s="9"/>
      <c r="DC373" s="9"/>
      <c r="DD373" s="9"/>
      <c r="DE373" s="9"/>
      <c r="DF373" s="9"/>
      <c r="DG373" s="9"/>
      <c r="DH373" s="9"/>
      <c r="DI373" s="9"/>
      <c r="DJ373" s="9"/>
      <c r="DK373" s="9"/>
      <c r="DL373" s="9"/>
      <c r="DM373" s="9"/>
      <c r="DN373" s="9"/>
      <c r="DO373" s="9"/>
      <c r="DP373" s="9"/>
      <c r="DQ373" s="9"/>
      <c r="DR373" s="9"/>
      <c r="DS373" s="9"/>
      <c r="DT373" s="9"/>
      <c r="DU373" s="9"/>
      <c r="DV373" s="9"/>
      <c r="DW373" s="9"/>
      <c r="DX373" s="9"/>
      <c r="DY373" s="9"/>
      <c r="DZ373" s="9"/>
      <c r="EA373" s="9"/>
      <c r="EB373" s="9"/>
      <c r="EC373" s="9"/>
      <c r="ED373" s="9"/>
      <c r="EE373" s="9"/>
      <c r="EF373" s="9"/>
      <c r="EG373" s="9"/>
      <c r="EH373" s="9"/>
      <c r="EI373" s="9"/>
      <c r="EJ373" s="9"/>
      <c r="EK373" s="9"/>
      <c r="EL373" s="9"/>
    </row>
    <row r="374" spans="1:142" x14ac:dyDescent="0.35">
      <c r="A374" s="9">
        <v>79752393</v>
      </c>
      <c r="B374" s="19">
        <v>3</v>
      </c>
      <c r="C374" s="9" t="str">
        <f>VLOOKUP(A374,'[1]terceros cto'!A$1:B$65536,2,0)</f>
        <v>GUZMAN GALVIS PABLO ALEJANDRO</v>
      </c>
      <c r="D374" s="20" t="str">
        <f>VLOOKUP(C374,'[1]terceros cto'!B$1:F$65536,5,0)</f>
        <v>mojic777@hotmail.com</v>
      </c>
      <c r="E374" s="21" t="s">
        <v>2252</v>
      </c>
      <c r="F374" s="9" t="str">
        <f>VLOOKUP(C374,'[1]terceros cto'!B$1:D$65536,3,0)</f>
        <v>CARRERA 18 #15-56 CENTRO</v>
      </c>
      <c r="G374" s="21">
        <v>15516</v>
      </c>
      <c r="H374" s="9">
        <v>212</v>
      </c>
      <c r="I374" s="30">
        <v>150012</v>
      </c>
      <c r="J374" s="31">
        <v>0</v>
      </c>
      <c r="K374" s="22">
        <v>0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  <c r="CZ374" s="9"/>
      <c r="DA374" s="9"/>
      <c r="DB374" s="9"/>
      <c r="DC374" s="9"/>
      <c r="DD374" s="9"/>
      <c r="DE374" s="9"/>
      <c r="DF374" s="9"/>
      <c r="DG374" s="9"/>
      <c r="DH374" s="9"/>
      <c r="DI374" s="9"/>
      <c r="DJ374" s="9"/>
      <c r="DK374" s="9"/>
      <c r="DL374" s="9"/>
      <c r="DM374" s="9"/>
      <c r="DN374" s="9"/>
      <c r="DO374" s="9"/>
      <c r="DP374" s="9"/>
      <c r="DQ374" s="9"/>
      <c r="DR374" s="9"/>
      <c r="DS374" s="9"/>
      <c r="DT374" s="9"/>
      <c r="DU374" s="9"/>
      <c r="DV374" s="9"/>
      <c r="DW374" s="9"/>
      <c r="DX374" s="9"/>
      <c r="DY374" s="9"/>
      <c r="DZ374" s="9"/>
      <c r="EA374" s="9"/>
      <c r="EB374" s="9"/>
      <c r="EC374" s="9"/>
      <c r="ED374" s="9"/>
      <c r="EE374" s="9"/>
      <c r="EF374" s="9"/>
      <c r="EG374" s="9"/>
      <c r="EH374" s="9"/>
      <c r="EI374" s="9"/>
      <c r="EJ374" s="9"/>
      <c r="EK374" s="9"/>
      <c r="EL374" s="9"/>
    </row>
    <row r="375" spans="1:142" x14ac:dyDescent="0.35">
      <c r="A375" s="9">
        <v>79831724</v>
      </c>
      <c r="B375" s="19">
        <v>7</v>
      </c>
      <c r="C375" s="9" t="str">
        <f>VLOOKUP(A375,'[1]terceros cto'!A$1:B$65536,2,0)</f>
        <v>FLOREZ VANEGAS WILSON ANTONIO</v>
      </c>
      <c r="D375" s="20" t="str">
        <f>VLOOKUP(C375,'[1]terceros cto'!B$1:F$65536,5,0)</f>
        <v>w-florez@uniandes.edu.co</v>
      </c>
      <c r="E375" s="21" t="s">
        <v>2252</v>
      </c>
      <c r="F375" s="9" t="str">
        <f>VLOOKUP(C375,'[1]terceros cto'!B$1:D$65536,3,0)</f>
        <v>Paipa</v>
      </c>
      <c r="G375" s="21">
        <v>15516</v>
      </c>
      <c r="H375" s="9">
        <v>212</v>
      </c>
      <c r="I375" s="28">
        <v>214927</v>
      </c>
      <c r="J375" s="29">
        <v>0</v>
      </c>
      <c r="K375" s="22">
        <v>0</v>
      </c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  <c r="CY375" s="9"/>
      <c r="CZ375" s="9"/>
      <c r="DA375" s="9"/>
      <c r="DB375" s="9"/>
      <c r="DC375" s="9"/>
      <c r="DD375" s="9"/>
      <c r="DE375" s="9"/>
      <c r="DF375" s="9"/>
      <c r="DG375" s="9"/>
      <c r="DH375" s="9"/>
      <c r="DI375" s="9"/>
      <c r="DJ375" s="9"/>
      <c r="DK375" s="9"/>
      <c r="DL375" s="9"/>
      <c r="DM375" s="9"/>
      <c r="DN375" s="9"/>
      <c r="DO375" s="9"/>
      <c r="DP375" s="9"/>
      <c r="DQ375" s="9"/>
      <c r="DR375" s="9"/>
      <c r="DS375" s="9"/>
      <c r="DT375" s="9"/>
      <c r="DU375" s="9"/>
      <c r="DV375" s="9"/>
      <c r="DW375" s="9"/>
      <c r="DX375" s="9"/>
      <c r="DY375" s="9"/>
      <c r="DZ375" s="9"/>
      <c r="EA375" s="9"/>
      <c r="EB375" s="9"/>
      <c r="EC375" s="9"/>
      <c r="ED375" s="9"/>
      <c r="EE375" s="9"/>
      <c r="EF375" s="9"/>
      <c r="EG375" s="9"/>
      <c r="EH375" s="9"/>
      <c r="EI375" s="9"/>
      <c r="EJ375" s="9"/>
      <c r="EK375" s="9"/>
      <c r="EL375" s="9"/>
    </row>
    <row r="376" spans="1:142" x14ac:dyDescent="0.35">
      <c r="A376" s="9">
        <v>79897894</v>
      </c>
      <c r="B376" s="19">
        <v>4</v>
      </c>
      <c r="C376" s="9" t="str">
        <f>VLOOKUP(A376,'[1]terceros cto'!A$1:B$65536,2,0)</f>
        <v>CALDERON LOZANO FREDY ALEXANDER</v>
      </c>
      <c r="D376" s="20" t="str">
        <f>VLOOKUP(C376,'[1]terceros cto'!B$1:F$65536,5,0)</f>
        <v>fredycalderon@gmail.com</v>
      </c>
      <c r="E376" s="21" t="s">
        <v>2252</v>
      </c>
      <c r="F376" s="9" t="str">
        <f>VLOOKUP(C376,'[1]terceros cto'!B$1:D$65536,3,0)</f>
        <v>Paipa</v>
      </c>
      <c r="G376" s="21">
        <v>15516</v>
      </c>
      <c r="H376" s="9">
        <v>212</v>
      </c>
      <c r="I376" s="30">
        <v>110154</v>
      </c>
      <c r="J376" s="31">
        <v>0</v>
      </c>
      <c r="K376" s="22">
        <v>0</v>
      </c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  <c r="CY376" s="9"/>
      <c r="CZ376" s="9"/>
      <c r="DA376" s="9"/>
      <c r="DB376" s="9"/>
      <c r="DC376" s="9"/>
      <c r="DD376" s="9"/>
      <c r="DE376" s="9"/>
      <c r="DF376" s="9"/>
      <c r="DG376" s="9"/>
      <c r="DH376" s="9"/>
      <c r="DI376" s="9"/>
      <c r="DJ376" s="9"/>
      <c r="DK376" s="9"/>
      <c r="DL376" s="9"/>
      <c r="DM376" s="9"/>
      <c r="DN376" s="9"/>
      <c r="DO376" s="9"/>
      <c r="DP376" s="9"/>
      <c r="DQ376" s="9"/>
      <c r="DR376" s="9"/>
      <c r="DS376" s="9"/>
      <c r="DT376" s="9"/>
      <c r="DU376" s="9"/>
      <c r="DV376" s="9"/>
      <c r="DW376" s="9"/>
      <c r="DX376" s="9"/>
      <c r="DY376" s="9"/>
      <c r="DZ376" s="9"/>
      <c r="EA376" s="9"/>
      <c r="EB376" s="9"/>
      <c r="EC376" s="9"/>
      <c r="ED376" s="9"/>
      <c r="EE376" s="9"/>
      <c r="EF376" s="9"/>
      <c r="EG376" s="9"/>
      <c r="EH376" s="9"/>
      <c r="EI376" s="9"/>
      <c r="EJ376" s="9"/>
      <c r="EK376" s="9"/>
      <c r="EL376" s="9"/>
    </row>
    <row r="377" spans="1:142" x14ac:dyDescent="0.35">
      <c r="A377" s="9">
        <v>79940189</v>
      </c>
      <c r="B377" s="19">
        <v>3</v>
      </c>
      <c r="C377" s="9" t="str">
        <f>VLOOKUP(A377,'[1]terceros cto'!A$1:B$65536,2,0)</f>
        <v>MUÑOZ  ALBERTO LOZANO</v>
      </c>
      <c r="D377" s="20" t="str">
        <f>VLOOKUP(C377,'[1]terceros cto'!B$1:F$65536,5,0)</f>
        <v>alozano76@gmail.com</v>
      </c>
      <c r="E377" s="21" t="s">
        <v>2252</v>
      </c>
      <c r="F377" s="9" t="str">
        <f>VLOOKUP(C377,'[1]terceros cto'!B$1:D$65536,3,0)</f>
        <v>Paipa</v>
      </c>
      <c r="G377" s="21">
        <v>15516</v>
      </c>
      <c r="H377" s="9">
        <v>212</v>
      </c>
      <c r="I377" s="28">
        <v>31740</v>
      </c>
      <c r="J377" s="29">
        <v>0</v>
      </c>
      <c r="K377" s="22">
        <v>0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  <c r="CY377" s="9"/>
      <c r="CZ377" s="9"/>
      <c r="DA377" s="9"/>
      <c r="DB377" s="9"/>
      <c r="DC377" s="9"/>
      <c r="DD377" s="9"/>
      <c r="DE377" s="9"/>
      <c r="DF377" s="9"/>
      <c r="DG377" s="9"/>
      <c r="DH377" s="9"/>
      <c r="DI377" s="9"/>
      <c r="DJ377" s="9"/>
      <c r="DK377" s="9"/>
      <c r="DL377" s="9"/>
      <c r="DM377" s="9"/>
      <c r="DN377" s="9"/>
      <c r="DO377" s="9"/>
      <c r="DP377" s="9"/>
      <c r="DQ377" s="9"/>
      <c r="DR377" s="9"/>
      <c r="DS377" s="9"/>
      <c r="DT377" s="9"/>
      <c r="DU377" s="9"/>
      <c r="DV377" s="9"/>
      <c r="DW377" s="9"/>
      <c r="DX377" s="9"/>
      <c r="DY377" s="9"/>
      <c r="DZ377" s="9"/>
      <c r="EA377" s="9"/>
      <c r="EB377" s="9"/>
      <c r="EC377" s="9"/>
      <c r="ED377" s="9"/>
      <c r="EE377" s="9"/>
      <c r="EF377" s="9"/>
      <c r="EG377" s="9"/>
      <c r="EH377" s="9"/>
      <c r="EI377" s="9"/>
      <c r="EJ377" s="9"/>
      <c r="EK377" s="9"/>
      <c r="EL377" s="9"/>
    </row>
    <row r="378" spans="1:142" x14ac:dyDescent="0.35">
      <c r="A378" s="9">
        <v>79975707</v>
      </c>
      <c r="B378" s="19">
        <v>1</v>
      </c>
      <c r="C378" s="9" t="str">
        <f>VLOOKUP(A378,'[1]terceros cto'!A$1:B$65536,2,0)</f>
        <v>CASTAÑEDA ALVAREZ FREDY ROLANDO</v>
      </c>
      <c r="D378" s="20" t="str">
        <f>VLOOKUP(C378,'[1]terceros cto'!B$1:F$65536,5,0)</f>
        <v>prunussalvator@gmail.com</v>
      </c>
      <c r="E378" s="21" t="s">
        <v>2252</v>
      </c>
      <c r="F378" s="9" t="str">
        <f>VLOOKUP(C378,'[1]terceros cto'!B$1:D$65536,3,0)</f>
        <v>Paipa</v>
      </c>
      <c r="G378" s="21">
        <v>15516</v>
      </c>
      <c r="H378" s="9">
        <v>212</v>
      </c>
      <c r="I378" s="30">
        <v>180029</v>
      </c>
      <c r="J378" s="31">
        <v>0</v>
      </c>
      <c r="K378" s="22">
        <v>0</v>
      </c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  <c r="CY378" s="9"/>
      <c r="CZ378" s="9"/>
      <c r="DA378" s="9"/>
      <c r="DB378" s="9"/>
      <c r="DC378" s="9"/>
      <c r="DD378" s="9"/>
      <c r="DE378" s="9"/>
      <c r="DF378" s="9"/>
      <c r="DG378" s="9"/>
      <c r="DH378" s="9"/>
      <c r="DI378" s="9"/>
      <c r="DJ378" s="9"/>
      <c r="DK378" s="9"/>
      <c r="DL378" s="9"/>
      <c r="DM378" s="9"/>
      <c r="DN378" s="9"/>
      <c r="DO378" s="9"/>
      <c r="DP378" s="9"/>
      <c r="DQ378" s="9"/>
      <c r="DR378" s="9"/>
      <c r="DS378" s="9"/>
      <c r="DT378" s="9"/>
      <c r="DU378" s="9"/>
      <c r="DV378" s="9"/>
      <c r="DW378" s="9"/>
      <c r="DX378" s="9"/>
      <c r="DY378" s="9"/>
      <c r="DZ378" s="9"/>
      <c r="EA378" s="9"/>
      <c r="EB378" s="9"/>
      <c r="EC378" s="9"/>
      <c r="ED378" s="9"/>
      <c r="EE378" s="9"/>
      <c r="EF378" s="9"/>
      <c r="EG378" s="9"/>
      <c r="EH378" s="9"/>
      <c r="EI378" s="9"/>
      <c r="EJ378" s="9"/>
      <c r="EK378" s="9"/>
      <c r="EL378" s="9"/>
    </row>
    <row r="379" spans="1:142" x14ac:dyDescent="0.35">
      <c r="A379" s="9">
        <v>800006073</v>
      </c>
      <c r="B379" s="19">
        <v>7</v>
      </c>
      <c r="C379" s="9" t="str">
        <f>VLOOKUP(A379,'[1]terceros cto'!A$1:B$65536,2,0)</f>
        <v>HOTEL EL LAGO LTDA</v>
      </c>
      <c r="D379" s="20" t="str">
        <f>VLOOKUP(C379,'[1]terceros cto'!B$1:F$65536,5,0)</f>
        <v>hotelellago@hotmail.es</v>
      </c>
      <c r="E379" s="21">
        <f>VLOOKUP(C379,'[1]terceros cto'!B$1:E$65536,4,0)</f>
        <v>3134231295</v>
      </c>
      <c r="F379" s="9" t="str">
        <f>VLOOKUP(C379,'[1]terceros cto'!B$1:D$65536,3,0)</f>
        <v>KM 1 VIA PISCINAS TERMALES</v>
      </c>
      <c r="G379" s="21">
        <v>15516</v>
      </c>
      <c r="H379" s="9">
        <v>212</v>
      </c>
      <c r="I379" s="28">
        <v>30164238</v>
      </c>
      <c r="J379" s="29">
        <v>0</v>
      </c>
      <c r="K379" s="22">
        <v>0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  <c r="CZ379" s="9"/>
      <c r="DA379" s="9"/>
      <c r="DB379" s="9"/>
      <c r="DC379" s="9"/>
      <c r="DD379" s="9"/>
      <c r="DE379" s="9"/>
      <c r="DF379" s="9"/>
      <c r="DG379" s="9"/>
      <c r="DH379" s="9"/>
      <c r="DI379" s="9"/>
      <c r="DJ379" s="9"/>
      <c r="DK379" s="9"/>
      <c r="DL379" s="9"/>
      <c r="DM379" s="9"/>
      <c r="DN379" s="9"/>
      <c r="DO379" s="9"/>
      <c r="DP379" s="9"/>
      <c r="DQ379" s="9"/>
      <c r="DR379" s="9"/>
      <c r="DS379" s="9"/>
      <c r="DT379" s="9"/>
      <c r="DU379" s="9"/>
      <c r="DV379" s="9"/>
      <c r="DW379" s="9"/>
      <c r="DX379" s="9"/>
      <c r="DY379" s="9"/>
      <c r="DZ379" s="9"/>
      <c r="EA379" s="9"/>
      <c r="EB379" s="9"/>
      <c r="EC379" s="9"/>
      <c r="ED379" s="9"/>
      <c r="EE379" s="9"/>
      <c r="EF379" s="9"/>
      <c r="EG379" s="9"/>
      <c r="EH379" s="9"/>
      <c r="EI379" s="9"/>
      <c r="EJ379" s="9"/>
      <c r="EK379" s="9"/>
      <c r="EL379" s="9"/>
    </row>
    <row r="380" spans="1:142" x14ac:dyDescent="0.35">
      <c r="A380" s="9">
        <v>800021261</v>
      </c>
      <c r="B380" s="19">
        <v>8</v>
      </c>
      <c r="C380" s="9" t="str">
        <f>VLOOKUP(A380,'[1]terceros cto'!A$1:B$65536,2,0)</f>
        <v>SYSMAN SAS</v>
      </c>
      <c r="D380" s="20" t="str">
        <f>VLOOKUP(C380,'[1]terceros cto'!B$1:F$65536,5,0)</f>
        <v>financiera@sysman.com.co</v>
      </c>
      <c r="E380" s="21" t="s">
        <v>2252</v>
      </c>
      <c r="F380" s="9" t="str">
        <f>VLOOKUP(C380,'[1]terceros cto'!B$1:D$65536,3,0)</f>
        <v>Paipa</v>
      </c>
      <c r="G380" s="21">
        <v>15516</v>
      </c>
      <c r="H380" s="9">
        <v>212</v>
      </c>
      <c r="I380" s="30">
        <v>170000</v>
      </c>
      <c r="J380" s="31">
        <v>0</v>
      </c>
      <c r="K380" s="22">
        <v>0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  <c r="CY380" s="9"/>
      <c r="CZ380" s="9"/>
      <c r="DA380" s="9"/>
      <c r="DB380" s="9"/>
      <c r="DC380" s="9"/>
      <c r="DD380" s="9"/>
      <c r="DE380" s="9"/>
      <c r="DF380" s="9"/>
      <c r="DG380" s="9"/>
      <c r="DH380" s="9"/>
      <c r="DI380" s="9"/>
      <c r="DJ380" s="9"/>
      <c r="DK380" s="9"/>
      <c r="DL380" s="9"/>
      <c r="DM380" s="9"/>
      <c r="DN380" s="9"/>
      <c r="DO380" s="9"/>
      <c r="DP380" s="9"/>
      <c r="DQ380" s="9"/>
      <c r="DR380" s="9"/>
      <c r="DS380" s="9"/>
      <c r="DT380" s="9"/>
      <c r="DU380" s="9"/>
      <c r="DV380" s="9"/>
      <c r="DW380" s="9"/>
      <c r="DX380" s="9"/>
      <c r="DY380" s="9"/>
      <c r="DZ380" s="9"/>
      <c r="EA380" s="9"/>
      <c r="EB380" s="9"/>
      <c r="EC380" s="9"/>
      <c r="ED380" s="9"/>
      <c r="EE380" s="9"/>
      <c r="EF380" s="9"/>
      <c r="EG380" s="9"/>
      <c r="EH380" s="9"/>
      <c r="EI380" s="9"/>
      <c r="EJ380" s="9"/>
      <c r="EK380" s="9"/>
      <c r="EL380" s="9"/>
    </row>
    <row r="381" spans="1:142" x14ac:dyDescent="0.35">
      <c r="A381" s="9">
        <v>800022076</v>
      </c>
      <c r="B381" s="19">
        <v>6</v>
      </c>
      <c r="C381" s="9" t="str">
        <f>VLOOKUP(A381,'[1]terceros cto'!A$1:B$65536,2,0)</f>
        <v>CORPORACIÓN EDUCATIVA INDOAMÉRICANA</v>
      </c>
      <c r="D381" s="20" t="str">
        <f>VLOOKUP(C381,'[1]terceros cto'!B$1:F$65536,5,0)</f>
        <v>jserna@indoamericana.edu.co</v>
      </c>
      <c r="E381" s="21" t="s">
        <v>2252</v>
      </c>
      <c r="F381" s="9" t="str">
        <f>VLOOKUP(C381,'[1]terceros cto'!B$1:D$65536,3,0)</f>
        <v>Paipa</v>
      </c>
      <c r="G381" s="21">
        <v>15516</v>
      </c>
      <c r="H381" s="9">
        <v>212</v>
      </c>
      <c r="I381" s="28">
        <v>215007</v>
      </c>
      <c r="J381" s="29">
        <v>0</v>
      </c>
      <c r="K381" s="22">
        <v>0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  <c r="CY381" s="9"/>
      <c r="CZ381" s="9"/>
      <c r="DA381" s="9"/>
      <c r="DB381" s="9"/>
      <c r="DC381" s="9"/>
      <c r="DD381" s="9"/>
      <c r="DE381" s="9"/>
      <c r="DF381" s="9"/>
      <c r="DG381" s="9"/>
      <c r="DH381" s="9"/>
      <c r="DI381" s="9"/>
      <c r="DJ381" s="9"/>
      <c r="DK381" s="9"/>
      <c r="DL381" s="9"/>
      <c r="DM381" s="9"/>
      <c r="DN381" s="9"/>
      <c r="DO381" s="9"/>
      <c r="DP381" s="9"/>
      <c r="DQ381" s="9"/>
      <c r="DR381" s="9"/>
      <c r="DS381" s="9"/>
      <c r="DT381" s="9"/>
      <c r="DU381" s="9"/>
      <c r="DV381" s="9"/>
      <c r="DW381" s="9"/>
      <c r="DX381" s="9"/>
      <c r="DY381" s="9"/>
      <c r="DZ381" s="9"/>
      <c r="EA381" s="9"/>
      <c r="EB381" s="9"/>
      <c r="EC381" s="9"/>
      <c r="ED381" s="9"/>
      <c r="EE381" s="9"/>
      <c r="EF381" s="9"/>
      <c r="EG381" s="9"/>
      <c r="EH381" s="9"/>
      <c r="EI381" s="9"/>
      <c r="EJ381" s="9"/>
      <c r="EK381" s="9"/>
      <c r="EL381" s="9"/>
    </row>
    <row r="382" spans="1:142" x14ac:dyDescent="0.35">
      <c r="A382" s="9">
        <v>800042074</v>
      </c>
      <c r="B382" s="19">
        <v>7</v>
      </c>
      <c r="C382" s="9" t="str">
        <f>VLOOKUP(A382,'[1]terceros cto'!A$1:B$65536,2,0)</f>
        <v>ASOCIACION AFS PROGRAMAS INTERCULTURALES COLOMBIA</v>
      </c>
      <c r="D382" s="20" t="str">
        <f>VLOOKUP(C382,'[1]terceros cto'!B$1:F$65536,5,0)</f>
        <v>andinocol@afs.org</v>
      </c>
      <c r="E382" s="21">
        <f>VLOOKUP(C382,'[1]terceros cto'!B$1:E$65536,4,0)</f>
        <v>3502309077</v>
      </c>
      <c r="F382" s="9" t="str">
        <f>VLOOKUP(C382,'[1]terceros cto'!B$1:D$65536,3,0)</f>
        <v>AK 72 N 181-75</v>
      </c>
      <c r="G382" s="21">
        <v>15516</v>
      </c>
      <c r="H382" s="9">
        <v>212</v>
      </c>
      <c r="I382" s="30">
        <v>276089</v>
      </c>
      <c r="J382" s="31">
        <v>0</v>
      </c>
      <c r="K382" s="22">
        <v>0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  <c r="CZ382" s="9"/>
      <c r="DA382" s="9"/>
      <c r="DB382" s="9"/>
      <c r="DC382" s="9"/>
      <c r="DD382" s="9"/>
      <c r="DE382" s="9"/>
      <c r="DF382" s="9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x14ac:dyDescent="0.35">
      <c r="A383" s="9">
        <v>800108330</v>
      </c>
      <c r="B383" s="19">
        <v>3</v>
      </c>
      <c r="C383" s="9" t="str">
        <f>VLOOKUP(A383,'[1]terceros cto'!A$1:B$65536,2,0)</f>
        <v>SERVIPERFILES SAS</v>
      </c>
      <c r="D383" s="20" t="str">
        <f>VLOOKUP(C383,'[1]terceros cto'!B$1:F$65536,5,0)</f>
        <v>serviperfiles@serviperfiles.com</v>
      </c>
      <c r="E383" s="21" t="s">
        <v>2252</v>
      </c>
      <c r="F383" s="9" t="str">
        <f>VLOOKUP(C383,'[1]terceros cto'!B$1:D$65536,3,0)</f>
        <v>CR 5 ESTE 15 93</v>
      </c>
      <c r="G383" s="21">
        <v>15516</v>
      </c>
      <c r="H383" s="9">
        <v>212</v>
      </c>
      <c r="I383" s="28">
        <v>132036</v>
      </c>
      <c r="J383" s="29">
        <v>0</v>
      </c>
      <c r="K383" s="22">
        <v>0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  <c r="CZ383" s="9"/>
      <c r="DA383" s="9"/>
      <c r="DB383" s="9"/>
      <c r="DC383" s="9"/>
      <c r="DD383" s="9"/>
      <c r="DE383" s="9"/>
      <c r="DF383" s="9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x14ac:dyDescent="0.35">
      <c r="A384" s="9">
        <v>800121068</v>
      </c>
      <c r="B384" s="19">
        <v>1</v>
      </c>
      <c r="C384" s="9" t="str">
        <f>VLOOKUP(A384,'[1]terceros cto'!A$1:B$65536,2,0)</f>
        <v>GAUSSI SA</v>
      </c>
      <c r="D384" s="20" t="str">
        <f>VLOOKUP(C384,'[1]terceros cto'!B$1:F$65536,5,0)</f>
        <v>gaussizodiak@gmail.com</v>
      </c>
      <c r="E384" s="21" t="s">
        <v>2252</v>
      </c>
      <c r="F384" s="9" t="str">
        <f>VLOOKUP(C384,'[1]terceros cto'!B$1:D$65536,3,0)</f>
        <v>Paipa</v>
      </c>
      <c r="G384" s="21">
        <v>15516</v>
      </c>
      <c r="H384" s="9">
        <v>212</v>
      </c>
      <c r="I384" s="30">
        <v>112675</v>
      </c>
      <c r="J384" s="31">
        <v>0</v>
      </c>
      <c r="K384" s="22">
        <v>0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  <c r="CY384" s="9"/>
      <c r="CZ384" s="9"/>
      <c r="DA384" s="9"/>
      <c r="DB384" s="9"/>
      <c r="DC384" s="9"/>
      <c r="DD384" s="9"/>
      <c r="DE384" s="9"/>
      <c r="DF384" s="9"/>
      <c r="DG384" s="9"/>
      <c r="DH384" s="9"/>
      <c r="DI384" s="9"/>
      <c r="DJ384" s="9"/>
      <c r="DK384" s="9"/>
      <c r="DL384" s="9"/>
      <c r="DM384" s="9"/>
      <c r="DN384" s="9"/>
      <c r="DO384" s="9"/>
      <c r="DP384" s="9"/>
      <c r="DQ384" s="9"/>
      <c r="DR384" s="9"/>
      <c r="DS384" s="9"/>
      <c r="DT384" s="9"/>
      <c r="DU384" s="9"/>
      <c r="DV384" s="9"/>
      <c r="DW384" s="9"/>
      <c r="DX384" s="9"/>
      <c r="DY384" s="9"/>
      <c r="DZ384" s="9"/>
      <c r="EA384" s="9"/>
      <c r="EB384" s="9"/>
      <c r="EC384" s="9"/>
      <c r="ED384" s="9"/>
      <c r="EE384" s="9"/>
      <c r="EF384" s="9"/>
      <c r="EG384" s="9"/>
      <c r="EH384" s="9"/>
      <c r="EI384" s="9"/>
      <c r="EJ384" s="9"/>
      <c r="EK384" s="9"/>
      <c r="EL384" s="9"/>
    </row>
    <row r="385" spans="1:142" x14ac:dyDescent="0.35">
      <c r="A385" s="9">
        <v>800130931</v>
      </c>
      <c r="B385" s="19">
        <v>1</v>
      </c>
      <c r="C385" s="9" t="str">
        <f>VLOOKUP(A385,'[1]terceros cto'!A$1:B$65536,2,0)</f>
        <v>INSEMINAR DE COLOMBIA GS COMPAÑÍA LIMITADA</v>
      </c>
      <c r="D385" s="20" t="str">
        <f>VLOOKUP(C385,'[1]terceros cto'!B$1:F$65536,5,0)</f>
        <v>aux.conta.inseminar@gmail.com</v>
      </c>
      <c r="E385" s="21" t="s">
        <v>2252</v>
      </c>
      <c r="F385" s="9" t="str">
        <f>VLOOKUP(C385,'[1]terceros cto'!B$1:D$65536,3,0)</f>
        <v>CC CENTRO CHIA LC 11411</v>
      </c>
      <c r="G385" s="21">
        <v>15516</v>
      </c>
      <c r="H385" s="9">
        <v>212</v>
      </c>
      <c r="I385" s="28">
        <v>500000</v>
      </c>
      <c r="J385" s="29">
        <v>0</v>
      </c>
      <c r="K385" s="22">
        <v>0</v>
      </c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  <c r="CY385" s="9"/>
      <c r="CZ385" s="9"/>
      <c r="DA385" s="9"/>
      <c r="DB385" s="9"/>
      <c r="DC385" s="9"/>
      <c r="DD385" s="9"/>
      <c r="DE385" s="9"/>
      <c r="DF385" s="9"/>
      <c r="DG385" s="9"/>
      <c r="DH385" s="9"/>
      <c r="DI385" s="9"/>
      <c r="DJ385" s="9"/>
      <c r="DK385" s="9"/>
      <c r="DL385" s="9"/>
      <c r="DM385" s="9"/>
      <c r="DN385" s="9"/>
      <c r="DO385" s="9"/>
      <c r="DP385" s="9"/>
      <c r="DQ385" s="9"/>
      <c r="DR385" s="9"/>
      <c r="DS385" s="9"/>
      <c r="DT385" s="9"/>
      <c r="DU385" s="9"/>
      <c r="DV385" s="9"/>
      <c r="DW385" s="9"/>
      <c r="DX385" s="9"/>
      <c r="DY385" s="9"/>
      <c r="DZ385" s="9"/>
      <c r="EA385" s="9"/>
      <c r="EB385" s="9"/>
      <c r="EC385" s="9"/>
      <c r="ED385" s="9"/>
      <c r="EE385" s="9"/>
      <c r="EF385" s="9"/>
      <c r="EG385" s="9"/>
      <c r="EH385" s="9"/>
      <c r="EI385" s="9"/>
      <c r="EJ385" s="9"/>
      <c r="EK385" s="9"/>
      <c r="EL385" s="9"/>
    </row>
    <row r="386" spans="1:142" x14ac:dyDescent="0.35">
      <c r="A386" s="9">
        <v>800139778</v>
      </c>
      <c r="B386" s="19">
        <v>1</v>
      </c>
      <c r="C386" s="9" t="str">
        <f>VLOOKUP(A386,'[1]terceros cto'!A$1:B$65536,2,0)</f>
        <v>CORPORACIÓN CONCURSO NACIONAL DE BA</v>
      </c>
      <c r="D386" s="20" t="str">
        <f>VLOOKUP(C386,'[1]terceros cto'!B$1:F$65536,5,0)</f>
        <v>corbandas.paipa.boy@gmail.com</v>
      </c>
      <c r="E386" s="21" t="s">
        <v>2252</v>
      </c>
      <c r="F386" s="9" t="str">
        <f>VLOOKUP(C386,'[1]terceros cto'!B$1:D$65536,3,0)</f>
        <v>Paipa</v>
      </c>
      <c r="G386" s="21">
        <v>15516</v>
      </c>
      <c r="H386" s="9">
        <v>212</v>
      </c>
      <c r="I386" s="30">
        <v>301500</v>
      </c>
      <c r="J386" s="31">
        <v>0</v>
      </c>
      <c r="K386" s="22">
        <v>0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  <c r="CZ386" s="9"/>
      <c r="DA386" s="9"/>
      <c r="DB386" s="9"/>
      <c r="DC386" s="9"/>
      <c r="DD386" s="9"/>
      <c r="DE386" s="9"/>
      <c r="DF386" s="9"/>
      <c r="DG386" s="9"/>
      <c r="DH386" s="9"/>
      <c r="DI386" s="9"/>
      <c r="DJ386" s="9"/>
      <c r="DK386" s="9"/>
      <c r="DL386" s="9"/>
      <c r="DM386" s="9"/>
      <c r="DN386" s="9"/>
      <c r="DO386" s="9"/>
      <c r="DP386" s="9"/>
      <c r="DQ386" s="9"/>
      <c r="DR386" s="9"/>
      <c r="DS386" s="9"/>
      <c r="DT386" s="9"/>
      <c r="DU386" s="9"/>
      <c r="DV386" s="9"/>
      <c r="DW386" s="9"/>
      <c r="DX386" s="9"/>
      <c r="DY386" s="9"/>
      <c r="DZ386" s="9"/>
      <c r="EA386" s="9"/>
      <c r="EB386" s="9"/>
      <c r="EC386" s="9"/>
      <c r="ED386" s="9"/>
      <c r="EE386" s="9"/>
      <c r="EF386" s="9"/>
      <c r="EG386" s="9"/>
      <c r="EH386" s="9"/>
      <c r="EI386" s="9"/>
      <c r="EJ386" s="9"/>
      <c r="EK386" s="9"/>
      <c r="EL386" s="9"/>
    </row>
    <row r="387" spans="1:142" x14ac:dyDescent="0.35">
      <c r="A387" s="9">
        <v>800144794</v>
      </c>
      <c r="B387" s="19">
        <v>1</v>
      </c>
      <c r="C387" s="9" t="str">
        <f>VLOOKUP(A387,'[1]terceros cto'!A$1:B$65536,2,0)</f>
        <v>MERCADEO DE PRODUCTOS VETERIONAROS</v>
      </c>
      <c r="D387" s="20" t="str">
        <f>VLOOKUP(C387,'[1]terceros cto'!B$1:F$65536,5,0)</f>
        <v>administrativa@mercavet.com.co</v>
      </c>
      <c r="E387" s="21" t="s">
        <v>2252</v>
      </c>
      <c r="F387" s="9" t="str">
        <f>VLOOKUP(C387,'[1]terceros cto'!B$1:D$65536,3,0)</f>
        <v>Paipa</v>
      </c>
      <c r="G387" s="21">
        <v>15516</v>
      </c>
      <c r="H387" s="9">
        <v>212</v>
      </c>
      <c r="I387" s="28">
        <v>30000</v>
      </c>
      <c r="J387" s="29">
        <v>0</v>
      </c>
      <c r="K387" s="22">
        <v>0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  <c r="CY387" s="9"/>
      <c r="CZ387" s="9"/>
      <c r="DA387" s="9"/>
      <c r="DB387" s="9"/>
      <c r="DC387" s="9"/>
      <c r="DD387" s="9"/>
      <c r="DE387" s="9"/>
      <c r="DF387" s="9"/>
      <c r="DG387" s="9"/>
      <c r="DH387" s="9"/>
      <c r="DI387" s="9"/>
      <c r="DJ387" s="9"/>
      <c r="DK387" s="9"/>
      <c r="DL387" s="9"/>
      <c r="DM387" s="9"/>
      <c r="DN387" s="9"/>
      <c r="DO387" s="9"/>
      <c r="DP387" s="9"/>
      <c r="DQ387" s="9"/>
      <c r="DR387" s="9"/>
      <c r="DS387" s="9"/>
      <c r="DT387" s="9"/>
      <c r="DU387" s="9"/>
      <c r="DV387" s="9"/>
      <c r="DW387" s="9"/>
      <c r="DX387" s="9"/>
      <c r="DY387" s="9"/>
      <c r="DZ387" s="9"/>
      <c r="EA387" s="9"/>
      <c r="EB387" s="9"/>
      <c r="EC387" s="9"/>
      <c r="ED387" s="9"/>
      <c r="EE387" s="9"/>
      <c r="EF387" s="9"/>
      <c r="EG387" s="9"/>
      <c r="EH387" s="9"/>
      <c r="EI387" s="9"/>
      <c r="EJ387" s="9"/>
      <c r="EK387" s="9"/>
      <c r="EL387" s="9"/>
    </row>
    <row r="388" spans="1:142" x14ac:dyDescent="0.35">
      <c r="A388" s="9">
        <v>800146926</v>
      </c>
      <c r="B388" s="19">
        <v>4</v>
      </c>
      <c r="C388" s="9" t="str">
        <f>VLOOKUP(A388,'[1]terceros cto'!A$1:B$65536,2,0)</f>
        <v>MACIAS Y PALACIO S.A.S</v>
      </c>
      <c r="D388" s="20" t="str">
        <f>VLOOKUP(C388,'[1]terceros cto'!B$1:F$65536,5,0)</f>
        <v>admonpaperm@gmail.com</v>
      </c>
      <c r="E388" s="21" t="s">
        <v>2252</v>
      </c>
      <c r="F388" s="9" t="str">
        <f>VLOOKUP(C388,'[1]terceros cto'!B$1:D$65536,3,0)</f>
        <v>Dg 75b #2a-146, local 124</v>
      </c>
      <c r="G388" s="21">
        <v>15516</v>
      </c>
      <c r="H388" s="9">
        <v>212</v>
      </c>
      <c r="I388" s="30">
        <v>119085</v>
      </c>
      <c r="J388" s="31">
        <v>0</v>
      </c>
      <c r="K388" s="22">
        <v>0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  <c r="CY388" s="9"/>
      <c r="CZ388" s="9"/>
      <c r="DA388" s="9"/>
      <c r="DB388" s="9"/>
      <c r="DC388" s="9"/>
      <c r="DD388" s="9"/>
      <c r="DE388" s="9"/>
      <c r="DF388" s="9"/>
      <c r="DG388" s="9"/>
      <c r="DH388" s="9"/>
      <c r="DI388" s="9"/>
      <c r="DJ388" s="9"/>
      <c r="DK388" s="9"/>
      <c r="DL388" s="9"/>
      <c r="DM388" s="9"/>
      <c r="DN388" s="9"/>
      <c r="DO388" s="9"/>
      <c r="DP388" s="9"/>
      <c r="DQ388" s="9"/>
      <c r="DR388" s="9"/>
      <c r="DS388" s="9"/>
      <c r="DT388" s="9"/>
      <c r="DU388" s="9"/>
      <c r="DV388" s="9"/>
      <c r="DW388" s="9"/>
      <c r="DX388" s="9"/>
      <c r="DY388" s="9"/>
      <c r="DZ388" s="9"/>
      <c r="EA388" s="9"/>
      <c r="EB388" s="9"/>
      <c r="EC388" s="9"/>
      <c r="ED388" s="9"/>
      <c r="EE388" s="9"/>
      <c r="EF388" s="9"/>
      <c r="EG388" s="9"/>
      <c r="EH388" s="9"/>
      <c r="EI388" s="9"/>
      <c r="EJ388" s="9"/>
      <c r="EK388" s="9"/>
      <c r="EL388" s="9"/>
    </row>
    <row r="389" spans="1:142" x14ac:dyDescent="0.35">
      <c r="A389" s="9">
        <v>800154507</v>
      </c>
      <c r="B389" s="19">
        <v>5</v>
      </c>
      <c r="C389" s="9" t="str">
        <f>VLOOKUP(A389,'[1]terceros cto'!A$1:B$65536,2,0)</f>
        <v>COINGA LTDA</v>
      </c>
      <c r="D389" s="20" t="str">
        <f>VLOOKUP(C389,'[1]terceros cto'!B$1:F$65536,5,0)</f>
        <v>coingaltda@yahoo.com</v>
      </c>
      <c r="E389" s="21" t="s">
        <v>2252</v>
      </c>
      <c r="F389" s="9" t="str">
        <f>VLOOKUP(C389,'[1]terceros cto'!B$1:D$65536,3,0)</f>
        <v>paip</v>
      </c>
      <c r="G389" s="21">
        <v>15516</v>
      </c>
      <c r="H389" s="9">
        <v>212</v>
      </c>
      <c r="I389" s="28">
        <v>200009</v>
      </c>
      <c r="J389" s="29">
        <v>0</v>
      </c>
      <c r="K389" s="22">
        <v>0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  <c r="CY389" s="9"/>
      <c r="CZ389" s="9"/>
      <c r="DA389" s="9"/>
      <c r="DB389" s="9"/>
      <c r="DC389" s="9"/>
      <c r="DD389" s="9"/>
      <c r="DE389" s="9"/>
      <c r="DF389" s="9"/>
      <c r="DG389" s="9"/>
      <c r="DH389" s="9"/>
      <c r="DI389" s="9"/>
      <c r="DJ389" s="9"/>
      <c r="DK389" s="9"/>
      <c r="DL389" s="9"/>
      <c r="DM389" s="9"/>
      <c r="DN389" s="9"/>
      <c r="DO389" s="9"/>
      <c r="DP389" s="9"/>
      <c r="DQ389" s="9"/>
      <c r="DR389" s="9"/>
      <c r="DS389" s="9"/>
      <c r="DT389" s="9"/>
      <c r="DU389" s="9"/>
      <c r="DV389" s="9"/>
      <c r="DW389" s="9"/>
      <c r="DX389" s="9"/>
      <c r="DY389" s="9"/>
      <c r="DZ389" s="9"/>
      <c r="EA389" s="9"/>
      <c r="EB389" s="9"/>
      <c r="EC389" s="9"/>
      <c r="ED389" s="9"/>
      <c r="EE389" s="9"/>
      <c r="EF389" s="9"/>
      <c r="EG389" s="9"/>
      <c r="EH389" s="9"/>
      <c r="EI389" s="9"/>
      <c r="EJ389" s="9"/>
      <c r="EK389" s="9"/>
      <c r="EL389" s="9"/>
    </row>
    <row r="390" spans="1:142" x14ac:dyDescent="0.35">
      <c r="A390" s="9">
        <v>800173004</v>
      </c>
      <c r="B390" s="19">
        <v>3</v>
      </c>
      <c r="C390" s="9" t="str">
        <f>VLOOKUP(A390,'[1]terceros cto'!A$1:B$65536,2,0)</f>
        <v>FRUTAS COMERCIALES SA</v>
      </c>
      <c r="D390" s="20" t="str">
        <f>VLOOKUP(C390,'[1]terceros cto'!B$1:F$65536,5,0)</f>
        <v>contabilidad@frutascomerciales.com</v>
      </c>
      <c r="E390" s="21" t="s">
        <v>2252</v>
      </c>
      <c r="F390" s="9" t="str">
        <f>VLOOKUP(C390,'[1]terceros cto'!B$1:D$65536,3,0)</f>
        <v>Calle 24f #101-31</v>
      </c>
      <c r="G390" s="21">
        <v>15516</v>
      </c>
      <c r="H390" s="9">
        <v>212</v>
      </c>
      <c r="I390" s="30">
        <v>230021</v>
      </c>
      <c r="J390" s="31">
        <v>0</v>
      </c>
      <c r="K390" s="22">
        <v>0</v>
      </c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  <c r="CY390" s="9"/>
      <c r="CZ390" s="9"/>
      <c r="DA390" s="9"/>
      <c r="DB390" s="9"/>
      <c r="DC390" s="9"/>
      <c r="DD390" s="9"/>
      <c r="DE390" s="9"/>
      <c r="DF390" s="9"/>
      <c r="DG390" s="9"/>
      <c r="DH390" s="9"/>
      <c r="DI390" s="9"/>
      <c r="DJ390" s="9"/>
      <c r="DK390" s="9"/>
      <c r="DL390" s="9"/>
      <c r="DM390" s="9"/>
      <c r="DN390" s="9"/>
      <c r="DO390" s="9"/>
      <c r="DP390" s="9"/>
      <c r="DQ390" s="9"/>
      <c r="DR390" s="9"/>
      <c r="DS390" s="9"/>
      <c r="DT390" s="9"/>
      <c r="DU390" s="9"/>
      <c r="DV390" s="9"/>
      <c r="DW390" s="9"/>
      <c r="DX390" s="9"/>
      <c r="DY390" s="9"/>
      <c r="DZ390" s="9"/>
      <c r="EA390" s="9"/>
      <c r="EB390" s="9"/>
      <c r="EC390" s="9"/>
      <c r="ED390" s="9"/>
      <c r="EE390" s="9"/>
      <c r="EF390" s="9"/>
      <c r="EG390" s="9"/>
      <c r="EH390" s="9"/>
      <c r="EI390" s="9"/>
      <c r="EJ390" s="9"/>
      <c r="EK390" s="9"/>
      <c r="EL390" s="9"/>
    </row>
    <row r="391" spans="1:142" x14ac:dyDescent="0.35">
      <c r="A391" s="9">
        <v>800185039</v>
      </c>
      <c r="B391" s="19">
        <v>2</v>
      </c>
      <c r="C391" s="9" t="str">
        <f>VLOOKUP(A391,'[1]terceros cto'!A$1:B$65536,2,0)</f>
        <v>HONOR SERVICIOS DE SEGURIDAD LIMITADA</v>
      </c>
      <c r="D391" s="20" t="str">
        <f>VLOOKUP(C391,'[1]terceros cto'!B$1:F$65536,5,0)</f>
        <v>impuestos@honoriurel.com</v>
      </c>
      <c r="E391" s="21" t="s">
        <v>2252</v>
      </c>
      <c r="F391" s="9" t="str">
        <f>VLOOKUP(C391,'[1]terceros cto'!B$1:D$65536,3,0)</f>
        <v>AV CALLE 80 N55A 13</v>
      </c>
      <c r="G391" s="21">
        <v>15516</v>
      </c>
      <c r="H391" s="9">
        <v>212</v>
      </c>
      <c r="I391" s="28">
        <v>70000</v>
      </c>
      <c r="J391" s="29">
        <v>0</v>
      </c>
      <c r="K391" s="22">
        <v>0</v>
      </c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  <c r="CZ391" s="9"/>
      <c r="DA391" s="9"/>
      <c r="DB391" s="9"/>
      <c r="DC391" s="9"/>
      <c r="DD391" s="9"/>
      <c r="DE391" s="9"/>
      <c r="DF391" s="9"/>
      <c r="DG391" s="9"/>
      <c r="DH391" s="9"/>
      <c r="DI391" s="9"/>
      <c r="DJ391" s="9"/>
      <c r="DK391" s="9"/>
      <c r="DL391" s="9"/>
      <c r="DM391" s="9"/>
      <c r="DN391" s="9"/>
      <c r="DO391" s="9"/>
      <c r="DP391" s="9"/>
      <c r="DQ391" s="9"/>
      <c r="DR391" s="9"/>
      <c r="DS391" s="9"/>
      <c r="DT391" s="9"/>
      <c r="DU391" s="9"/>
      <c r="DV391" s="9"/>
      <c r="DW391" s="9"/>
      <c r="DX391" s="9"/>
      <c r="DY391" s="9"/>
      <c r="DZ391" s="9"/>
      <c r="EA391" s="9"/>
      <c r="EB391" s="9"/>
      <c r="EC391" s="9"/>
      <c r="ED391" s="9"/>
      <c r="EE391" s="9"/>
      <c r="EF391" s="9"/>
      <c r="EG391" s="9"/>
      <c r="EH391" s="9"/>
      <c r="EI391" s="9"/>
      <c r="EJ391" s="9"/>
      <c r="EK391" s="9"/>
      <c r="EL391" s="9"/>
    </row>
    <row r="392" spans="1:142" x14ac:dyDescent="0.35">
      <c r="A392" s="9">
        <v>800185215</v>
      </c>
      <c r="B392" s="19">
        <v>2</v>
      </c>
      <c r="C392" s="9" t="str">
        <f>VLOOKUP(A392,'[1]terceros cto'!A$1:B$65536,2,0)</f>
        <v>SEGURIDAD TREBOL LTDA</v>
      </c>
      <c r="D392" s="20" t="str">
        <f>VLOOKUP(C392,'[1]terceros cto'!B$1:F$65536,5,0)</f>
        <v>seguridadtrebol@yahoo.es</v>
      </c>
      <c r="E392" s="21">
        <f>VLOOKUP(C392,'[1]terceros cto'!B$1:E$65536,4,0)</f>
        <v>3176982584</v>
      </c>
      <c r="F392" s="9" t="str">
        <f>VLOOKUP(C392,'[1]terceros cto'!B$1:D$65536,3,0)</f>
        <v>CARRERA 7 N 21-85</v>
      </c>
      <c r="G392" s="21">
        <v>15516</v>
      </c>
      <c r="H392" s="9">
        <v>212</v>
      </c>
      <c r="I392" s="30">
        <v>150014</v>
      </c>
      <c r="J392" s="31">
        <v>0</v>
      </c>
      <c r="K392" s="22">
        <v>0</v>
      </c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  <c r="CY392" s="9"/>
      <c r="CZ392" s="9"/>
      <c r="DA392" s="9"/>
      <c r="DB392" s="9"/>
      <c r="DC392" s="9"/>
      <c r="DD392" s="9"/>
      <c r="DE392" s="9"/>
      <c r="DF392" s="9"/>
      <c r="DG392" s="9"/>
      <c r="DH392" s="9"/>
      <c r="DI392" s="9"/>
      <c r="DJ392" s="9"/>
      <c r="DK392" s="9"/>
      <c r="DL392" s="9"/>
      <c r="DM392" s="9"/>
      <c r="DN392" s="9"/>
      <c r="DO392" s="9"/>
      <c r="DP392" s="9"/>
      <c r="DQ392" s="9"/>
      <c r="DR392" s="9"/>
      <c r="DS392" s="9"/>
      <c r="DT392" s="9"/>
      <c r="DU392" s="9"/>
      <c r="DV392" s="9"/>
      <c r="DW392" s="9"/>
      <c r="DX392" s="9"/>
      <c r="DY392" s="9"/>
      <c r="DZ392" s="9"/>
      <c r="EA392" s="9"/>
      <c r="EB392" s="9"/>
      <c r="EC392" s="9"/>
      <c r="ED392" s="9"/>
      <c r="EE392" s="9"/>
      <c r="EF392" s="9"/>
      <c r="EG392" s="9"/>
      <c r="EH392" s="9"/>
      <c r="EI392" s="9"/>
      <c r="EJ392" s="9"/>
      <c r="EK392" s="9"/>
      <c r="EL392" s="9"/>
    </row>
    <row r="393" spans="1:142" x14ac:dyDescent="0.35">
      <c r="A393" s="9">
        <v>800186061</v>
      </c>
      <c r="B393" s="19">
        <v>1</v>
      </c>
      <c r="C393" s="9" t="str">
        <f>VLOOKUP(A393,'[1]terceros cto'!A$1:B$65536,2,0)</f>
        <v>DEFENSORIA DEL PUEBLO</v>
      </c>
      <c r="D393" s="20" t="str">
        <f>VLOOKUP(C393,'[1]terceros cto'!B$1:F$65536,5,0)</f>
        <v>jobecerra@defensoria.gov.co</v>
      </c>
      <c r="E393" s="21" t="s">
        <v>2252</v>
      </c>
      <c r="F393" s="9" t="str">
        <f>VLOOKUP(C393,'[1]terceros cto'!B$1:D$65536,3,0)</f>
        <v>Calle 55# 10 32 Barrio chapinero</v>
      </c>
      <c r="G393" s="21">
        <v>15516</v>
      </c>
      <c r="H393" s="9">
        <v>212</v>
      </c>
      <c r="I393" s="28">
        <v>160000</v>
      </c>
      <c r="J393" s="29">
        <v>0</v>
      </c>
      <c r="K393" s="22">
        <v>0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  <c r="CY393" s="9"/>
      <c r="CZ393" s="9"/>
      <c r="DA393" s="9"/>
      <c r="DB393" s="9"/>
      <c r="DC393" s="9"/>
      <c r="DD393" s="9"/>
      <c r="DE393" s="9"/>
      <c r="DF393" s="9"/>
      <c r="DG393" s="9"/>
      <c r="DH393" s="9"/>
      <c r="DI393" s="9"/>
      <c r="DJ393" s="9"/>
      <c r="DK393" s="9"/>
      <c r="DL393" s="9"/>
      <c r="DM393" s="9"/>
      <c r="DN393" s="9"/>
      <c r="DO393" s="9"/>
      <c r="DP393" s="9"/>
      <c r="DQ393" s="9"/>
      <c r="DR393" s="9"/>
      <c r="DS393" s="9"/>
      <c r="DT393" s="9"/>
      <c r="DU393" s="9"/>
      <c r="DV393" s="9"/>
      <c r="DW393" s="9"/>
      <c r="DX393" s="9"/>
      <c r="DY393" s="9"/>
      <c r="DZ393" s="9"/>
      <c r="EA393" s="9"/>
      <c r="EB393" s="9"/>
      <c r="EC393" s="9"/>
      <c r="ED393" s="9"/>
      <c r="EE393" s="9"/>
      <c r="EF393" s="9"/>
      <c r="EG393" s="9"/>
      <c r="EH393" s="9"/>
      <c r="EI393" s="9"/>
      <c r="EJ393" s="9"/>
      <c r="EK393" s="9"/>
      <c r="EL393" s="9"/>
    </row>
    <row r="394" spans="1:142" x14ac:dyDescent="0.35">
      <c r="A394" s="9">
        <v>800186313</v>
      </c>
      <c r="B394" s="19">
        <v>0</v>
      </c>
      <c r="C394" s="9" t="str">
        <f>VLOOKUP(A394,'[1]terceros cto'!A$1:B$65536,2,0)</f>
        <v>AGM DESARROLLOS S.A.S</v>
      </c>
      <c r="D394" s="20" t="str">
        <f>VLOOKUP(C394,'[1]terceros cto'!B$1:F$65536,5,0)</f>
        <v>alumbradoubate@agmdesarrollos.com</v>
      </c>
      <c r="E394" s="21" t="s">
        <v>2252</v>
      </c>
      <c r="F394" s="9" t="str">
        <f>VLOOKUP(C394,'[1]terceros cto'!B$1:D$65536,3,0)</f>
        <v>Paipa</v>
      </c>
      <c r="G394" s="21">
        <v>15516</v>
      </c>
      <c r="H394" s="9">
        <v>212</v>
      </c>
      <c r="I394" s="30">
        <v>117136</v>
      </c>
      <c r="J394" s="31">
        <v>0</v>
      </c>
      <c r="K394" s="22">
        <v>0</v>
      </c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  <c r="CY394" s="9"/>
      <c r="CZ394" s="9"/>
      <c r="DA394" s="9"/>
      <c r="DB394" s="9"/>
      <c r="DC394" s="9"/>
      <c r="DD394" s="9"/>
      <c r="DE394" s="9"/>
      <c r="DF394" s="9"/>
      <c r="DG394" s="9"/>
      <c r="DH394" s="9"/>
      <c r="DI394" s="9"/>
      <c r="DJ394" s="9"/>
      <c r="DK394" s="9"/>
      <c r="DL394" s="9"/>
      <c r="DM394" s="9"/>
      <c r="DN394" s="9"/>
      <c r="DO394" s="9"/>
      <c r="DP394" s="9"/>
      <c r="DQ394" s="9"/>
      <c r="DR394" s="9"/>
      <c r="DS394" s="9"/>
      <c r="DT394" s="9"/>
      <c r="DU394" s="9"/>
      <c r="DV394" s="9"/>
      <c r="DW394" s="9"/>
      <c r="DX394" s="9"/>
      <c r="DY394" s="9"/>
      <c r="DZ394" s="9"/>
      <c r="EA394" s="9"/>
      <c r="EB394" s="9"/>
      <c r="EC394" s="9"/>
      <c r="ED394" s="9"/>
      <c r="EE394" s="9"/>
      <c r="EF394" s="9"/>
      <c r="EG394" s="9"/>
      <c r="EH394" s="9"/>
      <c r="EI394" s="9"/>
      <c r="EJ394" s="9"/>
      <c r="EK394" s="9"/>
      <c r="EL394" s="9"/>
    </row>
    <row r="395" spans="1:142" x14ac:dyDescent="0.35">
      <c r="A395" s="9">
        <v>800201485</v>
      </c>
      <c r="B395" s="19">
        <v>3</v>
      </c>
      <c r="C395" s="9" t="str">
        <f>VLOOKUP(A395,'[1]terceros cto'!A$1:B$65536,2,0)</f>
        <v>F RESTREPO Y ASOCIADOS ABOGADOS</v>
      </c>
      <c r="D395" s="20" t="str">
        <f>VLOOKUP(C395,'[1]terceros cto'!B$1:F$65536,5,0)</f>
        <v>info@frestrepoabogados.com</v>
      </c>
      <c r="E395" s="21" t="s">
        <v>2252</v>
      </c>
      <c r="F395" s="9" t="str">
        <f>VLOOKUP(C395,'[1]terceros cto'!B$1:D$65536,3,0)</f>
        <v>CARRERA 100 NO. 11-60 OFICINA 518 TORRE FARALLONES</v>
      </c>
      <c r="G395" s="21">
        <v>15516</v>
      </c>
      <c r="H395" s="9">
        <v>212</v>
      </c>
      <c r="I395" s="28">
        <v>75093</v>
      </c>
      <c r="J395" s="29">
        <v>0</v>
      </c>
      <c r="K395" s="22">
        <v>0</v>
      </c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  <c r="CY395" s="9"/>
      <c r="CZ395" s="9"/>
      <c r="DA395" s="9"/>
      <c r="DB395" s="9"/>
      <c r="DC395" s="9"/>
      <c r="DD395" s="9"/>
      <c r="DE395" s="9"/>
      <c r="DF395" s="9"/>
      <c r="DG395" s="9"/>
      <c r="DH395" s="9"/>
      <c r="DI395" s="9"/>
      <c r="DJ395" s="9"/>
      <c r="DK395" s="9"/>
      <c r="DL395" s="9"/>
      <c r="DM395" s="9"/>
      <c r="DN395" s="9"/>
      <c r="DO395" s="9"/>
      <c r="DP395" s="9"/>
      <c r="DQ395" s="9"/>
      <c r="DR395" s="9"/>
      <c r="DS395" s="9"/>
      <c r="DT395" s="9"/>
      <c r="DU395" s="9"/>
      <c r="DV395" s="9"/>
      <c r="DW395" s="9"/>
      <c r="DX395" s="9"/>
      <c r="DY395" s="9"/>
      <c r="DZ395" s="9"/>
      <c r="EA395" s="9"/>
      <c r="EB395" s="9"/>
      <c r="EC395" s="9"/>
      <c r="ED395" s="9"/>
      <c r="EE395" s="9"/>
      <c r="EF395" s="9"/>
      <c r="EG395" s="9"/>
      <c r="EH395" s="9"/>
      <c r="EI395" s="9"/>
      <c r="EJ395" s="9"/>
      <c r="EK395" s="9"/>
      <c r="EL395" s="9"/>
    </row>
    <row r="396" spans="1:142" x14ac:dyDescent="0.35">
      <c r="A396" s="9">
        <v>800215382</v>
      </c>
      <c r="B396" s="19">
        <v>4</v>
      </c>
      <c r="C396" s="9" t="str">
        <f>VLOOKUP(A396,'[1]terceros cto'!A$1:B$65536,2,0)</f>
        <v>ARTE Y DISEÑO GRAFICO SAS</v>
      </c>
      <c r="D396" s="20" t="str">
        <f>VLOOKUP(C396,'[1]terceros cto'!B$1:F$65536,5,0)</f>
        <v>contabilidad@arteydisenografico.com</v>
      </c>
      <c r="E396" s="21" t="s">
        <v>2252</v>
      </c>
      <c r="F396" s="9" t="str">
        <f>VLOOKUP(C396,'[1]terceros cto'!B$1:D$65536,3,0)</f>
        <v>Paipa</v>
      </c>
      <c r="G396" s="21">
        <v>15516</v>
      </c>
      <c r="H396" s="9">
        <v>212</v>
      </c>
      <c r="I396" s="30">
        <v>130023</v>
      </c>
      <c r="J396" s="31">
        <v>0</v>
      </c>
      <c r="K396" s="22">
        <v>0</v>
      </c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  <c r="CY396" s="9"/>
      <c r="CZ396" s="9"/>
      <c r="DA396" s="9"/>
      <c r="DB396" s="9"/>
      <c r="DC396" s="9"/>
      <c r="DD396" s="9"/>
      <c r="DE396" s="9"/>
      <c r="DF396" s="9"/>
      <c r="DG396" s="9"/>
      <c r="DH396" s="9"/>
      <c r="DI396" s="9"/>
      <c r="DJ396" s="9"/>
      <c r="DK396" s="9"/>
      <c r="DL396" s="9"/>
      <c r="DM396" s="9"/>
      <c r="DN396" s="9"/>
      <c r="DO396" s="9"/>
      <c r="DP396" s="9"/>
      <c r="DQ396" s="9"/>
      <c r="DR396" s="9"/>
      <c r="DS396" s="9"/>
      <c r="DT396" s="9"/>
      <c r="DU396" s="9"/>
      <c r="DV396" s="9"/>
      <c r="DW396" s="9"/>
      <c r="DX396" s="9"/>
      <c r="DY396" s="9"/>
      <c r="DZ396" s="9"/>
      <c r="EA396" s="9"/>
      <c r="EB396" s="9"/>
      <c r="EC396" s="9"/>
      <c r="ED396" s="9"/>
      <c r="EE396" s="9"/>
      <c r="EF396" s="9"/>
      <c r="EG396" s="9"/>
      <c r="EH396" s="9"/>
      <c r="EI396" s="9"/>
      <c r="EJ396" s="9"/>
      <c r="EK396" s="9"/>
      <c r="EL396" s="9"/>
    </row>
    <row r="397" spans="1:142" x14ac:dyDescent="0.35">
      <c r="A397" s="9">
        <v>800230447</v>
      </c>
      <c r="B397" s="19">
        <v>7</v>
      </c>
      <c r="C397" s="9" t="str">
        <f>VLOOKUP(A397,'[1]terceros cto'!A$1:B$65536,2,0)</f>
        <v>SODEXO SAS</v>
      </c>
      <c r="D397" s="20" t="str">
        <f>VLOOKUP(C397,'[1]terceros cto'!B$1:F$65536,5,0)</f>
        <v>monsalve_9222@hotmail.com</v>
      </c>
      <c r="E397" s="21" t="s">
        <v>2252</v>
      </c>
      <c r="F397" s="9" t="str">
        <f>VLOOKUP(C397,'[1]terceros cto'!B$1:D$65536,3,0)</f>
        <v>AUTOPISTA NTE 114 44 PISO 5</v>
      </c>
      <c r="G397" s="21">
        <v>15516</v>
      </c>
      <c r="H397" s="9">
        <v>212</v>
      </c>
      <c r="I397" s="28">
        <v>1152730</v>
      </c>
      <c r="J397" s="29">
        <v>0</v>
      </c>
      <c r="K397" s="22">
        <v>0</v>
      </c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  <c r="CY397" s="9"/>
      <c r="CZ397" s="9"/>
      <c r="DA397" s="9"/>
      <c r="DB397" s="9"/>
      <c r="DC397" s="9"/>
      <c r="DD397" s="9"/>
      <c r="DE397" s="9"/>
      <c r="DF397" s="9"/>
      <c r="DG397" s="9"/>
      <c r="DH397" s="9"/>
      <c r="DI397" s="9"/>
      <c r="DJ397" s="9"/>
      <c r="DK397" s="9"/>
      <c r="DL397" s="9"/>
      <c r="DM397" s="9"/>
      <c r="DN397" s="9"/>
      <c r="DO397" s="9"/>
      <c r="DP397" s="9"/>
      <c r="DQ397" s="9"/>
      <c r="DR397" s="9"/>
      <c r="DS397" s="9"/>
      <c r="DT397" s="9"/>
      <c r="DU397" s="9"/>
      <c r="DV397" s="9"/>
      <c r="DW397" s="9"/>
      <c r="DX397" s="9"/>
      <c r="DY397" s="9"/>
      <c r="DZ397" s="9"/>
      <c r="EA397" s="9"/>
      <c r="EB397" s="9"/>
      <c r="EC397" s="9"/>
      <c r="ED397" s="9"/>
      <c r="EE397" s="9"/>
      <c r="EF397" s="9"/>
      <c r="EG397" s="9"/>
      <c r="EH397" s="9"/>
      <c r="EI397" s="9"/>
      <c r="EJ397" s="9"/>
      <c r="EK397" s="9"/>
      <c r="EL397" s="9"/>
    </row>
    <row r="398" spans="1:142" x14ac:dyDescent="0.35">
      <c r="A398" s="9">
        <v>800236984</v>
      </c>
      <c r="B398" s="19">
        <v>8</v>
      </c>
      <c r="C398" s="9" t="str">
        <f>VLOOKUP(A398,'[1]terceros cto'!A$1:B$65536,2,0)</f>
        <v>INSTITUCION EDUCATIVA TECNICA AGRICOLA EDUCATIVA TECNICA AGRICOLA</v>
      </c>
      <c r="D398" s="20" t="str">
        <f>VLOOKUP(C398,'[1]terceros cto'!B$1:F$65536,5,0)</f>
        <v>itadepaipa@gmail.com</v>
      </c>
      <c r="E398" s="21">
        <f>VLOOKUP(C398,'[1]terceros cto'!B$1:E$65536,4,0)</f>
        <v>3138311884</v>
      </c>
      <c r="F398" s="9" t="str">
        <f>VLOOKUP(C398,'[1]terceros cto'!B$1:D$65536,3,0)</f>
        <v>VEREDA EL SALITRE C_x000D_
VEREDA EL SALITRE</v>
      </c>
      <c r="G398" s="21">
        <v>15516</v>
      </c>
      <c r="H398" s="9">
        <v>212</v>
      </c>
      <c r="I398" s="30">
        <v>6804269</v>
      </c>
      <c r="J398" s="31">
        <v>0</v>
      </c>
      <c r="K398" s="22">
        <v>0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  <c r="CY398" s="9"/>
      <c r="CZ398" s="9"/>
      <c r="DA398" s="9"/>
      <c r="DB398" s="9"/>
      <c r="DC398" s="9"/>
      <c r="DD398" s="9"/>
      <c r="DE398" s="9"/>
      <c r="DF398" s="9"/>
      <c r="DG398" s="9"/>
      <c r="DH398" s="9"/>
      <c r="DI398" s="9"/>
      <c r="DJ398" s="9"/>
      <c r="DK398" s="9"/>
      <c r="DL398" s="9"/>
      <c r="DM398" s="9"/>
      <c r="DN398" s="9"/>
      <c r="DO398" s="9"/>
      <c r="DP398" s="9"/>
      <c r="DQ398" s="9"/>
      <c r="DR398" s="9"/>
      <c r="DS398" s="9"/>
      <c r="DT398" s="9"/>
      <c r="DU398" s="9"/>
      <c r="DV398" s="9"/>
      <c r="DW398" s="9"/>
      <c r="DX398" s="9"/>
      <c r="DY398" s="9"/>
      <c r="DZ398" s="9"/>
      <c r="EA398" s="9"/>
      <c r="EB398" s="9"/>
      <c r="EC398" s="9"/>
      <c r="ED398" s="9"/>
      <c r="EE398" s="9"/>
      <c r="EF398" s="9"/>
      <c r="EG398" s="9"/>
      <c r="EH398" s="9"/>
      <c r="EI398" s="9"/>
      <c r="EJ398" s="9"/>
      <c r="EK398" s="9"/>
      <c r="EL398" s="9"/>
    </row>
    <row r="399" spans="1:142" x14ac:dyDescent="0.35">
      <c r="A399" s="9">
        <v>80026166</v>
      </c>
      <c r="B399" s="19">
        <v>8</v>
      </c>
      <c r="C399" s="9" t="str">
        <f>VLOOKUP(A399,'[1]terceros cto'!A$1:B$65536,2,0)</f>
        <v>GONZALEZ DELGADO JULIO ROBERTO</v>
      </c>
      <c r="D399" s="20" t="str">
        <f>VLOOKUP(C399,'[1]terceros cto'!B$1:F$65536,5,0)</f>
        <v>jrgd2008@hotmail.com</v>
      </c>
      <c r="E399" s="21" t="s">
        <v>2252</v>
      </c>
      <c r="F399" s="9" t="str">
        <f>VLOOKUP(C399,'[1]terceros cto'!B$1:D$65536,3,0)</f>
        <v>PAIPA</v>
      </c>
      <c r="G399" s="21">
        <v>15516</v>
      </c>
      <c r="H399" s="9">
        <v>212</v>
      </c>
      <c r="I399" s="28">
        <v>95056</v>
      </c>
      <c r="J399" s="29">
        <v>0</v>
      </c>
      <c r="K399" s="22">
        <v>0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  <c r="CY399" s="9"/>
      <c r="CZ399" s="9"/>
      <c r="DA399" s="9"/>
      <c r="DB399" s="9"/>
      <c r="DC399" s="9"/>
      <c r="DD399" s="9"/>
      <c r="DE399" s="9"/>
      <c r="DF399" s="9"/>
      <c r="DG399" s="9"/>
      <c r="DH399" s="9"/>
      <c r="DI399" s="9"/>
      <c r="DJ399" s="9"/>
      <c r="DK399" s="9"/>
      <c r="DL399" s="9"/>
      <c r="DM399" s="9"/>
      <c r="DN399" s="9"/>
      <c r="DO399" s="9"/>
      <c r="DP399" s="9"/>
      <c r="DQ399" s="9"/>
      <c r="DR399" s="9"/>
      <c r="DS399" s="9"/>
      <c r="DT399" s="9"/>
      <c r="DU399" s="9"/>
      <c r="DV399" s="9"/>
      <c r="DW399" s="9"/>
      <c r="DX399" s="9"/>
      <c r="DY399" s="9"/>
      <c r="DZ399" s="9"/>
      <c r="EA399" s="9"/>
      <c r="EB399" s="9"/>
      <c r="EC399" s="9"/>
      <c r="ED399" s="9"/>
      <c r="EE399" s="9"/>
      <c r="EF399" s="9"/>
      <c r="EG399" s="9"/>
      <c r="EH399" s="9"/>
      <c r="EI399" s="9"/>
      <c r="EJ399" s="9"/>
      <c r="EK399" s="9"/>
      <c r="EL399" s="9"/>
    </row>
    <row r="400" spans="1:142" x14ac:dyDescent="0.35">
      <c r="A400" s="9">
        <v>80039731</v>
      </c>
      <c r="B400" s="19">
        <v>6</v>
      </c>
      <c r="C400" s="9" t="str">
        <f>VLOOKUP(A400,'[1]terceros cto'!A$1:B$65536,2,0)</f>
        <v>BEJARANO MORALES DAVID DAVID</v>
      </c>
      <c r="D400" s="20" t="str">
        <f>VLOOKUP(C400,'[1]terceros cto'!B$1:F$65536,5,0)</f>
        <v>cesarbejaranopremier@gmail.com</v>
      </c>
      <c r="E400" s="21" t="s">
        <v>2252</v>
      </c>
      <c r="F400" s="9" t="str">
        <f>VLOOKUP(C400,'[1]terceros cto'!B$1:D$65536,3,0)</f>
        <v>Paipa</v>
      </c>
      <c r="G400" s="21">
        <v>15516</v>
      </c>
      <c r="H400" s="9">
        <v>212</v>
      </c>
      <c r="I400" s="30">
        <v>145084</v>
      </c>
      <c r="J400" s="31">
        <v>0</v>
      </c>
      <c r="K400" s="22">
        <v>0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  <c r="CY400" s="9"/>
      <c r="CZ400" s="9"/>
      <c r="DA400" s="9"/>
      <c r="DB400" s="9"/>
      <c r="DC400" s="9"/>
      <c r="DD400" s="9"/>
      <c r="DE400" s="9"/>
      <c r="DF400" s="9"/>
      <c r="DG400" s="9"/>
      <c r="DH400" s="9"/>
      <c r="DI400" s="9"/>
      <c r="DJ400" s="9"/>
      <c r="DK400" s="9"/>
      <c r="DL400" s="9"/>
      <c r="DM400" s="9"/>
      <c r="DN400" s="9"/>
      <c r="DO400" s="9"/>
      <c r="DP400" s="9"/>
      <c r="DQ400" s="9"/>
      <c r="DR400" s="9"/>
      <c r="DS400" s="9"/>
      <c r="DT400" s="9"/>
      <c r="DU400" s="9"/>
      <c r="DV400" s="9"/>
      <c r="DW400" s="9"/>
      <c r="DX400" s="9"/>
      <c r="DY400" s="9"/>
      <c r="DZ400" s="9"/>
      <c r="EA400" s="9"/>
      <c r="EB400" s="9"/>
      <c r="EC400" s="9"/>
      <c r="ED400" s="9"/>
      <c r="EE400" s="9"/>
      <c r="EF400" s="9"/>
      <c r="EG400" s="9"/>
      <c r="EH400" s="9"/>
      <c r="EI400" s="9"/>
      <c r="EJ400" s="9"/>
      <c r="EK400" s="9"/>
      <c r="EL400" s="9"/>
    </row>
    <row r="401" spans="1:142" x14ac:dyDescent="0.35">
      <c r="A401" s="9">
        <v>80060108</v>
      </c>
      <c r="B401" s="19">
        <v>4</v>
      </c>
      <c r="C401" s="9" t="str">
        <f>VLOOKUP(A401,'[1]terceros cto'!A$1:B$65536,2,0)</f>
        <v>ROJAS PATIÑO JOHAN ANDRES</v>
      </c>
      <c r="D401" s="20" t="str">
        <f>VLOOKUP(C401,'[1]terceros cto'!B$1:F$65536,5,0)</f>
        <v>johanramirezconsultores@gmail.com</v>
      </c>
      <c r="E401" s="21" t="s">
        <v>2252</v>
      </c>
      <c r="F401" s="9" t="str">
        <f>VLOOKUP(C401,'[1]terceros cto'!B$1:D$65536,3,0)</f>
        <v>paipa</v>
      </c>
      <c r="G401" s="21">
        <v>15516</v>
      </c>
      <c r="H401" s="9">
        <v>212</v>
      </c>
      <c r="I401" s="28">
        <v>490826</v>
      </c>
      <c r="J401" s="29">
        <v>0</v>
      </c>
      <c r="K401" s="22">
        <v>0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  <c r="CY401" s="9"/>
      <c r="CZ401" s="9"/>
      <c r="DA401" s="9"/>
      <c r="DB401" s="9"/>
      <c r="DC401" s="9"/>
      <c r="DD401" s="9"/>
      <c r="DE401" s="9"/>
      <c r="DF401" s="9"/>
      <c r="DG401" s="9"/>
      <c r="DH401" s="9"/>
      <c r="DI401" s="9"/>
      <c r="DJ401" s="9"/>
      <c r="DK401" s="9"/>
      <c r="DL401" s="9"/>
      <c r="DM401" s="9"/>
      <c r="DN401" s="9"/>
      <c r="DO401" s="9"/>
      <c r="DP401" s="9"/>
      <c r="DQ401" s="9"/>
      <c r="DR401" s="9"/>
      <c r="DS401" s="9"/>
      <c r="DT401" s="9"/>
      <c r="DU401" s="9"/>
      <c r="DV401" s="9"/>
      <c r="DW401" s="9"/>
      <c r="DX401" s="9"/>
      <c r="DY401" s="9"/>
      <c r="DZ401" s="9"/>
      <c r="EA401" s="9"/>
      <c r="EB401" s="9"/>
      <c r="EC401" s="9"/>
      <c r="ED401" s="9"/>
      <c r="EE401" s="9"/>
      <c r="EF401" s="9"/>
      <c r="EG401" s="9"/>
      <c r="EH401" s="9"/>
      <c r="EI401" s="9"/>
      <c r="EJ401" s="9"/>
      <c r="EK401" s="9"/>
      <c r="EL401" s="9"/>
    </row>
    <row r="402" spans="1:142" x14ac:dyDescent="0.35">
      <c r="A402" s="9">
        <v>80074406</v>
      </c>
      <c r="B402" s="19">
        <v>5</v>
      </c>
      <c r="C402" s="9" t="str">
        <f>VLOOKUP(A402,'[1]terceros cto'!A$1:B$65536,2,0)</f>
        <v>CHICUASUQUE RAMIREZ JOSE LEONARDO</v>
      </c>
      <c r="D402" s="20" t="str">
        <f>VLOOKUP(C402,'[1]terceros cto'!B$1:F$65536,5,0)</f>
        <v>melkor588@hotmail.com</v>
      </c>
      <c r="E402" s="21" t="s">
        <v>2252</v>
      </c>
      <c r="F402" s="9" t="str">
        <f>VLOOKUP(C402,'[1]terceros cto'!B$1:D$65536,3,0)</f>
        <v>Paipa</v>
      </c>
      <c r="G402" s="21">
        <v>15516</v>
      </c>
      <c r="H402" s="9">
        <v>212</v>
      </c>
      <c r="I402" s="30">
        <v>60000</v>
      </c>
      <c r="J402" s="31">
        <v>0</v>
      </c>
      <c r="K402" s="22">
        <v>0</v>
      </c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  <c r="CY402" s="9"/>
      <c r="CZ402" s="9"/>
      <c r="DA402" s="9"/>
      <c r="DB402" s="9"/>
      <c r="DC402" s="9"/>
      <c r="DD402" s="9"/>
      <c r="DE402" s="9"/>
      <c r="DF402" s="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x14ac:dyDescent="0.35">
      <c r="A403" s="9">
        <v>80085026</v>
      </c>
      <c r="B403" s="19">
        <v>7</v>
      </c>
      <c r="C403" s="9" t="str">
        <f>VLOOKUP(A403,'[1]terceros cto'!A$1:B$65536,2,0)</f>
        <v>SANCHEZ  OSWALDO VANEGAS</v>
      </c>
      <c r="D403" s="20" t="str">
        <f>VLOOKUP(C403,'[1]terceros cto'!B$1:F$65536,5,0)</f>
        <v>oswaldo_vanegas@hotmail.com</v>
      </c>
      <c r="E403" s="21" t="s">
        <v>2252</v>
      </c>
      <c r="F403" s="9" t="str">
        <f>VLOOKUP(C403,'[1]terceros cto'!B$1:D$65536,3,0)</f>
        <v>Paipa</v>
      </c>
      <c r="G403" s="21">
        <v>15516</v>
      </c>
      <c r="H403" s="9">
        <v>212</v>
      </c>
      <c r="I403" s="28">
        <v>240797</v>
      </c>
      <c r="J403" s="29">
        <v>0</v>
      </c>
      <c r="K403" s="22">
        <v>0</v>
      </c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  <c r="CY403" s="9"/>
      <c r="CZ403" s="9"/>
      <c r="DA403" s="9"/>
      <c r="DB403" s="9"/>
      <c r="DC403" s="9"/>
      <c r="DD403" s="9"/>
      <c r="DE403" s="9"/>
      <c r="DF403" s="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x14ac:dyDescent="0.35">
      <c r="A404" s="9">
        <v>801002903</v>
      </c>
      <c r="B404" s="19">
        <v>0</v>
      </c>
      <c r="C404" s="9" t="str">
        <f>VLOOKUP(A404,'[1]terceros cto'!A$1:B$65536,2,0)</f>
        <v>FUNDAPANACA</v>
      </c>
      <c r="D404" s="20" t="str">
        <f>VLOOKUP(C404,'[1]terceros cto'!B$1:F$65536,5,0)</f>
        <v>fundapanaca@panaca.co</v>
      </c>
      <c r="E404" s="21" t="s">
        <v>2252</v>
      </c>
      <c r="F404" s="9" t="str">
        <f>VLOOKUP(C404,'[1]terceros cto'!B$1:D$65536,3,0)</f>
        <v>Paipa</v>
      </c>
      <c r="G404" s="21">
        <v>15516</v>
      </c>
      <c r="H404" s="9">
        <v>212</v>
      </c>
      <c r="I404" s="30">
        <v>129991</v>
      </c>
      <c r="J404" s="31">
        <v>0</v>
      </c>
      <c r="K404" s="22">
        <v>0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  <c r="CY404" s="9"/>
      <c r="CZ404" s="9"/>
      <c r="DA404" s="9"/>
      <c r="DB404" s="9"/>
      <c r="DC404" s="9"/>
      <c r="DD404" s="9"/>
      <c r="DE404" s="9"/>
      <c r="DF404" s="9"/>
      <c r="DG404" s="9"/>
      <c r="DH404" s="9"/>
      <c r="DI404" s="9"/>
      <c r="DJ404" s="9"/>
      <c r="DK404" s="9"/>
      <c r="DL404" s="9"/>
      <c r="DM404" s="9"/>
      <c r="DN404" s="9"/>
      <c r="DO404" s="9"/>
      <c r="DP404" s="9"/>
      <c r="DQ404" s="9"/>
      <c r="DR404" s="9"/>
      <c r="DS404" s="9"/>
      <c r="DT404" s="9"/>
      <c r="DU404" s="9"/>
      <c r="DV404" s="9"/>
      <c r="DW404" s="9"/>
      <c r="DX404" s="9"/>
      <c r="DY404" s="9"/>
      <c r="DZ404" s="9"/>
      <c r="EA404" s="9"/>
      <c r="EB404" s="9"/>
      <c r="EC404" s="9"/>
      <c r="ED404" s="9"/>
      <c r="EE404" s="9"/>
      <c r="EF404" s="9"/>
      <c r="EG404" s="9"/>
      <c r="EH404" s="9"/>
      <c r="EI404" s="9"/>
      <c r="EJ404" s="9"/>
      <c r="EK404" s="9"/>
      <c r="EL404" s="9"/>
    </row>
    <row r="405" spans="1:142" x14ac:dyDescent="0.35">
      <c r="A405" s="9">
        <v>801004383</v>
      </c>
      <c r="B405" s="19">
        <v>1</v>
      </c>
      <c r="C405" s="9" t="str">
        <f>VLOOKUP(A405,'[1]terceros cto'!A$1:B$65536,2,0)</f>
        <v>INGENIERIA SERVICIOS Y SOLUCIONES A</v>
      </c>
      <c r="D405" s="20" t="str">
        <f>VLOOKUP(C405,'[1]terceros cto'!B$1:F$65536,5,0)</f>
        <v>facturacion@abbi.com.co</v>
      </c>
      <c r="E405" s="21" t="s">
        <v>2252</v>
      </c>
      <c r="F405" s="9" t="str">
        <f>VLOOKUP(C405,'[1]terceros cto'!B$1:D$65536,3,0)</f>
        <v>bambusa</v>
      </c>
      <c r="G405" s="21">
        <v>15516</v>
      </c>
      <c r="H405" s="9">
        <v>212</v>
      </c>
      <c r="I405" s="28">
        <v>20000</v>
      </c>
      <c r="J405" s="29">
        <v>0</v>
      </c>
      <c r="K405" s="22">
        <v>0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  <c r="CZ405" s="9"/>
      <c r="DA405" s="9"/>
      <c r="DB405" s="9"/>
      <c r="DC405" s="9"/>
      <c r="DD405" s="9"/>
      <c r="DE405" s="9"/>
      <c r="DF405" s="9"/>
      <c r="DG405" s="9"/>
      <c r="DH405" s="9"/>
      <c r="DI405" s="9"/>
      <c r="DJ405" s="9"/>
      <c r="DK405" s="9"/>
      <c r="DL405" s="9"/>
      <c r="DM405" s="9"/>
      <c r="DN405" s="9"/>
      <c r="DO405" s="9"/>
      <c r="DP405" s="9"/>
      <c r="DQ405" s="9"/>
      <c r="DR405" s="9"/>
      <c r="DS405" s="9"/>
      <c r="DT405" s="9"/>
      <c r="DU405" s="9"/>
      <c r="DV405" s="9"/>
      <c r="DW405" s="9"/>
      <c r="DX405" s="9"/>
      <c r="DY405" s="9"/>
      <c r="DZ405" s="9"/>
      <c r="EA405" s="9"/>
      <c r="EB405" s="9"/>
      <c r="EC405" s="9"/>
      <c r="ED405" s="9"/>
      <c r="EE405" s="9"/>
      <c r="EF405" s="9"/>
      <c r="EG405" s="9"/>
      <c r="EH405" s="9"/>
      <c r="EI405" s="9"/>
      <c r="EJ405" s="9"/>
      <c r="EK405" s="9"/>
      <c r="EL405" s="9"/>
    </row>
    <row r="406" spans="1:142" x14ac:dyDescent="0.35">
      <c r="A406" s="9">
        <v>80159932</v>
      </c>
      <c r="B406" s="19">
        <v>4</v>
      </c>
      <c r="C406" s="9" t="str">
        <f>VLOOKUP(A406,'[1]terceros cto'!A$1:B$65536,2,0)</f>
        <v>ROMERO BUITRAGO RICHARD GEOVANI</v>
      </c>
      <c r="D406" s="20" t="str">
        <f>VLOOKUP(C406,'[1]terceros cto'!B$1:F$65536,5,0)</f>
        <v>dr.rromeromvz@gmail.com</v>
      </c>
      <c r="E406" s="21" t="s">
        <v>2252</v>
      </c>
      <c r="F406" s="9" t="str">
        <f>VLOOKUP(C406,'[1]terceros cto'!B$1:D$65536,3,0)</f>
        <v>Paipa</v>
      </c>
      <c r="G406" s="21">
        <v>15516</v>
      </c>
      <c r="H406" s="9">
        <v>212</v>
      </c>
      <c r="I406" s="30">
        <v>30000</v>
      </c>
      <c r="J406" s="31">
        <v>0</v>
      </c>
      <c r="K406" s="22">
        <v>0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  <c r="CY406" s="9"/>
      <c r="CZ406" s="9"/>
      <c r="DA406" s="9"/>
      <c r="DB406" s="9"/>
      <c r="DC406" s="9"/>
      <c r="DD406" s="9"/>
      <c r="DE406" s="9"/>
      <c r="DF406" s="9"/>
      <c r="DG406" s="9"/>
      <c r="DH406" s="9"/>
      <c r="DI406" s="9"/>
      <c r="DJ406" s="9"/>
      <c r="DK406" s="9"/>
      <c r="DL406" s="9"/>
      <c r="DM406" s="9"/>
      <c r="DN406" s="9"/>
      <c r="DO406" s="9"/>
      <c r="DP406" s="9"/>
      <c r="DQ406" s="9"/>
      <c r="DR406" s="9"/>
      <c r="DS406" s="9"/>
      <c r="DT406" s="9"/>
      <c r="DU406" s="9"/>
      <c r="DV406" s="9"/>
      <c r="DW406" s="9"/>
      <c r="DX406" s="9"/>
      <c r="DY406" s="9"/>
      <c r="DZ406" s="9"/>
      <c r="EA406" s="9"/>
      <c r="EB406" s="9"/>
      <c r="EC406" s="9"/>
      <c r="ED406" s="9"/>
      <c r="EE406" s="9"/>
      <c r="EF406" s="9"/>
      <c r="EG406" s="9"/>
      <c r="EH406" s="9"/>
      <c r="EI406" s="9"/>
      <c r="EJ406" s="9"/>
      <c r="EK406" s="9"/>
      <c r="EL406" s="9"/>
    </row>
    <row r="407" spans="1:142" x14ac:dyDescent="0.35">
      <c r="A407" s="9">
        <v>80175503</v>
      </c>
      <c r="B407" s="19">
        <v>5</v>
      </c>
      <c r="C407" s="9" t="str">
        <f>VLOOKUP(A407,'[1]terceros cto'!A$1:B$65536,2,0)</f>
        <v>BENAVIDES SILVA WILLIAM YESID</v>
      </c>
      <c r="D407" s="20" t="str">
        <f>VLOOKUP(C407,'[1]terceros cto'!B$1:F$65536,5,0)</f>
        <v>willibs18@gmail.com</v>
      </c>
      <c r="E407" s="21" t="s">
        <v>2252</v>
      </c>
      <c r="F407" s="9" t="str">
        <f>VLOOKUP(C407,'[1]terceros cto'!B$1:D$65536,3,0)</f>
        <v>PAIPA</v>
      </c>
      <c r="G407" s="21">
        <v>15516</v>
      </c>
      <c r="H407" s="9">
        <v>212</v>
      </c>
      <c r="I407" s="28">
        <v>2170027</v>
      </c>
      <c r="J407" s="29">
        <v>0</v>
      </c>
      <c r="K407" s="22">
        <v>0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  <c r="CY407" s="9"/>
      <c r="CZ407" s="9"/>
      <c r="DA407" s="9"/>
      <c r="DB407" s="9"/>
      <c r="DC407" s="9"/>
      <c r="DD407" s="9"/>
      <c r="DE407" s="9"/>
      <c r="DF407" s="9"/>
      <c r="DG407" s="9"/>
      <c r="DH407" s="9"/>
      <c r="DI407" s="9"/>
      <c r="DJ407" s="9"/>
      <c r="DK407" s="9"/>
      <c r="DL407" s="9"/>
      <c r="DM407" s="9"/>
      <c r="DN407" s="9"/>
      <c r="DO407" s="9"/>
      <c r="DP407" s="9"/>
      <c r="DQ407" s="9"/>
      <c r="DR407" s="9"/>
      <c r="DS407" s="9"/>
      <c r="DT407" s="9"/>
      <c r="DU407" s="9"/>
      <c r="DV407" s="9"/>
      <c r="DW407" s="9"/>
      <c r="DX407" s="9"/>
      <c r="DY407" s="9"/>
      <c r="DZ407" s="9"/>
      <c r="EA407" s="9"/>
      <c r="EB407" s="9"/>
      <c r="EC407" s="9"/>
      <c r="ED407" s="9"/>
      <c r="EE407" s="9"/>
      <c r="EF407" s="9"/>
      <c r="EG407" s="9"/>
      <c r="EH407" s="9"/>
      <c r="EI407" s="9"/>
      <c r="EJ407" s="9"/>
      <c r="EK407" s="9"/>
      <c r="EL407" s="9"/>
    </row>
    <row r="408" spans="1:142" x14ac:dyDescent="0.35">
      <c r="A408" s="9">
        <v>80180625</v>
      </c>
      <c r="B408" s="19">
        <v>5</v>
      </c>
      <c r="C408" s="9" t="str">
        <f>VLOOKUP(A408,'[1]terceros cto'!A$1:B$65536,2,0)</f>
        <v>CLAVIJO  FELIPE ROA</v>
      </c>
      <c r="D408" s="20" t="str">
        <f>VLOOKUP(C408,'[1]terceros cto'!B$1:F$65536,5,0)</f>
        <v>feliperoaclavijo@gmail.com</v>
      </c>
      <c r="E408" s="21" t="s">
        <v>2252</v>
      </c>
      <c r="F408" s="9" t="str">
        <f>VLOOKUP(C408,'[1]terceros cto'!B$1:D$65536,3,0)</f>
        <v>Paipa</v>
      </c>
      <c r="G408" s="21">
        <v>15516</v>
      </c>
      <c r="H408" s="9">
        <v>212</v>
      </c>
      <c r="I408" s="30">
        <v>145956</v>
      </c>
      <c r="J408" s="31">
        <v>0</v>
      </c>
      <c r="K408" s="22">
        <v>0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  <c r="CY408" s="9"/>
      <c r="CZ408" s="9"/>
      <c r="DA408" s="9"/>
      <c r="DB408" s="9"/>
      <c r="DC408" s="9"/>
      <c r="DD408" s="9"/>
      <c r="DE408" s="9"/>
      <c r="DF408" s="9"/>
      <c r="DG408" s="9"/>
      <c r="DH408" s="9"/>
      <c r="DI408" s="9"/>
      <c r="DJ408" s="9"/>
      <c r="DK408" s="9"/>
      <c r="DL408" s="9"/>
      <c r="DM408" s="9"/>
      <c r="DN408" s="9"/>
      <c r="DO408" s="9"/>
      <c r="DP408" s="9"/>
      <c r="DQ408" s="9"/>
      <c r="DR408" s="9"/>
      <c r="DS408" s="9"/>
      <c r="DT408" s="9"/>
      <c r="DU408" s="9"/>
      <c r="DV408" s="9"/>
      <c r="DW408" s="9"/>
      <c r="DX408" s="9"/>
      <c r="DY408" s="9"/>
      <c r="DZ408" s="9"/>
      <c r="EA408" s="9"/>
      <c r="EB408" s="9"/>
      <c r="EC408" s="9"/>
      <c r="ED408" s="9"/>
      <c r="EE408" s="9"/>
      <c r="EF408" s="9"/>
      <c r="EG408" s="9"/>
      <c r="EH408" s="9"/>
      <c r="EI408" s="9"/>
      <c r="EJ408" s="9"/>
      <c r="EK408" s="9"/>
      <c r="EL408" s="9"/>
    </row>
    <row r="409" spans="1:142" x14ac:dyDescent="0.35">
      <c r="A409" s="9">
        <v>80186268</v>
      </c>
      <c r="B409" s="19">
        <v>6</v>
      </c>
      <c r="C409" s="9" t="str">
        <f>VLOOKUP(A409,'[1]terceros cto'!A$1:B$65536,2,0)</f>
        <v>FUENTES MONTOYA JOSE ALEXANDER</v>
      </c>
      <c r="D409" s="20" t="str">
        <f>VLOOKUP(C409,'[1]terceros cto'!B$1:F$65536,5,0)</f>
        <v>lordalexone@gmail.com</v>
      </c>
      <c r="E409" s="21" t="s">
        <v>2252</v>
      </c>
      <c r="F409" s="9" t="str">
        <f>VLOOKUP(C409,'[1]terceros cto'!B$1:D$65536,3,0)</f>
        <v>Paipa</v>
      </c>
      <c r="G409" s="21">
        <v>15516</v>
      </c>
      <c r="H409" s="9">
        <v>212</v>
      </c>
      <c r="I409" s="28">
        <v>214103</v>
      </c>
      <c r="J409" s="29">
        <v>0</v>
      </c>
      <c r="K409" s="22">
        <v>0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  <c r="CY409" s="9"/>
      <c r="CZ409" s="9"/>
      <c r="DA409" s="9"/>
      <c r="DB409" s="9"/>
      <c r="DC409" s="9"/>
      <c r="DD409" s="9"/>
      <c r="DE409" s="9"/>
      <c r="DF409" s="9"/>
      <c r="DG409" s="9"/>
      <c r="DH409" s="9"/>
      <c r="DI409" s="9"/>
      <c r="DJ409" s="9"/>
      <c r="DK409" s="9"/>
      <c r="DL409" s="9"/>
      <c r="DM409" s="9"/>
      <c r="DN409" s="9"/>
      <c r="DO409" s="9"/>
      <c r="DP409" s="9"/>
      <c r="DQ409" s="9"/>
      <c r="DR409" s="9"/>
      <c r="DS409" s="9"/>
      <c r="DT409" s="9"/>
      <c r="DU409" s="9"/>
      <c r="DV409" s="9"/>
      <c r="DW409" s="9"/>
      <c r="DX409" s="9"/>
      <c r="DY409" s="9"/>
      <c r="DZ409" s="9"/>
      <c r="EA409" s="9"/>
      <c r="EB409" s="9"/>
      <c r="EC409" s="9"/>
      <c r="ED409" s="9"/>
      <c r="EE409" s="9"/>
      <c r="EF409" s="9"/>
      <c r="EG409" s="9"/>
      <c r="EH409" s="9"/>
      <c r="EI409" s="9"/>
      <c r="EJ409" s="9"/>
      <c r="EK409" s="9"/>
      <c r="EL409" s="9"/>
    </row>
    <row r="410" spans="1:142" x14ac:dyDescent="0.35">
      <c r="A410" s="9">
        <v>80187229</v>
      </c>
      <c r="B410" s="19">
        <v>3</v>
      </c>
      <c r="C410" s="9" t="str">
        <f>VLOOKUP(A410,'[1]terceros cto'!A$1:B$65536,2,0)</f>
        <v>YOMAYUZA ROJAS DIEGO ALEXANDER</v>
      </c>
      <c r="D410" s="20" t="str">
        <f>VLOOKUP(C410,'[1]terceros cto'!B$1:F$65536,5,0)</f>
        <v>alexandery25@hotmail.com</v>
      </c>
      <c r="E410" s="21" t="s">
        <v>2252</v>
      </c>
      <c r="F410" s="9" t="str">
        <f>VLOOKUP(C410,'[1]terceros cto'!B$1:D$65536,3,0)</f>
        <v>Paipa</v>
      </c>
      <c r="G410" s="21">
        <v>15516</v>
      </c>
      <c r="H410" s="9">
        <v>212</v>
      </c>
      <c r="I410" s="30">
        <v>80000</v>
      </c>
      <c r="J410" s="31">
        <v>0</v>
      </c>
      <c r="K410" s="22">
        <v>0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  <c r="CY410" s="9"/>
      <c r="CZ410" s="9"/>
      <c r="DA410" s="9"/>
      <c r="DB410" s="9"/>
      <c r="DC410" s="9"/>
      <c r="DD410" s="9"/>
      <c r="DE410" s="9"/>
      <c r="DF410" s="9"/>
      <c r="DG410" s="9"/>
      <c r="DH410" s="9"/>
      <c r="DI410" s="9"/>
      <c r="DJ410" s="9"/>
      <c r="DK410" s="9"/>
      <c r="DL410" s="9"/>
      <c r="DM410" s="9"/>
      <c r="DN410" s="9"/>
      <c r="DO410" s="9"/>
      <c r="DP410" s="9"/>
      <c r="DQ410" s="9"/>
      <c r="DR410" s="9"/>
      <c r="DS410" s="9"/>
      <c r="DT410" s="9"/>
      <c r="DU410" s="9"/>
      <c r="DV410" s="9"/>
      <c r="DW410" s="9"/>
      <c r="DX410" s="9"/>
      <c r="DY410" s="9"/>
      <c r="DZ410" s="9"/>
      <c r="EA410" s="9"/>
      <c r="EB410" s="9"/>
      <c r="EC410" s="9"/>
      <c r="ED410" s="9"/>
      <c r="EE410" s="9"/>
      <c r="EF410" s="9"/>
      <c r="EG410" s="9"/>
      <c r="EH410" s="9"/>
      <c r="EI410" s="9"/>
      <c r="EJ410" s="9"/>
      <c r="EK410" s="9"/>
      <c r="EL410" s="9"/>
    </row>
    <row r="411" spans="1:142" x14ac:dyDescent="0.35">
      <c r="A411" s="9">
        <v>80399123</v>
      </c>
      <c r="B411" s="19">
        <v>1</v>
      </c>
      <c r="C411" s="9" t="str">
        <f>VLOOKUP(A411,'[1]terceros cto'!A$1:B$65536,2,0)</f>
        <v>ORTEGA CASTAÑEDA SERGIO ENRIQUE</v>
      </c>
      <c r="D411" s="20" t="str">
        <f>VLOOKUP(C411,'[1]terceros cto'!B$1:F$65536,5,0)</f>
        <v>tallerdearteintegralso@gmail.com</v>
      </c>
      <c r="E411" s="21" t="s">
        <v>2252</v>
      </c>
      <c r="F411" s="9" t="str">
        <f>VLOOKUP(C411,'[1]terceros cto'!B$1:D$65536,3,0)</f>
        <v>Paipa</v>
      </c>
      <c r="G411" s="21">
        <v>15516</v>
      </c>
      <c r="H411" s="9">
        <v>212</v>
      </c>
      <c r="I411" s="28">
        <v>170031</v>
      </c>
      <c r="J411" s="29">
        <v>0</v>
      </c>
      <c r="K411" s="22">
        <v>0</v>
      </c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  <c r="CY411" s="9"/>
      <c r="CZ411" s="9"/>
      <c r="DA411" s="9"/>
      <c r="DB411" s="9"/>
      <c r="DC411" s="9"/>
      <c r="DD411" s="9"/>
      <c r="DE411" s="9"/>
      <c r="DF411" s="9"/>
      <c r="DG411" s="9"/>
      <c r="DH411" s="9"/>
      <c r="DI411" s="9"/>
      <c r="DJ411" s="9"/>
      <c r="DK411" s="9"/>
      <c r="DL411" s="9"/>
      <c r="DM411" s="9"/>
      <c r="DN411" s="9"/>
      <c r="DO411" s="9"/>
      <c r="DP411" s="9"/>
      <c r="DQ411" s="9"/>
      <c r="DR411" s="9"/>
      <c r="DS411" s="9"/>
      <c r="DT411" s="9"/>
      <c r="DU411" s="9"/>
      <c r="DV411" s="9"/>
      <c r="DW411" s="9"/>
      <c r="DX411" s="9"/>
      <c r="DY411" s="9"/>
      <c r="DZ411" s="9"/>
      <c r="EA411" s="9"/>
      <c r="EB411" s="9"/>
      <c r="EC411" s="9"/>
      <c r="ED411" s="9"/>
      <c r="EE411" s="9"/>
      <c r="EF411" s="9"/>
      <c r="EG411" s="9"/>
      <c r="EH411" s="9"/>
      <c r="EI411" s="9"/>
      <c r="EJ411" s="9"/>
      <c r="EK411" s="9"/>
      <c r="EL411" s="9"/>
    </row>
    <row r="412" spans="1:142" x14ac:dyDescent="0.35">
      <c r="A412" s="9">
        <v>804002840</v>
      </c>
      <c r="B412" s="19">
        <v>6</v>
      </c>
      <c r="C412" s="9" t="str">
        <f>VLOOKUP(A412,'[1]terceros cto'!A$1:B$65536,2,0)</f>
        <v>SD SAS</v>
      </c>
      <c r="D412" s="20" t="str">
        <f>VLOOKUP(C412,'[1]terceros cto'!B$1:F$65536,5,0)</f>
        <v>facturacion@sdsas.net</v>
      </c>
      <c r="E412" s="21" t="s">
        <v>2252</v>
      </c>
      <c r="F412" s="9" t="str">
        <f>VLOOKUP(C412,'[1]terceros cto'!B$1:D$65536,3,0)</f>
        <v>KM 4 AUT PTA F BANCA ENTRADA EVENTO</v>
      </c>
      <c r="G412" s="21">
        <v>15516</v>
      </c>
      <c r="H412" s="9">
        <v>212</v>
      </c>
      <c r="I412" s="30">
        <v>113166</v>
      </c>
      <c r="J412" s="31">
        <v>0</v>
      </c>
      <c r="K412" s="22">
        <v>0</v>
      </c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  <c r="CY412" s="9"/>
      <c r="CZ412" s="9"/>
      <c r="DA412" s="9"/>
      <c r="DB412" s="9"/>
      <c r="DC412" s="9"/>
      <c r="DD412" s="9"/>
      <c r="DE412" s="9"/>
      <c r="DF412" s="9"/>
      <c r="DG412" s="9"/>
      <c r="DH412" s="9"/>
      <c r="DI412" s="9"/>
      <c r="DJ412" s="9"/>
      <c r="DK412" s="9"/>
      <c r="DL412" s="9"/>
      <c r="DM412" s="9"/>
      <c r="DN412" s="9"/>
      <c r="DO412" s="9"/>
      <c r="DP412" s="9"/>
      <c r="DQ412" s="9"/>
      <c r="DR412" s="9"/>
      <c r="DS412" s="9"/>
      <c r="DT412" s="9"/>
      <c r="DU412" s="9"/>
      <c r="DV412" s="9"/>
      <c r="DW412" s="9"/>
      <c r="DX412" s="9"/>
      <c r="DY412" s="9"/>
      <c r="DZ412" s="9"/>
      <c r="EA412" s="9"/>
      <c r="EB412" s="9"/>
      <c r="EC412" s="9"/>
      <c r="ED412" s="9"/>
      <c r="EE412" s="9"/>
      <c r="EF412" s="9"/>
      <c r="EG412" s="9"/>
      <c r="EH412" s="9"/>
      <c r="EI412" s="9"/>
      <c r="EJ412" s="9"/>
      <c r="EK412" s="9"/>
      <c r="EL412" s="9"/>
    </row>
    <row r="413" spans="1:142" x14ac:dyDescent="0.35">
      <c r="A413" s="9">
        <v>804011804</v>
      </c>
      <c r="B413" s="19">
        <v>9</v>
      </c>
      <c r="C413" s="9" t="str">
        <f>VLOOKUP(A413,'[1]terceros cto'!A$1:B$65536,2,0)</f>
        <v>COPOWER LTDA</v>
      </c>
      <c r="D413" s="20" t="str">
        <f>VLOOKUP(C413,'[1]terceros cto'!B$1:F$65536,5,0)</f>
        <v>facturacionelectronica@copower.com.co</v>
      </c>
      <c r="E413" s="21" t="s">
        <v>2252</v>
      </c>
      <c r="F413" s="9" t="str">
        <f>VLOOKUP(C413,'[1]terceros cto'!B$1:D$65536,3,0)</f>
        <v>Paipa</v>
      </c>
      <c r="G413" s="21">
        <v>15516</v>
      </c>
      <c r="H413" s="9">
        <v>212</v>
      </c>
      <c r="I413" s="28">
        <v>1324928</v>
      </c>
      <c r="J413" s="29">
        <v>0</v>
      </c>
      <c r="K413" s="22">
        <v>0</v>
      </c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  <c r="CQ413" s="9"/>
      <c r="CR413" s="9"/>
      <c r="CS413" s="9"/>
      <c r="CT413" s="9"/>
      <c r="CU413" s="9"/>
      <c r="CV413" s="9"/>
      <c r="CW413" s="9"/>
      <c r="CX413" s="9"/>
      <c r="CY413" s="9"/>
      <c r="CZ413" s="9"/>
      <c r="DA413" s="9"/>
      <c r="DB413" s="9"/>
      <c r="DC413" s="9"/>
      <c r="DD413" s="9"/>
      <c r="DE413" s="9"/>
      <c r="DF413" s="9"/>
      <c r="DG413" s="9"/>
      <c r="DH413" s="9"/>
      <c r="DI413" s="9"/>
      <c r="DJ413" s="9"/>
      <c r="DK413" s="9"/>
      <c r="DL413" s="9"/>
      <c r="DM413" s="9"/>
      <c r="DN413" s="9"/>
      <c r="DO413" s="9"/>
      <c r="DP413" s="9"/>
      <c r="DQ413" s="9"/>
      <c r="DR413" s="9"/>
      <c r="DS413" s="9"/>
      <c r="DT413" s="9"/>
      <c r="DU413" s="9"/>
      <c r="DV413" s="9"/>
      <c r="DW413" s="9"/>
      <c r="DX413" s="9"/>
      <c r="DY413" s="9"/>
      <c r="DZ413" s="9"/>
      <c r="EA413" s="9"/>
      <c r="EB413" s="9"/>
      <c r="EC413" s="9"/>
      <c r="ED413" s="9"/>
      <c r="EE413" s="9"/>
      <c r="EF413" s="9"/>
      <c r="EG413" s="9"/>
      <c r="EH413" s="9"/>
      <c r="EI413" s="9"/>
      <c r="EJ413" s="9"/>
      <c r="EK413" s="9"/>
      <c r="EL413" s="9"/>
    </row>
    <row r="414" spans="1:142" x14ac:dyDescent="0.35">
      <c r="A414" s="9">
        <v>80414831</v>
      </c>
      <c r="B414" s="19">
        <v>2</v>
      </c>
      <c r="C414" s="9" t="str">
        <f>VLOOKUP(A414,'[1]terceros cto'!A$1:B$65536,2,0)</f>
        <v>VELA JIMENEZ JUAN FERNANDO</v>
      </c>
      <c r="D414" s="20" t="str">
        <f>VLOOKUP(C414,'[1]terceros cto'!B$1:F$65536,5,0)</f>
        <v>hoaniwera@yahoo.com</v>
      </c>
      <c r="E414" s="21" t="s">
        <v>2252</v>
      </c>
      <c r="F414" s="9" t="str">
        <f>VLOOKUP(C414,'[1]terceros cto'!B$1:D$65536,3,0)</f>
        <v>Paipa</v>
      </c>
      <c r="G414" s="21">
        <v>15516</v>
      </c>
      <c r="H414" s="9">
        <v>212</v>
      </c>
      <c r="I414" s="30">
        <v>110106</v>
      </c>
      <c r="J414" s="31">
        <v>0</v>
      </c>
      <c r="K414" s="22">
        <v>0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  <c r="CQ414" s="9"/>
      <c r="CR414" s="9"/>
      <c r="CS414" s="9"/>
      <c r="CT414" s="9"/>
      <c r="CU414" s="9"/>
      <c r="CV414" s="9"/>
      <c r="CW414" s="9"/>
      <c r="CX414" s="9"/>
      <c r="CY414" s="9"/>
      <c r="CZ414" s="9"/>
      <c r="DA414" s="9"/>
      <c r="DB414" s="9"/>
      <c r="DC414" s="9"/>
      <c r="DD414" s="9"/>
      <c r="DE414" s="9"/>
      <c r="DF414" s="9"/>
      <c r="DG414" s="9"/>
      <c r="DH414" s="9"/>
      <c r="DI414" s="9"/>
      <c r="DJ414" s="9"/>
      <c r="DK414" s="9"/>
      <c r="DL414" s="9"/>
      <c r="DM414" s="9"/>
      <c r="DN414" s="9"/>
      <c r="DO414" s="9"/>
      <c r="DP414" s="9"/>
      <c r="DQ414" s="9"/>
      <c r="DR414" s="9"/>
      <c r="DS414" s="9"/>
      <c r="DT414" s="9"/>
      <c r="DU414" s="9"/>
      <c r="DV414" s="9"/>
      <c r="DW414" s="9"/>
      <c r="DX414" s="9"/>
      <c r="DY414" s="9"/>
      <c r="DZ414" s="9"/>
      <c r="EA414" s="9"/>
      <c r="EB414" s="9"/>
      <c r="EC414" s="9"/>
      <c r="ED414" s="9"/>
      <c r="EE414" s="9"/>
      <c r="EF414" s="9"/>
      <c r="EG414" s="9"/>
      <c r="EH414" s="9"/>
      <c r="EI414" s="9"/>
      <c r="EJ414" s="9"/>
      <c r="EK414" s="9"/>
      <c r="EL414" s="9"/>
    </row>
    <row r="415" spans="1:142" x14ac:dyDescent="0.35">
      <c r="A415" s="9">
        <v>805017153</v>
      </c>
      <c r="B415" s="19">
        <v>3</v>
      </c>
      <c r="C415" s="9" t="str">
        <f>VLOOKUP(A415,'[1]terceros cto'!A$1:B$65536,2,0)</f>
        <v>INVERSIONES DIOMARDI SAS</v>
      </c>
      <c r="D415" s="20" t="str">
        <f>VLOOKUP(C415,'[1]terceros cto'!B$1:F$65536,5,0)</f>
        <v>cartera1@losreblujosdepati.com</v>
      </c>
      <c r="E415" s="21" t="s">
        <v>2252</v>
      </c>
      <c r="F415" s="9" t="str">
        <f>VLOOKUP(C415,'[1]terceros cto'!B$1:D$65536,3,0)</f>
        <v>Calle5#46/83</v>
      </c>
      <c r="G415" s="21">
        <v>15516</v>
      </c>
      <c r="H415" s="9">
        <v>212</v>
      </c>
      <c r="I415" s="28">
        <v>310124</v>
      </c>
      <c r="J415" s="29">
        <v>0</v>
      </c>
      <c r="K415" s="22">
        <v>0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  <c r="CO415" s="9"/>
      <c r="CP415" s="9"/>
      <c r="CQ415" s="9"/>
      <c r="CR415" s="9"/>
      <c r="CS415" s="9"/>
      <c r="CT415" s="9"/>
      <c r="CU415" s="9"/>
      <c r="CV415" s="9"/>
      <c r="CW415" s="9"/>
      <c r="CX415" s="9"/>
      <c r="CY415" s="9"/>
      <c r="CZ415" s="9"/>
      <c r="DA415" s="9"/>
      <c r="DB415" s="9"/>
      <c r="DC415" s="9"/>
      <c r="DD415" s="9"/>
      <c r="DE415" s="9"/>
      <c r="DF415" s="9"/>
      <c r="DG415" s="9"/>
      <c r="DH415" s="9"/>
      <c r="DI415" s="9"/>
      <c r="DJ415" s="9"/>
      <c r="DK415" s="9"/>
      <c r="DL415" s="9"/>
      <c r="DM415" s="9"/>
      <c r="DN415" s="9"/>
      <c r="DO415" s="9"/>
      <c r="DP415" s="9"/>
      <c r="DQ415" s="9"/>
      <c r="DR415" s="9"/>
      <c r="DS415" s="9"/>
      <c r="DT415" s="9"/>
      <c r="DU415" s="9"/>
      <c r="DV415" s="9"/>
      <c r="DW415" s="9"/>
      <c r="DX415" s="9"/>
      <c r="DY415" s="9"/>
      <c r="DZ415" s="9"/>
      <c r="EA415" s="9"/>
      <c r="EB415" s="9"/>
      <c r="EC415" s="9"/>
      <c r="ED415" s="9"/>
      <c r="EE415" s="9"/>
      <c r="EF415" s="9"/>
      <c r="EG415" s="9"/>
      <c r="EH415" s="9"/>
      <c r="EI415" s="9"/>
      <c r="EJ415" s="9"/>
      <c r="EK415" s="9"/>
      <c r="EL415" s="9"/>
    </row>
    <row r="416" spans="1:142" x14ac:dyDescent="0.35">
      <c r="A416" s="9">
        <v>80739112</v>
      </c>
      <c r="B416" s="19">
        <v>0</v>
      </c>
      <c r="C416" s="9" t="str">
        <f>VLOOKUP(A416,'[1]terceros cto'!A$1:B$65536,2,0)</f>
        <v>BARINAS GUIO JASON ALEJANDRO</v>
      </c>
      <c r="D416" s="20" t="str">
        <f>VLOOKUP(C416,'[1]terceros cto'!B$1:F$65536,5,0)</f>
        <v>alejandro.barinas@gmail.com</v>
      </c>
      <c r="E416" s="21" t="s">
        <v>2252</v>
      </c>
      <c r="F416" s="9" t="str">
        <f>VLOOKUP(C416,'[1]terceros cto'!B$1:D$65536,3,0)</f>
        <v>Paipa</v>
      </c>
      <c r="G416" s="21">
        <v>15516</v>
      </c>
      <c r="H416" s="9">
        <v>212</v>
      </c>
      <c r="I416" s="30">
        <v>152146</v>
      </c>
      <c r="J416" s="31">
        <v>0</v>
      </c>
      <c r="K416" s="22">
        <v>0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  <c r="CL416" s="9"/>
      <c r="CM416" s="9"/>
      <c r="CN416" s="9"/>
      <c r="CO416" s="9"/>
      <c r="CP416" s="9"/>
      <c r="CQ416" s="9"/>
      <c r="CR416" s="9"/>
      <c r="CS416" s="9"/>
      <c r="CT416" s="9"/>
      <c r="CU416" s="9"/>
      <c r="CV416" s="9"/>
      <c r="CW416" s="9"/>
      <c r="CX416" s="9"/>
      <c r="CY416" s="9"/>
      <c r="CZ416" s="9"/>
      <c r="DA416" s="9"/>
      <c r="DB416" s="9"/>
      <c r="DC416" s="9"/>
      <c r="DD416" s="9"/>
      <c r="DE416" s="9"/>
      <c r="DF416" s="9"/>
      <c r="DG416" s="9"/>
      <c r="DH416" s="9"/>
      <c r="DI416" s="9"/>
      <c r="DJ416" s="9"/>
      <c r="DK416" s="9"/>
      <c r="DL416" s="9"/>
      <c r="DM416" s="9"/>
      <c r="DN416" s="9"/>
      <c r="DO416" s="9"/>
      <c r="DP416" s="9"/>
      <c r="DQ416" s="9"/>
      <c r="DR416" s="9"/>
      <c r="DS416" s="9"/>
      <c r="DT416" s="9"/>
      <c r="DU416" s="9"/>
      <c r="DV416" s="9"/>
      <c r="DW416" s="9"/>
      <c r="DX416" s="9"/>
      <c r="DY416" s="9"/>
      <c r="DZ416" s="9"/>
      <c r="EA416" s="9"/>
      <c r="EB416" s="9"/>
      <c r="EC416" s="9"/>
      <c r="ED416" s="9"/>
      <c r="EE416" s="9"/>
      <c r="EF416" s="9"/>
      <c r="EG416" s="9"/>
      <c r="EH416" s="9"/>
      <c r="EI416" s="9"/>
      <c r="EJ416" s="9"/>
      <c r="EK416" s="9"/>
      <c r="EL416" s="9"/>
    </row>
    <row r="417" spans="1:142" x14ac:dyDescent="0.35">
      <c r="A417" s="9">
        <v>808002973</v>
      </c>
      <c r="B417" s="19">
        <v>1</v>
      </c>
      <c r="C417" s="9" t="str">
        <f>VLOOKUP(A417,'[1]terceros cto'!A$1:B$65536,2,0)</f>
        <v>QUIMIPISCINAS QR SAS</v>
      </c>
      <c r="D417" s="20" t="str">
        <f>VLOOKUP(C417,'[1]terceros cto'!B$1:F$65536,5,0)</f>
        <v>comprasyventasquimipiscinas@hotmail.com</v>
      </c>
      <c r="E417" s="21" t="s">
        <v>2252</v>
      </c>
      <c r="F417" s="9" t="str">
        <f>VLOOKUP(C417,'[1]terceros cto'!B$1:D$65536,3,0)</f>
        <v>CHINAUTA KM 67 VIA MELGAR</v>
      </c>
      <c r="G417" s="21">
        <v>15516</v>
      </c>
      <c r="H417" s="9">
        <v>212</v>
      </c>
      <c r="I417" s="28">
        <v>281836</v>
      </c>
      <c r="J417" s="29">
        <v>0</v>
      </c>
      <c r="K417" s="22">
        <v>0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  <c r="CM417" s="9"/>
      <c r="CN417" s="9"/>
      <c r="CO417" s="9"/>
      <c r="CP417" s="9"/>
      <c r="CQ417" s="9"/>
      <c r="CR417" s="9"/>
      <c r="CS417" s="9"/>
      <c r="CT417" s="9"/>
      <c r="CU417" s="9"/>
      <c r="CV417" s="9"/>
      <c r="CW417" s="9"/>
      <c r="CX417" s="9"/>
      <c r="CY417" s="9"/>
      <c r="CZ417" s="9"/>
      <c r="DA417" s="9"/>
      <c r="DB417" s="9"/>
      <c r="DC417" s="9"/>
      <c r="DD417" s="9"/>
      <c r="DE417" s="9"/>
      <c r="DF417" s="9"/>
      <c r="DG417" s="9"/>
      <c r="DH417" s="9"/>
      <c r="DI417" s="9"/>
      <c r="DJ417" s="9"/>
      <c r="DK417" s="9"/>
      <c r="DL417" s="9"/>
      <c r="DM417" s="9"/>
      <c r="DN417" s="9"/>
      <c r="DO417" s="9"/>
      <c r="DP417" s="9"/>
      <c r="DQ417" s="9"/>
      <c r="DR417" s="9"/>
      <c r="DS417" s="9"/>
      <c r="DT417" s="9"/>
      <c r="DU417" s="9"/>
      <c r="DV417" s="9"/>
      <c r="DW417" s="9"/>
      <c r="DX417" s="9"/>
      <c r="DY417" s="9"/>
      <c r="DZ417" s="9"/>
      <c r="EA417" s="9"/>
      <c r="EB417" s="9"/>
      <c r="EC417" s="9"/>
      <c r="ED417" s="9"/>
      <c r="EE417" s="9"/>
      <c r="EF417" s="9"/>
      <c r="EG417" s="9"/>
      <c r="EH417" s="9"/>
      <c r="EI417" s="9"/>
      <c r="EJ417" s="9"/>
      <c r="EK417" s="9"/>
      <c r="EL417" s="9"/>
    </row>
    <row r="418" spans="1:142" x14ac:dyDescent="0.35">
      <c r="A418" s="9">
        <v>811006038</v>
      </c>
      <c r="B418" s="19">
        <v>9</v>
      </c>
      <c r="C418" s="9" t="str">
        <f>VLOOKUP(A418,'[1]terceros cto'!A$1:B$65536,2,0)</f>
        <v>CV INGENIERIA SAS</v>
      </c>
      <c r="D418" s="20" t="str">
        <f>VLOOKUP(C418,'[1]terceros cto'!B$1:F$65536,5,0)</f>
        <v>jcvargas1024@gmail.com</v>
      </c>
      <c r="E418" s="21" t="s">
        <v>2252</v>
      </c>
      <c r="F418" s="9" t="str">
        <f>VLOOKUP(C418,'[1]terceros cto'!B$1:D$65536,3,0)</f>
        <v>CARRERA 61DD N.40C-03 URBANIZACION</v>
      </c>
      <c r="G418" s="21">
        <v>15516</v>
      </c>
      <c r="H418" s="9">
        <v>212</v>
      </c>
      <c r="I418" s="30">
        <v>30065</v>
      </c>
      <c r="J418" s="31">
        <v>0</v>
      </c>
      <c r="K418" s="22">
        <v>0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  <c r="CQ418" s="9"/>
      <c r="CR418" s="9"/>
      <c r="CS418" s="9"/>
      <c r="CT418" s="9"/>
      <c r="CU418" s="9"/>
      <c r="CV418" s="9"/>
      <c r="CW418" s="9"/>
      <c r="CX418" s="9"/>
      <c r="CY418" s="9"/>
      <c r="CZ418" s="9"/>
      <c r="DA418" s="9"/>
      <c r="DB418" s="9"/>
      <c r="DC418" s="9"/>
      <c r="DD418" s="9"/>
      <c r="DE418" s="9"/>
      <c r="DF418" s="9"/>
      <c r="DG418" s="9"/>
      <c r="DH418" s="9"/>
      <c r="DI418" s="9"/>
      <c r="DJ418" s="9"/>
      <c r="DK418" s="9"/>
      <c r="DL418" s="9"/>
      <c r="DM418" s="9"/>
      <c r="DN418" s="9"/>
      <c r="DO418" s="9"/>
      <c r="DP418" s="9"/>
      <c r="DQ418" s="9"/>
      <c r="DR418" s="9"/>
      <c r="DS418" s="9"/>
      <c r="DT418" s="9"/>
      <c r="DU418" s="9"/>
      <c r="DV418" s="9"/>
      <c r="DW418" s="9"/>
      <c r="DX418" s="9"/>
      <c r="DY418" s="9"/>
      <c r="DZ418" s="9"/>
      <c r="EA418" s="9"/>
      <c r="EB418" s="9"/>
      <c r="EC418" s="9"/>
      <c r="ED418" s="9"/>
      <c r="EE418" s="9"/>
      <c r="EF418" s="9"/>
      <c r="EG418" s="9"/>
      <c r="EH418" s="9"/>
      <c r="EI418" s="9"/>
      <c r="EJ418" s="9"/>
      <c r="EK418" s="9"/>
      <c r="EL418" s="9"/>
    </row>
    <row r="419" spans="1:142" x14ac:dyDescent="0.35">
      <c r="A419" s="9">
        <v>811009579</v>
      </c>
      <c r="B419" s="19">
        <v>5</v>
      </c>
      <c r="C419" s="9" t="str">
        <f>VLOOKUP(A419,'[1]terceros cto'!A$1:B$65536,2,0)</f>
        <v>CONVIAS SAS</v>
      </c>
      <c r="D419" s="20" t="str">
        <f>VLOOKUP(C419,'[1]terceros cto'!B$1:F$65536,5,0)</f>
        <v>convias.saspaipa@gmail.com</v>
      </c>
      <c r="E419" s="21" t="s">
        <v>2252</v>
      </c>
      <c r="F419" s="9" t="str">
        <f>VLOOKUP(C419,'[1]terceros cto'!B$1:D$65536,3,0)</f>
        <v>TV 31 SUR32B-20</v>
      </c>
      <c r="G419" s="21">
        <v>15516</v>
      </c>
      <c r="H419" s="9">
        <v>212</v>
      </c>
      <c r="I419" s="28">
        <v>3007480</v>
      </c>
      <c r="J419" s="29">
        <v>0</v>
      </c>
      <c r="K419" s="22">
        <v>0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  <c r="CJ419" s="9"/>
      <c r="CK419" s="9"/>
      <c r="CL419" s="9"/>
      <c r="CM419" s="9"/>
      <c r="CN419" s="9"/>
      <c r="CO419" s="9"/>
      <c r="CP419" s="9"/>
      <c r="CQ419" s="9"/>
      <c r="CR419" s="9"/>
      <c r="CS419" s="9"/>
      <c r="CT419" s="9"/>
      <c r="CU419" s="9"/>
      <c r="CV419" s="9"/>
      <c r="CW419" s="9"/>
      <c r="CX419" s="9"/>
      <c r="CY419" s="9"/>
      <c r="CZ419" s="9"/>
      <c r="DA419" s="9"/>
      <c r="DB419" s="9"/>
      <c r="DC419" s="9"/>
      <c r="DD419" s="9"/>
      <c r="DE419" s="9"/>
      <c r="DF419" s="9"/>
      <c r="DG419" s="9"/>
      <c r="DH419" s="9"/>
      <c r="DI419" s="9"/>
      <c r="DJ419" s="9"/>
      <c r="DK419" s="9"/>
      <c r="DL419" s="9"/>
      <c r="DM419" s="9"/>
      <c r="DN419" s="9"/>
      <c r="DO419" s="9"/>
      <c r="DP419" s="9"/>
      <c r="DQ419" s="9"/>
      <c r="DR419" s="9"/>
      <c r="DS419" s="9"/>
      <c r="DT419" s="9"/>
      <c r="DU419" s="9"/>
      <c r="DV419" s="9"/>
      <c r="DW419" s="9"/>
      <c r="DX419" s="9"/>
      <c r="DY419" s="9"/>
      <c r="DZ419" s="9"/>
      <c r="EA419" s="9"/>
      <c r="EB419" s="9"/>
      <c r="EC419" s="9"/>
      <c r="ED419" s="9"/>
      <c r="EE419" s="9"/>
      <c r="EF419" s="9"/>
      <c r="EG419" s="9"/>
      <c r="EH419" s="9"/>
      <c r="EI419" s="9"/>
      <c r="EJ419" s="9"/>
      <c r="EK419" s="9"/>
      <c r="EL419" s="9"/>
    </row>
    <row r="420" spans="1:142" x14ac:dyDescent="0.35">
      <c r="A420" s="9">
        <v>8127974</v>
      </c>
      <c r="B420" s="19">
        <v>4</v>
      </c>
      <c r="C420" s="9" t="str">
        <f>VLOOKUP(A420,'[1]terceros cto'!A$1:B$65536,2,0)</f>
        <v>GONZALEZ LONDOÑO EDILSON ANDRES</v>
      </c>
      <c r="D420" s="20" t="str">
        <f>VLOOKUP(C420,'[1]terceros cto'!B$1:F$65536,5,0)</f>
        <v>edilsongonzalez@gmail.com</v>
      </c>
      <c r="E420" s="21" t="s">
        <v>2252</v>
      </c>
      <c r="F420" s="9" t="str">
        <f>VLOOKUP(C420,'[1]terceros cto'!B$1:D$65536,3,0)</f>
        <v>Paipa</v>
      </c>
      <c r="G420" s="21">
        <v>15516</v>
      </c>
      <c r="H420" s="9">
        <v>212</v>
      </c>
      <c r="I420" s="30">
        <v>103710</v>
      </c>
      <c r="J420" s="31">
        <v>0</v>
      </c>
      <c r="K420" s="22">
        <v>0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  <c r="CJ420" s="9"/>
      <c r="CK420" s="9"/>
      <c r="CL420" s="9"/>
      <c r="CM420" s="9"/>
      <c r="CN420" s="9"/>
      <c r="CO420" s="9"/>
      <c r="CP420" s="9"/>
      <c r="CQ420" s="9"/>
      <c r="CR420" s="9"/>
      <c r="CS420" s="9"/>
      <c r="CT420" s="9"/>
      <c r="CU420" s="9"/>
      <c r="CV420" s="9"/>
      <c r="CW420" s="9"/>
      <c r="CX420" s="9"/>
      <c r="CY420" s="9"/>
      <c r="CZ420" s="9"/>
      <c r="DA420" s="9"/>
      <c r="DB420" s="9"/>
      <c r="DC420" s="9"/>
      <c r="DD420" s="9"/>
      <c r="DE420" s="9"/>
      <c r="DF420" s="9"/>
      <c r="DG420" s="9"/>
      <c r="DH420" s="9"/>
      <c r="DI420" s="9"/>
      <c r="DJ420" s="9"/>
      <c r="DK420" s="9"/>
      <c r="DL420" s="9"/>
      <c r="DM420" s="9"/>
      <c r="DN420" s="9"/>
      <c r="DO420" s="9"/>
      <c r="DP420" s="9"/>
      <c r="DQ420" s="9"/>
      <c r="DR420" s="9"/>
      <c r="DS420" s="9"/>
      <c r="DT420" s="9"/>
      <c r="DU420" s="9"/>
      <c r="DV420" s="9"/>
      <c r="DW420" s="9"/>
      <c r="DX420" s="9"/>
      <c r="DY420" s="9"/>
      <c r="DZ420" s="9"/>
      <c r="EA420" s="9"/>
      <c r="EB420" s="9"/>
      <c r="EC420" s="9"/>
      <c r="ED420" s="9"/>
      <c r="EE420" s="9"/>
      <c r="EF420" s="9"/>
      <c r="EG420" s="9"/>
      <c r="EH420" s="9"/>
      <c r="EI420" s="9"/>
      <c r="EJ420" s="9"/>
      <c r="EK420" s="9"/>
      <c r="EL420" s="9"/>
    </row>
    <row r="421" spans="1:142" x14ac:dyDescent="0.35">
      <c r="A421" s="9">
        <v>820004564</v>
      </c>
      <c r="B421" s="19">
        <v>5</v>
      </c>
      <c r="C421" s="9" t="str">
        <f>VLOOKUP(A421,'[1]terceros cto'!A$1:B$65536,2,0)</f>
        <v>INVERSIONES DIAMONDS SAS</v>
      </c>
      <c r="D421" s="20" t="str">
        <f>VLOOKUP(C421,'[1]terceros cto'!B$1:F$65536,5,0)</f>
        <v>echecg@hotmail.com</v>
      </c>
      <c r="E421" s="21" t="s">
        <v>2252</v>
      </c>
      <c r="F421" s="9" t="str">
        <f>VLOOKUP(C421,'[1]terceros cto'!B$1:D$65536,3,0)</f>
        <v>Paipa</v>
      </c>
      <c r="G421" s="21">
        <v>15516</v>
      </c>
      <c r="H421" s="9">
        <v>212</v>
      </c>
      <c r="I421" s="28">
        <v>120000</v>
      </c>
      <c r="J421" s="29">
        <v>0</v>
      </c>
      <c r="K421" s="22">
        <v>0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  <c r="CJ421" s="9"/>
      <c r="CK421" s="9"/>
      <c r="CL421" s="9"/>
      <c r="CM421" s="9"/>
      <c r="CN421" s="9"/>
      <c r="CO421" s="9"/>
      <c r="CP421" s="9"/>
      <c r="CQ421" s="9"/>
      <c r="CR421" s="9"/>
      <c r="CS421" s="9"/>
      <c r="CT421" s="9"/>
      <c r="CU421" s="9"/>
      <c r="CV421" s="9"/>
      <c r="CW421" s="9"/>
      <c r="CX421" s="9"/>
      <c r="CY421" s="9"/>
      <c r="CZ421" s="9"/>
      <c r="DA421" s="9"/>
      <c r="DB421" s="9"/>
      <c r="DC421" s="9"/>
      <c r="DD421" s="9"/>
      <c r="DE421" s="9"/>
      <c r="DF421" s="9"/>
      <c r="DG421" s="9"/>
      <c r="DH421" s="9"/>
      <c r="DI421" s="9"/>
      <c r="DJ421" s="9"/>
      <c r="DK421" s="9"/>
      <c r="DL421" s="9"/>
      <c r="DM421" s="9"/>
      <c r="DN421" s="9"/>
      <c r="DO421" s="9"/>
      <c r="DP421" s="9"/>
      <c r="DQ421" s="9"/>
      <c r="DR421" s="9"/>
      <c r="DS421" s="9"/>
      <c r="DT421" s="9"/>
      <c r="DU421" s="9"/>
      <c r="DV421" s="9"/>
      <c r="DW421" s="9"/>
      <c r="DX421" s="9"/>
      <c r="DY421" s="9"/>
      <c r="DZ421" s="9"/>
      <c r="EA421" s="9"/>
      <c r="EB421" s="9"/>
      <c r="EC421" s="9"/>
      <c r="ED421" s="9"/>
      <c r="EE421" s="9"/>
      <c r="EF421" s="9"/>
      <c r="EG421" s="9"/>
      <c r="EH421" s="9"/>
      <c r="EI421" s="9"/>
      <c r="EJ421" s="9"/>
      <c r="EK421" s="9"/>
      <c r="EL421" s="9"/>
    </row>
    <row r="422" spans="1:142" x14ac:dyDescent="0.35">
      <c r="A422" s="9">
        <v>820005297</v>
      </c>
      <c r="B422" s="19">
        <v>8</v>
      </c>
      <c r="C422" s="9" t="str">
        <f>VLOOKUP(A422,'[1]terceros cto'!A$1:B$65536,2,0)</f>
        <v>INVERSIONES SANTA ELISA LTDA</v>
      </c>
      <c r="D422" s="20" t="str">
        <f>VLOOKUP(C422,'[1]terceros cto'!B$1:F$65536,5,0)</f>
        <v>contabilidad@staelisa.com</v>
      </c>
      <c r="E422" s="21" t="s">
        <v>2252</v>
      </c>
      <c r="F422" s="9" t="str">
        <f>VLOOKUP(C422,'[1]terceros cto'!B$1:D$65536,3,0)</f>
        <v>Paipa</v>
      </c>
      <c r="G422" s="21">
        <v>15516</v>
      </c>
      <c r="H422" s="9">
        <v>212</v>
      </c>
      <c r="I422" s="30">
        <v>10000</v>
      </c>
      <c r="J422" s="31">
        <v>0</v>
      </c>
      <c r="K422" s="22">
        <v>0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D422" s="9"/>
      <c r="CE422" s="9"/>
      <c r="CF422" s="9"/>
      <c r="CG422" s="9"/>
      <c r="CH422" s="9"/>
      <c r="CI422" s="9"/>
      <c r="CJ422" s="9"/>
      <c r="CK422" s="9"/>
      <c r="CL422" s="9"/>
      <c r="CM422" s="9"/>
      <c r="CN422" s="9"/>
      <c r="CO422" s="9"/>
      <c r="CP422" s="9"/>
      <c r="CQ422" s="9"/>
      <c r="CR422" s="9"/>
      <c r="CS422" s="9"/>
      <c r="CT422" s="9"/>
      <c r="CU422" s="9"/>
      <c r="CV422" s="9"/>
      <c r="CW422" s="9"/>
      <c r="CX422" s="9"/>
      <c r="CY422" s="9"/>
      <c r="CZ422" s="9"/>
      <c r="DA422" s="9"/>
      <c r="DB422" s="9"/>
      <c r="DC422" s="9"/>
      <c r="DD422" s="9"/>
      <c r="DE422" s="9"/>
      <c r="DF422" s="9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x14ac:dyDescent="0.35">
      <c r="A423" s="9">
        <v>826000681</v>
      </c>
      <c r="B423" s="19">
        <v>2</v>
      </c>
      <c r="C423" s="9" t="str">
        <f>VLOOKUP(A423,'[1]terceros cto'!A$1:B$65536,2,0)</f>
        <v>ALFONSO MONTAÑEZ HERMANOS SAS</v>
      </c>
      <c r="D423" s="20" t="str">
        <f>VLOOKUP(C423,'[1]terceros cto'!B$1:F$65536,5,0)</f>
        <v>amhsas@hotmail.es</v>
      </c>
      <c r="E423" s="21" t="s">
        <v>2252</v>
      </c>
      <c r="F423" s="9" t="str">
        <f>VLOOKUP(C423,'[1]terceros cto'!B$1:D$65536,3,0)</f>
        <v>Sector 4 bloque 1 26 Apto 502 altos de Bellavista</v>
      </c>
      <c r="G423" s="21">
        <v>15516</v>
      </c>
      <c r="H423" s="9">
        <v>212</v>
      </c>
      <c r="I423" s="28">
        <v>150029</v>
      </c>
      <c r="J423" s="29">
        <v>0</v>
      </c>
      <c r="K423" s="22">
        <v>0</v>
      </c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  <c r="CJ423" s="9"/>
      <c r="CK423" s="9"/>
      <c r="CL423" s="9"/>
      <c r="CM423" s="9"/>
      <c r="CN423" s="9"/>
      <c r="CO423" s="9"/>
      <c r="CP423" s="9"/>
      <c r="CQ423" s="9"/>
      <c r="CR423" s="9"/>
      <c r="CS423" s="9"/>
      <c r="CT423" s="9"/>
      <c r="CU423" s="9"/>
      <c r="CV423" s="9"/>
      <c r="CW423" s="9"/>
      <c r="CX423" s="9"/>
      <c r="CY423" s="9"/>
      <c r="CZ423" s="9"/>
      <c r="DA423" s="9"/>
      <c r="DB423" s="9"/>
      <c r="DC423" s="9"/>
      <c r="DD423" s="9"/>
      <c r="DE423" s="9"/>
      <c r="DF423" s="9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x14ac:dyDescent="0.35">
      <c r="A424" s="9">
        <v>826001046</v>
      </c>
      <c r="B424" s="19">
        <v>1</v>
      </c>
      <c r="C424" s="9" t="str">
        <f>VLOOKUP(A424,'[1]terceros cto'!A$1:B$65536,2,0)</f>
        <v>MULTIPROYECTOS</v>
      </c>
      <c r="D424" s="20" t="str">
        <f>VLOOKUP(C424,'[1]terceros cto'!B$1:F$65536,5,0)</f>
        <v>multiproyectosdyc@yahoo.co.mx</v>
      </c>
      <c r="E424" s="21" t="s">
        <v>2252</v>
      </c>
      <c r="F424" s="9" t="str">
        <f>VLOOKUP(C424,'[1]terceros cto'!B$1:D$65536,3,0)</f>
        <v>paipa</v>
      </c>
      <c r="G424" s="21">
        <v>15516</v>
      </c>
      <c r="H424" s="9">
        <v>212</v>
      </c>
      <c r="I424" s="30">
        <v>80000</v>
      </c>
      <c r="J424" s="31">
        <v>0</v>
      </c>
      <c r="K424" s="22">
        <v>0</v>
      </c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D424" s="9"/>
      <c r="CE424" s="9"/>
      <c r="CF424" s="9"/>
      <c r="CG424" s="9"/>
      <c r="CH424" s="9"/>
      <c r="CI424" s="9"/>
      <c r="CJ424" s="9"/>
      <c r="CK424" s="9"/>
      <c r="CL424" s="9"/>
      <c r="CM424" s="9"/>
      <c r="CN424" s="9"/>
      <c r="CO424" s="9"/>
      <c r="CP424" s="9"/>
      <c r="CQ424" s="9"/>
      <c r="CR424" s="9"/>
      <c r="CS424" s="9"/>
      <c r="CT424" s="9"/>
      <c r="CU424" s="9"/>
      <c r="CV424" s="9"/>
      <c r="CW424" s="9"/>
      <c r="CX424" s="9"/>
      <c r="CY424" s="9"/>
      <c r="CZ424" s="9"/>
      <c r="DA424" s="9"/>
      <c r="DB424" s="9"/>
      <c r="DC424" s="9"/>
      <c r="DD424" s="9"/>
      <c r="DE424" s="9"/>
      <c r="DF424" s="9"/>
      <c r="DG424" s="9"/>
      <c r="DH424" s="9"/>
      <c r="DI424" s="9"/>
      <c r="DJ424" s="9"/>
      <c r="DK424" s="9"/>
      <c r="DL424" s="9"/>
      <c r="DM424" s="9"/>
      <c r="DN424" s="9"/>
      <c r="DO424" s="9"/>
      <c r="DP424" s="9"/>
      <c r="DQ424" s="9"/>
      <c r="DR424" s="9"/>
      <c r="DS424" s="9"/>
      <c r="DT424" s="9"/>
      <c r="DU424" s="9"/>
      <c r="DV424" s="9"/>
      <c r="DW424" s="9"/>
      <c r="DX424" s="9"/>
      <c r="DY424" s="9"/>
      <c r="DZ424" s="9"/>
      <c r="EA424" s="9"/>
      <c r="EB424" s="9"/>
      <c r="EC424" s="9"/>
      <c r="ED424" s="9"/>
      <c r="EE424" s="9"/>
      <c r="EF424" s="9"/>
      <c r="EG424" s="9"/>
      <c r="EH424" s="9"/>
      <c r="EI424" s="9"/>
      <c r="EJ424" s="9"/>
      <c r="EK424" s="9"/>
      <c r="EL424" s="9"/>
    </row>
    <row r="425" spans="1:142" x14ac:dyDescent="0.35">
      <c r="A425" s="9">
        <v>826001095</v>
      </c>
      <c r="B425" s="19">
        <v>0</v>
      </c>
      <c r="C425" s="9" t="str">
        <f>VLOOKUP(A425,'[1]terceros cto'!A$1:B$65536,2,0)</f>
        <v>CONSTRUCCIONES Y MONTAJES ELÉCTRICO</v>
      </c>
      <c r="D425" s="20" t="str">
        <f>VLOOKUP(C425,'[1]terceros cto'!B$1:F$65536,5,0)</f>
        <v>constmontmoreno@yahoo.es</v>
      </c>
      <c r="E425" s="21" t="s">
        <v>2252</v>
      </c>
      <c r="F425" s="9" t="str">
        <f>VLOOKUP(C425,'[1]terceros cto'!B$1:D$65536,3,0)</f>
        <v>Paipa</v>
      </c>
      <c r="G425" s="21">
        <v>15516</v>
      </c>
      <c r="H425" s="9">
        <v>212</v>
      </c>
      <c r="I425" s="28">
        <v>160007</v>
      </c>
      <c r="J425" s="29">
        <v>0</v>
      </c>
      <c r="K425" s="22">
        <v>0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  <c r="CL425" s="9"/>
      <c r="CM425" s="9"/>
      <c r="CN425" s="9"/>
      <c r="CO425" s="9"/>
      <c r="CP425" s="9"/>
      <c r="CQ425" s="9"/>
      <c r="CR425" s="9"/>
      <c r="CS425" s="9"/>
      <c r="CT425" s="9"/>
      <c r="CU425" s="9"/>
      <c r="CV425" s="9"/>
      <c r="CW425" s="9"/>
      <c r="CX425" s="9"/>
      <c r="CY425" s="9"/>
      <c r="CZ425" s="9"/>
      <c r="DA425" s="9"/>
      <c r="DB425" s="9"/>
      <c r="DC425" s="9"/>
      <c r="DD425" s="9"/>
      <c r="DE425" s="9"/>
      <c r="DF425" s="9"/>
      <c r="DG425" s="9"/>
      <c r="DH425" s="9"/>
      <c r="DI425" s="9"/>
      <c r="DJ425" s="9"/>
      <c r="DK425" s="9"/>
      <c r="DL425" s="9"/>
      <c r="DM425" s="9"/>
      <c r="DN425" s="9"/>
      <c r="DO425" s="9"/>
      <c r="DP425" s="9"/>
      <c r="DQ425" s="9"/>
      <c r="DR425" s="9"/>
      <c r="DS425" s="9"/>
      <c r="DT425" s="9"/>
      <c r="DU425" s="9"/>
      <c r="DV425" s="9"/>
      <c r="DW425" s="9"/>
      <c r="DX425" s="9"/>
      <c r="DY425" s="9"/>
      <c r="DZ425" s="9"/>
      <c r="EA425" s="9"/>
      <c r="EB425" s="9"/>
      <c r="EC425" s="9"/>
      <c r="ED425" s="9"/>
      <c r="EE425" s="9"/>
      <c r="EF425" s="9"/>
      <c r="EG425" s="9"/>
      <c r="EH425" s="9"/>
      <c r="EI425" s="9"/>
      <c r="EJ425" s="9"/>
      <c r="EK425" s="9"/>
      <c r="EL425" s="9"/>
    </row>
    <row r="426" spans="1:142" x14ac:dyDescent="0.35">
      <c r="A426" s="9">
        <v>826001403</v>
      </c>
      <c r="B426" s="19">
        <v>6</v>
      </c>
      <c r="C426" s="9" t="str">
        <f>VLOOKUP(A426,'[1]terceros cto'!A$1:B$65536,2,0)</f>
        <v>JOSEMAR SAS</v>
      </c>
      <c r="D426" s="20" t="str">
        <f>VLOOKUP(C426,'[1]terceros cto'!B$1:F$65536,5,0)</f>
        <v>josemarltda@yahoo.com</v>
      </c>
      <c r="E426" s="21" t="s">
        <v>2252</v>
      </c>
      <c r="F426" s="9" t="str">
        <f>VLOOKUP(C426,'[1]terceros cto'!B$1:D$65536,3,0)</f>
        <v xml:space="preserve"> Calle 19 7 86</v>
      </c>
      <c r="G426" s="21">
        <v>15516</v>
      </c>
      <c r="H426" s="9">
        <v>212</v>
      </c>
      <c r="I426" s="30">
        <v>50014</v>
      </c>
      <c r="J426" s="31">
        <v>0</v>
      </c>
      <c r="K426" s="22">
        <v>0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  <c r="CJ426" s="9"/>
      <c r="CK426" s="9"/>
      <c r="CL426" s="9"/>
      <c r="CM426" s="9"/>
      <c r="CN426" s="9"/>
      <c r="CO426" s="9"/>
      <c r="CP426" s="9"/>
      <c r="CQ426" s="9"/>
      <c r="CR426" s="9"/>
      <c r="CS426" s="9"/>
      <c r="CT426" s="9"/>
      <c r="CU426" s="9"/>
      <c r="CV426" s="9"/>
      <c r="CW426" s="9"/>
      <c r="CX426" s="9"/>
      <c r="CY426" s="9"/>
      <c r="CZ426" s="9"/>
      <c r="DA426" s="9"/>
      <c r="DB426" s="9"/>
      <c r="DC426" s="9"/>
      <c r="DD426" s="9"/>
      <c r="DE426" s="9"/>
      <c r="DF426" s="9"/>
      <c r="DG426" s="9"/>
      <c r="DH426" s="9"/>
      <c r="DI426" s="9"/>
      <c r="DJ426" s="9"/>
      <c r="DK426" s="9"/>
      <c r="DL426" s="9"/>
      <c r="DM426" s="9"/>
      <c r="DN426" s="9"/>
      <c r="DO426" s="9"/>
      <c r="DP426" s="9"/>
      <c r="DQ426" s="9"/>
      <c r="DR426" s="9"/>
      <c r="DS426" s="9"/>
      <c r="DT426" s="9"/>
      <c r="DU426" s="9"/>
      <c r="DV426" s="9"/>
      <c r="DW426" s="9"/>
      <c r="DX426" s="9"/>
      <c r="DY426" s="9"/>
      <c r="DZ426" s="9"/>
      <c r="EA426" s="9"/>
      <c r="EB426" s="9"/>
      <c r="EC426" s="9"/>
      <c r="ED426" s="9"/>
      <c r="EE426" s="9"/>
      <c r="EF426" s="9"/>
      <c r="EG426" s="9"/>
      <c r="EH426" s="9"/>
      <c r="EI426" s="9"/>
      <c r="EJ426" s="9"/>
      <c r="EK426" s="9"/>
      <c r="EL426" s="9"/>
    </row>
    <row r="427" spans="1:142" x14ac:dyDescent="0.35">
      <c r="A427" s="9">
        <v>826001605</v>
      </c>
      <c r="B427" s="19">
        <v>7</v>
      </c>
      <c r="C427" s="9" t="str">
        <f>VLOOKUP(A427,'[1]terceros cto'!A$1:B$65536,2,0)</f>
        <v>CUERPO DE BOMBEROS VOLUNTARIOS DE PAIPA DE BOMBEROS VOLUNTARIOS DE PAIPA</v>
      </c>
      <c r="D427" s="20" t="str">
        <f>VLOOKUP(C427,'[1]terceros cto'!B$1:F$65536,5,0)</f>
        <v>paipabomberosvoluntarios@gmail.com</v>
      </c>
      <c r="E427" s="21" t="str">
        <f>VLOOKUP(C427,'[1]terceros cto'!B$1:E$65536,4,0)</f>
        <v>7852775</v>
      </c>
      <c r="F427" s="9" t="str">
        <f>VLOOKUP(C427,'[1]terceros cto'!B$1:D$65536,3,0)</f>
        <v>PLAZA DE MERCADO LOCAL 2</v>
      </c>
      <c r="G427" s="21">
        <v>15516</v>
      </c>
      <c r="H427" s="9">
        <v>212</v>
      </c>
      <c r="I427" s="28">
        <v>3896992</v>
      </c>
      <c r="J427" s="29">
        <v>0</v>
      </c>
      <c r="K427" s="22">
        <v>0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  <c r="CL427" s="9"/>
      <c r="CM427" s="9"/>
      <c r="CN427" s="9"/>
      <c r="CO427" s="9"/>
      <c r="CP427" s="9"/>
      <c r="CQ427" s="9"/>
      <c r="CR427" s="9"/>
      <c r="CS427" s="9"/>
      <c r="CT427" s="9"/>
      <c r="CU427" s="9"/>
      <c r="CV427" s="9"/>
      <c r="CW427" s="9"/>
      <c r="CX427" s="9"/>
      <c r="CY427" s="9"/>
      <c r="CZ427" s="9"/>
      <c r="DA427" s="9"/>
      <c r="DB427" s="9"/>
      <c r="DC427" s="9"/>
      <c r="DD427" s="9"/>
      <c r="DE427" s="9"/>
      <c r="DF427" s="9"/>
      <c r="DG427" s="9"/>
      <c r="DH427" s="9"/>
      <c r="DI427" s="9"/>
      <c r="DJ427" s="9"/>
      <c r="DK427" s="9"/>
      <c r="DL427" s="9"/>
      <c r="DM427" s="9"/>
      <c r="DN427" s="9"/>
      <c r="DO427" s="9"/>
      <c r="DP427" s="9"/>
      <c r="DQ427" s="9"/>
      <c r="DR427" s="9"/>
      <c r="DS427" s="9"/>
      <c r="DT427" s="9"/>
      <c r="DU427" s="9"/>
      <c r="DV427" s="9"/>
      <c r="DW427" s="9"/>
      <c r="DX427" s="9"/>
      <c r="DY427" s="9"/>
      <c r="DZ427" s="9"/>
      <c r="EA427" s="9"/>
      <c r="EB427" s="9"/>
      <c r="EC427" s="9"/>
      <c r="ED427" s="9"/>
      <c r="EE427" s="9"/>
      <c r="EF427" s="9"/>
      <c r="EG427" s="9"/>
      <c r="EH427" s="9"/>
      <c r="EI427" s="9"/>
      <c r="EJ427" s="9"/>
      <c r="EK427" s="9"/>
      <c r="EL427" s="9"/>
    </row>
    <row r="428" spans="1:142" x14ac:dyDescent="0.35">
      <c r="A428" s="9">
        <v>826002334</v>
      </c>
      <c r="B428" s="19">
        <v>0</v>
      </c>
      <c r="C428" s="9" t="str">
        <f>VLOOKUP(A428,'[1]terceros cto'!A$1:B$65536,2,0)</f>
        <v>SKY PROJECTS SAS</v>
      </c>
      <c r="D428" s="20" t="str">
        <f>VLOOKUP(C428,'[1]terceros cto'!B$1:F$65536,5,0)</f>
        <v>wdvi11@hotmail.com</v>
      </c>
      <c r="E428" s="21" t="s">
        <v>2252</v>
      </c>
      <c r="F428" s="9" t="str">
        <f>VLOOKUP(C428,'[1]terceros cto'!B$1:D$65536,3,0)</f>
        <v>LA ESTACION</v>
      </c>
      <c r="G428" s="21">
        <v>15516</v>
      </c>
      <c r="H428" s="9">
        <v>212</v>
      </c>
      <c r="I428" s="30">
        <v>5006216</v>
      </c>
      <c r="J428" s="31">
        <v>0</v>
      </c>
      <c r="K428" s="22">
        <v>0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  <c r="CJ428" s="9"/>
      <c r="CK428" s="9"/>
      <c r="CL428" s="9"/>
      <c r="CM428" s="9"/>
      <c r="CN428" s="9"/>
      <c r="CO428" s="9"/>
      <c r="CP428" s="9"/>
      <c r="CQ428" s="9"/>
      <c r="CR428" s="9"/>
      <c r="CS428" s="9"/>
      <c r="CT428" s="9"/>
      <c r="CU428" s="9"/>
      <c r="CV428" s="9"/>
      <c r="CW428" s="9"/>
      <c r="CX428" s="9"/>
      <c r="CY428" s="9"/>
      <c r="CZ428" s="9"/>
      <c r="DA428" s="9"/>
      <c r="DB428" s="9"/>
      <c r="DC428" s="9"/>
      <c r="DD428" s="9"/>
      <c r="DE428" s="9"/>
      <c r="DF428" s="9"/>
      <c r="DG428" s="9"/>
      <c r="DH428" s="9"/>
      <c r="DI428" s="9"/>
      <c r="DJ428" s="9"/>
      <c r="DK428" s="9"/>
      <c r="DL428" s="9"/>
      <c r="DM428" s="9"/>
      <c r="DN428" s="9"/>
      <c r="DO428" s="9"/>
      <c r="DP428" s="9"/>
      <c r="DQ428" s="9"/>
      <c r="DR428" s="9"/>
      <c r="DS428" s="9"/>
      <c r="DT428" s="9"/>
      <c r="DU428" s="9"/>
      <c r="DV428" s="9"/>
      <c r="DW428" s="9"/>
      <c r="DX428" s="9"/>
      <c r="DY428" s="9"/>
      <c r="DZ428" s="9"/>
      <c r="EA428" s="9"/>
      <c r="EB428" s="9"/>
      <c r="EC428" s="9"/>
      <c r="ED428" s="9"/>
      <c r="EE428" s="9"/>
      <c r="EF428" s="9"/>
      <c r="EG428" s="9"/>
      <c r="EH428" s="9"/>
      <c r="EI428" s="9"/>
      <c r="EJ428" s="9"/>
      <c r="EK428" s="9"/>
      <c r="EL428" s="9"/>
    </row>
    <row r="429" spans="1:142" x14ac:dyDescent="0.35">
      <c r="A429" s="9">
        <v>826002881</v>
      </c>
      <c r="B429" s="19">
        <v>8</v>
      </c>
      <c r="C429" s="9" t="str">
        <f>VLOOKUP(A429,'[1]terceros cto'!A$1:B$65536,2,0)</f>
        <v>TRANSPORTES BENAVIDES SAS EN REESTR</v>
      </c>
      <c r="D429" s="20" t="str">
        <f>VLOOKUP(C429,'[1]terceros cto'!B$1:F$65536,5,0)</f>
        <v>contabilidad@transbenavides.com.co</v>
      </c>
      <c r="E429" s="21" t="s">
        <v>2252</v>
      </c>
      <c r="F429" s="9" t="str">
        <f>VLOOKUP(C429,'[1]terceros cto'!B$1:D$65536,3,0)</f>
        <v>Paipa</v>
      </c>
      <c r="G429" s="21">
        <v>15516</v>
      </c>
      <c r="H429" s="9">
        <v>212</v>
      </c>
      <c r="I429" s="28">
        <v>1852500</v>
      </c>
      <c r="J429" s="29">
        <v>0</v>
      </c>
      <c r="K429" s="22">
        <v>0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  <c r="CL429" s="9"/>
      <c r="CM429" s="9"/>
      <c r="CN429" s="9"/>
      <c r="CO429" s="9"/>
      <c r="CP429" s="9"/>
      <c r="CQ429" s="9"/>
      <c r="CR429" s="9"/>
      <c r="CS429" s="9"/>
      <c r="CT429" s="9"/>
      <c r="CU429" s="9"/>
      <c r="CV429" s="9"/>
      <c r="CW429" s="9"/>
      <c r="CX429" s="9"/>
      <c r="CY429" s="9"/>
      <c r="CZ429" s="9"/>
      <c r="DA429" s="9"/>
      <c r="DB429" s="9"/>
      <c r="DC429" s="9"/>
      <c r="DD429" s="9"/>
      <c r="DE429" s="9"/>
      <c r="DF429" s="9"/>
      <c r="DG429" s="9"/>
      <c r="DH429" s="9"/>
      <c r="DI429" s="9"/>
      <c r="DJ429" s="9"/>
      <c r="DK429" s="9"/>
      <c r="DL429" s="9"/>
      <c r="DM429" s="9"/>
      <c r="DN429" s="9"/>
      <c r="DO429" s="9"/>
      <c r="DP429" s="9"/>
      <c r="DQ429" s="9"/>
      <c r="DR429" s="9"/>
      <c r="DS429" s="9"/>
      <c r="DT429" s="9"/>
      <c r="DU429" s="9"/>
      <c r="DV429" s="9"/>
      <c r="DW429" s="9"/>
      <c r="DX429" s="9"/>
      <c r="DY429" s="9"/>
      <c r="DZ429" s="9"/>
      <c r="EA429" s="9"/>
      <c r="EB429" s="9"/>
      <c r="EC429" s="9"/>
      <c r="ED429" s="9"/>
      <c r="EE429" s="9"/>
      <c r="EF429" s="9"/>
      <c r="EG429" s="9"/>
      <c r="EH429" s="9"/>
      <c r="EI429" s="9"/>
      <c r="EJ429" s="9"/>
      <c r="EK429" s="9"/>
      <c r="EL429" s="9"/>
    </row>
    <row r="430" spans="1:142" x14ac:dyDescent="0.35">
      <c r="A430" s="9">
        <v>826003010</v>
      </c>
      <c r="B430" s="19">
        <v>4</v>
      </c>
      <c r="C430" s="9" t="str">
        <f>VLOOKUP(A430,'[1]terceros cto'!A$1:B$65536,2,0)</f>
        <v>JUNTA DEFENSA CIVIL PAIPA</v>
      </c>
      <c r="D430" s="20" t="str">
        <f>VLOOKUP(C430,'[1]terceros cto'!B$1:F$65536,5,0)</f>
        <v>sadydiany@gmail.com</v>
      </c>
      <c r="E430" s="21" t="s">
        <v>2252</v>
      </c>
      <c r="F430" s="9" t="str">
        <f>VLOOKUP(C430,'[1]terceros cto'!B$1:D$65536,3,0)</f>
        <v>Paipa</v>
      </c>
      <c r="G430" s="21">
        <v>15516</v>
      </c>
      <c r="H430" s="9">
        <v>212</v>
      </c>
      <c r="I430" s="30">
        <v>1840024</v>
      </c>
      <c r="J430" s="31">
        <v>0</v>
      </c>
      <c r="K430" s="22">
        <v>0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  <c r="CJ430" s="9"/>
      <c r="CK430" s="9"/>
      <c r="CL430" s="9"/>
      <c r="CM430" s="9"/>
      <c r="CN430" s="9"/>
      <c r="CO430" s="9"/>
      <c r="CP430" s="9"/>
      <c r="CQ430" s="9"/>
      <c r="CR430" s="9"/>
      <c r="CS430" s="9"/>
      <c r="CT430" s="9"/>
      <c r="CU430" s="9"/>
      <c r="CV430" s="9"/>
      <c r="CW430" s="9"/>
      <c r="CX430" s="9"/>
      <c r="CY430" s="9"/>
      <c r="CZ430" s="9"/>
      <c r="DA430" s="9"/>
      <c r="DB430" s="9"/>
      <c r="DC430" s="9"/>
      <c r="DD430" s="9"/>
      <c r="DE430" s="9"/>
      <c r="DF430" s="9"/>
      <c r="DG430" s="9"/>
      <c r="DH430" s="9"/>
      <c r="DI430" s="9"/>
      <c r="DJ430" s="9"/>
      <c r="DK430" s="9"/>
      <c r="DL430" s="9"/>
      <c r="DM430" s="9"/>
      <c r="DN430" s="9"/>
      <c r="DO430" s="9"/>
      <c r="DP430" s="9"/>
      <c r="DQ430" s="9"/>
      <c r="DR430" s="9"/>
      <c r="DS430" s="9"/>
      <c r="DT430" s="9"/>
      <c r="DU430" s="9"/>
      <c r="DV430" s="9"/>
      <c r="DW430" s="9"/>
      <c r="DX430" s="9"/>
      <c r="DY430" s="9"/>
      <c r="DZ430" s="9"/>
      <c r="EA430" s="9"/>
      <c r="EB430" s="9"/>
      <c r="EC430" s="9"/>
      <c r="ED430" s="9"/>
      <c r="EE430" s="9"/>
      <c r="EF430" s="9"/>
      <c r="EG430" s="9"/>
      <c r="EH430" s="9"/>
      <c r="EI430" s="9"/>
      <c r="EJ430" s="9"/>
      <c r="EK430" s="9"/>
      <c r="EL430" s="9"/>
    </row>
    <row r="431" spans="1:142" x14ac:dyDescent="0.35">
      <c r="A431" s="9">
        <v>826003190</v>
      </c>
      <c r="B431" s="19">
        <v>1</v>
      </c>
      <c r="C431" s="9" t="str">
        <f>VLOOKUP(A431,'[1]terceros cto'!A$1:B$65536,2,0)</f>
        <v>TRACTEC SOCIEDAD POR ACCIONES SIMPLIFICADAS EN EL REORGANIZADOR</v>
      </c>
      <c r="D431" s="20" t="str">
        <f>VLOOKUP(C431,'[1]terceros cto'!B$1:F$65536,5,0)</f>
        <v>tractesa@gmail.com</v>
      </c>
      <c r="E431" s="21" t="s">
        <v>2252</v>
      </c>
      <c r="F431" s="9" t="str">
        <f>VLOOKUP(C431,'[1]terceros cto'!B$1:D$65536,3,0)</f>
        <v>VIA PAIPA TUNJA</v>
      </c>
      <c r="G431" s="21">
        <v>15516</v>
      </c>
      <c r="H431" s="9">
        <v>212</v>
      </c>
      <c r="I431" s="28">
        <v>1280207</v>
      </c>
      <c r="J431" s="29">
        <v>0</v>
      </c>
      <c r="K431" s="22">
        <v>0</v>
      </c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  <c r="CJ431" s="9"/>
      <c r="CK431" s="9"/>
      <c r="CL431" s="9"/>
      <c r="CM431" s="9"/>
      <c r="CN431" s="9"/>
      <c r="CO431" s="9"/>
      <c r="CP431" s="9"/>
      <c r="CQ431" s="9"/>
      <c r="CR431" s="9"/>
      <c r="CS431" s="9"/>
      <c r="CT431" s="9"/>
      <c r="CU431" s="9"/>
      <c r="CV431" s="9"/>
      <c r="CW431" s="9"/>
      <c r="CX431" s="9"/>
      <c r="CY431" s="9"/>
      <c r="CZ431" s="9"/>
      <c r="DA431" s="9"/>
      <c r="DB431" s="9"/>
      <c r="DC431" s="9"/>
      <c r="DD431" s="9"/>
      <c r="DE431" s="9"/>
      <c r="DF431" s="9"/>
      <c r="DG431" s="9"/>
      <c r="DH431" s="9"/>
      <c r="DI431" s="9"/>
      <c r="DJ431" s="9"/>
      <c r="DK431" s="9"/>
      <c r="DL431" s="9"/>
      <c r="DM431" s="9"/>
      <c r="DN431" s="9"/>
      <c r="DO431" s="9"/>
      <c r="DP431" s="9"/>
      <c r="DQ431" s="9"/>
      <c r="DR431" s="9"/>
      <c r="DS431" s="9"/>
      <c r="DT431" s="9"/>
      <c r="DU431" s="9"/>
      <c r="DV431" s="9"/>
      <c r="DW431" s="9"/>
      <c r="DX431" s="9"/>
      <c r="DY431" s="9"/>
      <c r="DZ431" s="9"/>
      <c r="EA431" s="9"/>
      <c r="EB431" s="9"/>
      <c r="EC431" s="9"/>
      <c r="ED431" s="9"/>
      <c r="EE431" s="9"/>
      <c r="EF431" s="9"/>
      <c r="EG431" s="9"/>
      <c r="EH431" s="9"/>
      <c r="EI431" s="9"/>
      <c r="EJ431" s="9"/>
      <c r="EK431" s="9"/>
      <c r="EL431" s="9"/>
    </row>
    <row r="432" spans="1:142" x14ac:dyDescent="0.35">
      <c r="A432" s="9">
        <v>826003764</v>
      </c>
      <c r="B432" s="19">
        <v>9</v>
      </c>
      <c r="C432" s="9" t="str">
        <f>VLOOKUP(A432,'[1]terceros cto'!A$1:B$65536,2,0)</f>
        <v>OUTSOURCING ORIENTE SAS</v>
      </c>
      <c r="D432" s="20" t="str">
        <f>VLOOKUP(C432,'[1]terceros cto'!B$1:F$65536,5,0)</f>
        <v>outsourcingorientesas764@gmail.com</v>
      </c>
      <c r="E432" s="21" t="s">
        <v>2252</v>
      </c>
      <c r="F432" s="9" t="str">
        <f>VLOOKUP(C432,'[1]terceros cto'!B$1:D$65536,3,0)</f>
        <v>Paipa</v>
      </c>
      <c r="G432" s="21">
        <v>15516</v>
      </c>
      <c r="H432" s="9">
        <v>212</v>
      </c>
      <c r="I432" s="30">
        <v>92934</v>
      </c>
      <c r="J432" s="31">
        <v>0</v>
      </c>
      <c r="K432" s="22">
        <v>0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  <c r="CL432" s="9"/>
      <c r="CM432" s="9"/>
      <c r="CN432" s="9"/>
      <c r="CO432" s="9"/>
      <c r="CP432" s="9"/>
      <c r="CQ432" s="9"/>
      <c r="CR432" s="9"/>
      <c r="CS432" s="9"/>
      <c r="CT432" s="9"/>
      <c r="CU432" s="9"/>
      <c r="CV432" s="9"/>
      <c r="CW432" s="9"/>
      <c r="CX432" s="9"/>
      <c r="CY432" s="9"/>
      <c r="CZ432" s="9"/>
      <c r="DA432" s="9"/>
      <c r="DB432" s="9"/>
      <c r="DC432" s="9"/>
      <c r="DD432" s="9"/>
      <c r="DE432" s="9"/>
      <c r="DF432" s="9"/>
      <c r="DG432" s="9"/>
      <c r="DH432" s="9"/>
      <c r="DI432" s="9"/>
      <c r="DJ432" s="9"/>
      <c r="DK432" s="9"/>
      <c r="DL432" s="9"/>
      <c r="DM432" s="9"/>
      <c r="DN432" s="9"/>
      <c r="DO432" s="9"/>
      <c r="DP432" s="9"/>
      <c r="DQ432" s="9"/>
      <c r="DR432" s="9"/>
      <c r="DS432" s="9"/>
      <c r="DT432" s="9"/>
      <c r="DU432" s="9"/>
      <c r="DV432" s="9"/>
      <c r="DW432" s="9"/>
      <c r="DX432" s="9"/>
      <c r="DY432" s="9"/>
      <c r="DZ432" s="9"/>
      <c r="EA432" s="9"/>
      <c r="EB432" s="9"/>
      <c r="EC432" s="9"/>
      <c r="ED432" s="9"/>
      <c r="EE432" s="9"/>
      <c r="EF432" s="9"/>
      <c r="EG432" s="9"/>
      <c r="EH432" s="9"/>
      <c r="EI432" s="9"/>
      <c r="EJ432" s="9"/>
      <c r="EK432" s="9"/>
      <c r="EL432" s="9"/>
    </row>
    <row r="433" spans="1:142" x14ac:dyDescent="0.35">
      <c r="A433" s="9">
        <v>830006716</v>
      </c>
      <c r="B433" s="19">
        <v>3</v>
      </c>
      <c r="C433" s="9" t="str">
        <f>VLOOKUP(A433,'[1]terceros cto'!A$1:B$65536,2,0)</f>
        <v>SILVERAGRO SAS</v>
      </c>
      <c r="D433" s="20" t="str">
        <f>VLOOKUP(C433,'[1]terceros cto'!B$1:F$65536,5,0)</f>
        <v>830006716@factureinbox.co</v>
      </c>
      <c r="E433" s="21" t="s">
        <v>2252</v>
      </c>
      <c r="F433" s="9" t="str">
        <f>VLOOKUP(C433,'[1]terceros cto'!B$1:D$65536,3,0)</f>
        <v>CALLE 162#21-51</v>
      </c>
      <c r="G433" s="21">
        <v>15516</v>
      </c>
      <c r="H433" s="9">
        <v>212</v>
      </c>
      <c r="I433" s="28">
        <v>400031</v>
      </c>
      <c r="J433" s="29">
        <v>0</v>
      </c>
      <c r="K433" s="22">
        <v>0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  <c r="CL433" s="9"/>
      <c r="CM433" s="9"/>
      <c r="CN433" s="9"/>
      <c r="CO433" s="9"/>
      <c r="CP433" s="9"/>
      <c r="CQ433" s="9"/>
      <c r="CR433" s="9"/>
      <c r="CS433" s="9"/>
      <c r="CT433" s="9"/>
      <c r="CU433" s="9"/>
      <c r="CV433" s="9"/>
      <c r="CW433" s="9"/>
      <c r="CX433" s="9"/>
      <c r="CY433" s="9"/>
      <c r="CZ433" s="9"/>
      <c r="DA433" s="9"/>
      <c r="DB433" s="9"/>
      <c r="DC433" s="9"/>
      <c r="DD433" s="9"/>
      <c r="DE433" s="9"/>
      <c r="DF433" s="9"/>
      <c r="DG433" s="9"/>
      <c r="DH433" s="9"/>
      <c r="DI433" s="9"/>
      <c r="DJ433" s="9"/>
      <c r="DK433" s="9"/>
      <c r="DL433" s="9"/>
      <c r="DM433" s="9"/>
      <c r="DN433" s="9"/>
      <c r="DO433" s="9"/>
      <c r="DP433" s="9"/>
      <c r="DQ433" s="9"/>
      <c r="DR433" s="9"/>
      <c r="DS433" s="9"/>
      <c r="DT433" s="9"/>
      <c r="DU433" s="9"/>
      <c r="DV433" s="9"/>
      <c r="DW433" s="9"/>
      <c r="DX433" s="9"/>
      <c r="DY433" s="9"/>
      <c r="DZ433" s="9"/>
      <c r="EA433" s="9"/>
      <c r="EB433" s="9"/>
      <c r="EC433" s="9"/>
      <c r="ED433" s="9"/>
      <c r="EE433" s="9"/>
      <c r="EF433" s="9"/>
      <c r="EG433" s="9"/>
      <c r="EH433" s="9"/>
      <c r="EI433" s="9"/>
      <c r="EJ433" s="9"/>
      <c r="EK433" s="9"/>
      <c r="EL433" s="9"/>
    </row>
    <row r="434" spans="1:142" x14ac:dyDescent="0.35">
      <c r="A434" s="9">
        <v>830024104</v>
      </c>
      <c r="B434" s="19">
        <v>2</v>
      </c>
      <c r="C434" s="9" t="str">
        <f>VLOOKUP(A434,'[1]terceros cto'!A$1:B$65536,2,0)</f>
        <v>URBASER COLOMBIA SA ESP</v>
      </c>
      <c r="D434" s="20" t="str">
        <f>VLOOKUP(C434,'[1]terceros cto'!B$1:F$65536,5,0)</f>
        <v>facturacionelectronica@urbaser.co</v>
      </c>
      <c r="E434" s="21" t="s">
        <v>2252</v>
      </c>
      <c r="F434" s="9" t="str">
        <f>VLOOKUP(C434,'[1]terceros cto'!B$1:D$65536,3,0)</f>
        <v>CR 4 2 24 AUT SUR</v>
      </c>
      <c r="G434" s="21">
        <v>15516</v>
      </c>
      <c r="H434" s="9">
        <v>212</v>
      </c>
      <c r="I434" s="30">
        <v>120136</v>
      </c>
      <c r="J434" s="31">
        <v>0</v>
      </c>
      <c r="K434" s="22">
        <v>0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  <c r="CJ434" s="9"/>
      <c r="CK434" s="9"/>
      <c r="CL434" s="9"/>
      <c r="CM434" s="9"/>
      <c r="CN434" s="9"/>
      <c r="CO434" s="9"/>
      <c r="CP434" s="9"/>
      <c r="CQ434" s="9"/>
      <c r="CR434" s="9"/>
      <c r="CS434" s="9"/>
      <c r="CT434" s="9"/>
      <c r="CU434" s="9"/>
      <c r="CV434" s="9"/>
      <c r="CW434" s="9"/>
      <c r="CX434" s="9"/>
      <c r="CY434" s="9"/>
      <c r="CZ434" s="9"/>
      <c r="DA434" s="9"/>
      <c r="DB434" s="9"/>
      <c r="DC434" s="9"/>
      <c r="DD434" s="9"/>
      <c r="DE434" s="9"/>
      <c r="DF434" s="9"/>
      <c r="DG434" s="9"/>
      <c r="DH434" s="9"/>
      <c r="DI434" s="9"/>
      <c r="DJ434" s="9"/>
      <c r="DK434" s="9"/>
      <c r="DL434" s="9"/>
      <c r="DM434" s="9"/>
      <c r="DN434" s="9"/>
      <c r="DO434" s="9"/>
      <c r="DP434" s="9"/>
      <c r="DQ434" s="9"/>
      <c r="DR434" s="9"/>
      <c r="DS434" s="9"/>
      <c r="DT434" s="9"/>
      <c r="DU434" s="9"/>
      <c r="DV434" s="9"/>
      <c r="DW434" s="9"/>
      <c r="DX434" s="9"/>
      <c r="DY434" s="9"/>
      <c r="DZ434" s="9"/>
      <c r="EA434" s="9"/>
      <c r="EB434" s="9"/>
      <c r="EC434" s="9"/>
      <c r="ED434" s="9"/>
      <c r="EE434" s="9"/>
      <c r="EF434" s="9"/>
      <c r="EG434" s="9"/>
      <c r="EH434" s="9"/>
      <c r="EI434" s="9"/>
      <c r="EJ434" s="9"/>
      <c r="EK434" s="9"/>
      <c r="EL434" s="9"/>
    </row>
    <row r="435" spans="1:142" x14ac:dyDescent="0.35">
      <c r="A435" s="9">
        <v>830057963</v>
      </c>
      <c r="B435" s="19">
        <v>4</v>
      </c>
      <c r="C435" s="9" t="str">
        <f>VLOOKUP(A435,'[1]terceros cto'!A$1:B$65536,2,0)</f>
        <v>LIGA DE CANOTAJE DE BOGOTÁ</v>
      </c>
      <c r="D435" s="20" t="str">
        <f>VLOOKUP(C435,'[1]terceros cto'!B$1:F$65536,5,0)</f>
        <v>presidencia@canotajebogota.com</v>
      </c>
      <c r="E435" s="21" t="s">
        <v>2252</v>
      </c>
      <c r="F435" s="9" t="str">
        <f>VLOOKUP(C435,'[1]terceros cto'!B$1:D$65536,3,0)</f>
        <v>Paipa</v>
      </c>
      <c r="G435" s="21">
        <v>15516</v>
      </c>
      <c r="H435" s="9">
        <v>212</v>
      </c>
      <c r="I435" s="28">
        <v>326903</v>
      </c>
      <c r="J435" s="29">
        <v>0</v>
      </c>
      <c r="K435" s="22">
        <v>0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  <c r="CJ435" s="9"/>
      <c r="CK435" s="9"/>
      <c r="CL435" s="9"/>
      <c r="CM435" s="9"/>
      <c r="CN435" s="9"/>
      <c r="CO435" s="9"/>
      <c r="CP435" s="9"/>
      <c r="CQ435" s="9"/>
      <c r="CR435" s="9"/>
      <c r="CS435" s="9"/>
      <c r="CT435" s="9"/>
      <c r="CU435" s="9"/>
      <c r="CV435" s="9"/>
      <c r="CW435" s="9"/>
      <c r="CX435" s="9"/>
      <c r="CY435" s="9"/>
      <c r="CZ435" s="9"/>
      <c r="DA435" s="9"/>
      <c r="DB435" s="9"/>
      <c r="DC435" s="9"/>
      <c r="DD435" s="9"/>
      <c r="DE435" s="9"/>
      <c r="DF435" s="9"/>
      <c r="DG435" s="9"/>
      <c r="DH435" s="9"/>
      <c r="DI435" s="9"/>
      <c r="DJ435" s="9"/>
      <c r="DK435" s="9"/>
      <c r="DL435" s="9"/>
      <c r="DM435" s="9"/>
      <c r="DN435" s="9"/>
      <c r="DO435" s="9"/>
      <c r="DP435" s="9"/>
      <c r="DQ435" s="9"/>
      <c r="DR435" s="9"/>
      <c r="DS435" s="9"/>
      <c r="DT435" s="9"/>
      <c r="DU435" s="9"/>
      <c r="DV435" s="9"/>
      <c r="DW435" s="9"/>
      <c r="DX435" s="9"/>
      <c r="DY435" s="9"/>
      <c r="DZ435" s="9"/>
      <c r="EA435" s="9"/>
      <c r="EB435" s="9"/>
      <c r="EC435" s="9"/>
      <c r="ED435" s="9"/>
      <c r="EE435" s="9"/>
      <c r="EF435" s="9"/>
      <c r="EG435" s="9"/>
      <c r="EH435" s="9"/>
      <c r="EI435" s="9"/>
      <c r="EJ435" s="9"/>
      <c r="EK435" s="9"/>
      <c r="EL435" s="9"/>
    </row>
    <row r="436" spans="1:142" x14ac:dyDescent="0.35">
      <c r="A436" s="9">
        <v>830069037</v>
      </c>
      <c r="B436" s="19">
        <v>0</v>
      </c>
      <c r="C436" s="9" t="str">
        <f>VLOOKUP(A436,'[1]terceros cto'!A$1:B$65536,2,0)</f>
        <v>SISTEMA DE TRANSPORTE SA</v>
      </c>
      <c r="D436" s="20" t="str">
        <f>VLOOKUP(C436,'[1]terceros cto'!B$1:F$65536,5,0)</f>
        <v>asistentegerencia@stsoperador.com</v>
      </c>
      <c r="E436" s="21" t="s">
        <v>2252</v>
      </c>
      <c r="F436" s="9" t="str">
        <f>VLOOKUP(C436,'[1]terceros cto'!B$1:D$65536,3,0)</f>
        <v>Paipa</v>
      </c>
      <c r="G436" s="21">
        <v>15516</v>
      </c>
      <c r="H436" s="9">
        <v>212</v>
      </c>
      <c r="I436" s="30">
        <v>140000</v>
      </c>
      <c r="J436" s="31">
        <v>0</v>
      </c>
      <c r="K436" s="22">
        <v>0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  <c r="CL436" s="9"/>
      <c r="CM436" s="9"/>
      <c r="CN436" s="9"/>
      <c r="CO436" s="9"/>
      <c r="CP436" s="9"/>
      <c r="CQ436" s="9"/>
      <c r="CR436" s="9"/>
      <c r="CS436" s="9"/>
      <c r="CT436" s="9"/>
      <c r="CU436" s="9"/>
      <c r="CV436" s="9"/>
      <c r="CW436" s="9"/>
      <c r="CX436" s="9"/>
      <c r="CY436" s="9"/>
      <c r="CZ436" s="9"/>
      <c r="DA436" s="9"/>
      <c r="DB436" s="9"/>
      <c r="DC436" s="9"/>
      <c r="DD436" s="9"/>
      <c r="DE436" s="9"/>
      <c r="DF436" s="9"/>
      <c r="DG436" s="9"/>
      <c r="DH436" s="9"/>
      <c r="DI436" s="9"/>
      <c r="DJ436" s="9"/>
      <c r="DK436" s="9"/>
      <c r="DL436" s="9"/>
      <c r="DM436" s="9"/>
      <c r="DN436" s="9"/>
      <c r="DO436" s="9"/>
      <c r="DP436" s="9"/>
      <c r="DQ436" s="9"/>
      <c r="DR436" s="9"/>
      <c r="DS436" s="9"/>
      <c r="DT436" s="9"/>
      <c r="DU436" s="9"/>
      <c r="DV436" s="9"/>
      <c r="DW436" s="9"/>
      <c r="DX436" s="9"/>
      <c r="DY436" s="9"/>
      <c r="DZ436" s="9"/>
      <c r="EA436" s="9"/>
      <c r="EB436" s="9"/>
      <c r="EC436" s="9"/>
      <c r="ED436" s="9"/>
      <c r="EE436" s="9"/>
      <c r="EF436" s="9"/>
      <c r="EG436" s="9"/>
      <c r="EH436" s="9"/>
      <c r="EI436" s="9"/>
      <c r="EJ436" s="9"/>
      <c r="EK436" s="9"/>
      <c r="EL436" s="9"/>
    </row>
    <row r="437" spans="1:142" x14ac:dyDescent="0.35">
      <c r="A437" s="9">
        <v>830088940</v>
      </c>
      <c r="B437" s="19">
        <v>8</v>
      </c>
      <c r="C437" s="9" t="str">
        <f>VLOOKUP(A437,'[1]terceros cto'!A$1:B$65536,2,0)</f>
        <v>PAIPA TOURS LTDA</v>
      </c>
      <c r="D437" s="20" t="str">
        <f>VLOOKUP(C437,'[1]terceros cto'!B$1:F$65536,5,0)</f>
        <v>ventas@paipatoursboyaca.com</v>
      </c>
      <c r="E437" s="21" t="s">
        <v>2252</v>
      </c>
      <c r="F437" s="9" t="str">
        <f>VLOOKUP(C437,'[1]terceros cto'!B$1:D$65536,3,0)</f>
        <v>PAIPA</v>
      </c>
      <c r="G437" s="21">
        <v>15516</v>
      </c>
      <c r="H437" s="9">
        <v>212</v>
      </c>
      <c r="I437" s="28">
        <v>245969</v>
      </c>
      <c r="J437" s="29">
        <v>0</v>
      </c>
      <c r="K437" s="22">
        <v>0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  <c r="CL437" s="9"/>
      <c r="CM437" s="9"/>
      <c r="CN437" s="9"/>
      <c r="CO437" s="9"/>
      <c r="CP437" s="9"/>
      <c r="CQ437" s="9"/>
      <c r="CR437" s="9"/>
      <c r="CS437" s="9"/>
      <c r="CT437" s="9"/>
      <c r="CU437" s="9"/>
      <c r="CV437" s="9"/>
      <c r="CW437" s="9"/>
      <c r="CX437" s="9"/>
      <c r="CY437" s="9"/>
      <c r="CZ437" s="9"/>
      <c r="DA437" s="9"/>
      <c r="DB437" s="9"/>
      <c r="DC437" s="9"/>
      <c r="DD437" s="9"/>
      <c r="DE437" s="9"/>
      <c r="DF437" s="9"/>
      <c r="DG437" s="9"/>
      <c r="DH437" s="9"/>
      <c r="DI437" s="9"/>
      <c r="DJ437" s="9"/>
      <c r="DK437" s="9"/>
      <c r="DL437" s="9"/>
      <c r="DM437" s="9"/>
      <c r="DN437" s="9"/>
      <c r="DO437" s="9"/>
      <c r="DP437" s="9"/>
      <c r="DQ437" s="9"/>
      <c r="DR437" s="9"/>
      <c r="DS437" s="9"/>
      <c r="DT437" s="9"/>
      <c r="DU437" s="9"/>
      <c r="DV437" s="9"/>
      <c r="DW437" s="9"/>
      <c r="DX437" s="9"/>
      <c r="DY437" s="9"/>
      <c r="DZ437" s="9"/>
      <c r="EA437" s="9"/>
      <c r="EB437" s="9"/>
      <c r="EC437" s="9"/>
      <c r="ED437" s="9"/>
      <c r="EE437" s="9"/>
      <c r="EF437" s="9"/>
      <c r="EG437" s="9"/>
      <c r="EH437" s="9"/>
      <c r="EI437" s="9"/>
      <c r="EJ437" s="9"/>
      <c r="EK437" s="9"/>
      <c r="EL437" s="9"/>
    </row>
    <row r="438" spans="1:142" x14ac:dyDescent="0.35">
      <c r="A438" s="9">
        <v>830090728</v>
      </c>
      <c r="B438" s="19">
        <v>9</v>
      </c>
      <c r="C438" s="9" t="str">
        <f>VLOOKUP(A438,'[1]terceros cto'!A$1:B$65536,2,0)</f>
        <v>COMITÉ PARALÍMPICO COLOMBIANO</v>
      </c>
      <c r="D438" s="20" t="str">
        <f>VLOOKUP(C438,'[1]terceros cto'!B$1:F$65536,5,0)</f>
        <v>facturacion@cpc.org.co</v>
      </c>
      <c r="E438" s="21" t="s">
        <v>2252</v>
      </c>
      <c r="F438" s="9" t="str">
        <f>VLOOKUP(C438,'[1]terceros cto'!B$1:D$65536,3,0)</f>
        <v>paipa</v>
      </c>
      <c r="G438" s="21">
        <v>15516</v>
      </c>
      <c r="H438" s="9">
        <v>212</v>
      </c>
      <c r="I438" s="30">
        <v>220329</v>
      </c>
      <c r="J438" s="31">
        <v>0</v>
      </c>
      <c r="K438" s="22">
        <v>0</v>
      </c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  <c r="CQ438" s="9"/>
      <c r="CR438" s="9"/>
      <c r="CS438" s="9"/>
      <c r="CT438" s="9"/>
      <c r="CU438" s="9"/>
      <c r="CV438" s="9"/>
      <c r="CW438" s="9"/>
      <c r="CX438" s="9"/>
      <c r="CY438" s="9"/>
      <c r="CZ438" s="9"/>
      <c r="DA438" s="9"/>
      <c r="DB438" s="9"/>
      <c r="DC438" s="9"/>
      <c r="DD438" s="9"/>
      <c r="DE438" s="9"/>
      <c r="DF438" s="9"/>
      <c r="DG438" s="9"/>
      <c r="DH438" s="9"/>
      <c r="DI438" s="9"/>
      <c r="DJ438" s="9"/>
      <c r="DK438" s="9"/>
      <c r="DL438" s="9"/>
      <c r="DM438" s="9"/>
      <c r="DN438" s="9"/>
      <c r="DO438" s="9"/>
      <c r="DP438" s="9"/>
      <c r="DQ438" s="9"/>
      <c r="DR438" s="9"/>
      <c r="DS438" s="9"/>
      <c r="DT438" s="9"/>
      <c r="DU438" s="9"/>
      <c r="DV438" s="9"/>
      <c r="DW438" s="9"/>
      <c r="DX438" s="9"/>
      <c r="DY438" s="9"/>
      <c r="DZ438" s="9"/>
      <c r="EA438" s="9"/>
      <c r="EB438" s="9"/>
      <c r="EC438" s="9"/>
      <c r="ED438" s="9"/>
      <c r="EE438" s="9"/>
      <c r="EF438" s="9"/>
      <c r="EG438" s="9"/>
      <c r="EH438" s="9"/>
      <c r="EI438" s="9"/>
      <c r="EJ438" s="9"/>
      <c r="EK438" s="9"/>
      <c r="EL438" s="9"/>
    </row>
    <row r="439" spans="1:142" x14ac:dyDescent="0.35">
      <c r="A439" s="9">
        <v>830093232</v>
      </c>
      <c r="B439" s="19">
        <v>1</v>
      </c>
      <c r="C439" s="9" t="str">
        <f>VLOOKUP(A439,'[1]terceros cto'!A$1:B$65536,2,0)</f>
        <v>COLOMBIA TRAVEL TOURS LTDA</v>
      </c>
      <c r="D439" s="20" t="str">
        <f>VLOOKUP(C439,'[1]terceros cto'!B$1:F$65536,5,0)</f>
        <v>gerencia@flotalamacarena.com</v>
      </c>
      <c r="E439" s="21" t="s">
        <v>2252</v>
      </c>
      <c r="F439" s="9" t="str">
        <f>VLOOKUP(C439,'[1]terceros cto'!B$1:D$65536,3,0)</f>
        <v>PAIPA</v>
      </c>
      <c r="G439" s="21">
        <v>15516</v>
      </c>
      <c r="H439" s="9">
        <v>212</v>
      </c>
      <c r="I439" s="28">
        <v>226065</v>
      </c>
      <c r="J439" s="29">
        <v>0</v>
      </c>
      <c r="K439" s="22">
        <v>0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  <c r="CL439" s="9"/>
      <c r="CM439" s="9"/>
      <c r="CN439" s="9"/>
      <c r="CO439" s="9"/>
      <c r="CP439" s="9"/>
      <c r="CQ439" s="9"/>
      <c r="CR439" s="9"/>
      <c r="CS439" s="9"/>
      <c r="CT439" s="9"/>
      <c r="CU439" s="9"/>
      <c r="CV439" s="9"/>
      <c r="CW439" s="9"/>
      <c r="CX439" s="9"/>
      <c r="CY439" s="9"/>
      <c r="CZ439" s="9"/>
      <c r="DA439" s="9"/>
      <c r="DB439" s="9"/>
      <c r="DC439" s="9"/>
      <c r="DD439" s="9"/>
      <c r="DE439" s="9"/>
      <c r="DF439" s="9"/>
      <c r="DG439" s="9"/>
      <c r="DH439" s="9"/>
      <c r="DI439" s="9"/>
      <c r="DJ439" s="9"/>
      <c r="DK439" s="9"/>
      <c r="DL439" s="9"/>
      <c r="DM439" s="9"/>
      <c r="DN439" s="9"/>
      <c r="DO439" s="9"/>
      <c r="DP439" s="9"/>
      <c r="DQ439" s="9"/>
      <c r="DR439" s="9"/>
      <c r="DS439" s="9"/>
      <c r="DT439" s="9"/>
      <c r="DU439" s="9"/>
      <c r="DV439" s="9"/>
      <c r="DW439" s="9"/>
      <c r="DX439" s="9"/>
      <c r="DY439" s="9"/>
      <c r="DZ439" s="9"/>
      <c r="EA439" s="9"/>
      <c r="EB439" s="9"/>
      <c r="EC439" s="9"/>
      <c r="ED439" s="9"/>
      <c r="EE439" s="9"/>
      <c r="EF439" s="9"/>
      <c r="EG439" s="9"/>
      <c r="EH439" s="9"/>
      <c r="EI439" s="9"/>
      <c r="EJ439" s="9"/>
      <c r="EK439" s="9"/>
      <c r="EL439" s="9"/>
    </row>
    <row r="440" spans="1:142" x14ac:dyDescent="0.35">
      <c r="A440" s="9">
        <v>830095213</v>
      </c>
      <c r="B440" s="19">
        <v>0</v>
      </c>
      <c r="C440" s="9" t="str">
        <f>VLOOKUP(A440,'[1]terceros cto'!A$1:B$65536,2,0)</f>
        <v>ORGANIZACIÓN TERPEL S.A.</v>
      </c>
      <c r="D440" s="20" t="str">
        <f>VLOOKUP(C440,'[1]terceros cto'!B$1:F$65536,5,0)</f>
        <v>felectronicarsab@terpel.com</v>
      </c>
      <c r="E440" s="21" t="s">
        <v>2252</v>
      </c>
      <c r="F440" s="9" t="str">
        <f>VLOOKUP(C440,'[1]terceros cto'!B$1:D$65536,3,0)</f>
        <v>CARRERA 7 75 26</v>
      </c>
      <c r="G440" s="21">
        <v>15516</v>
      </c>
      <c r="H440" s="9">
        <v>212</v>
      </c>
      <c r="I440" s="30">
        <v>501515930</v>
      </c>
      <c r="J440" s="31">
        <v>4726609</v>
      </c>
      <c r="K440" s="22">
        <v>4726609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  <c r="CL440" s="9"/>
      <c r="CM440" s="9"/>
      <c r="CN440" s="9"/>
      <c r="CO440" s="9"/>
      <c r="CP440" s="9"/>
      <c r="CQ440" s="9"/>
      <c r="CR440" s="9"/>
      <c r="CS440" s="9"/>
      <c r="CT440" s="9"/>
      <c r="CU440" s="9"/>
      <c r="CV440" s="9"/>
      <c r="CW440" s="9"/>
      <c r="CX440" s="9"/>
      <c r="CY440" s="9"/>
      <c r="CZ440" s="9"/>
      <c r="DA440" s="9"/>
      <c r="DB440" s="9"/>
      <c r="DC440" s="9"/>
      <c r="DD440" s="9"/>
      <c r="DE440" s="9"/>
      <c r="DF440" s="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x14ac:dyDescent="0.35">
      <c r="A441" s="9">
        <v>830099869</v>
      </c>
      <c r="B441" s="19">
        <v>1</v>
      </c>
      <c r="C441" s="9" t="str">
        <f>VLOOKUP(A441,'[1]terceros cto'!A$1:B$65536,2,0)</f>
        <v>ALCA SISTEMAS S.A.S.</v>
      </c>
      <c r="D441" s="20" t="str">
        <f>VLOOKUP(C441,'[1]terceros cto'!B$1:F$65536,5,0)</f>
        <v>sanchez_alfonso@ciudadconexiondigital.com</v>
      </c>
      <c r="E441" s="21" t="s">
        <v>2252</v>
      </c>
      <c r="F441" s="9" t="str">
        <f>VLOOKUP(C441,'[1]terceros cto'!B$1:D$65536,3,0)</f>
        <v>PAIPA</v>
      </c>
      <c r="G441" s="21">
        <v>15516</v>
      </c>
      <c r="H441" s="9">
        <v>212</v>
      </c>
      <c r="I441" s="28">
        <v>157500</v>
      </c>
      <c r="J441" s="29">
        <v>0</v>
      </c>
      <c r="K441" s="22">
        <v>0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  <c r="CL441" s="9"/>
      <c r="CM441" s="9"/>
      <c r="CN441" s="9"/>
      <c r="CO441" s="9"/>
      <c r="CP441" s="9"/>
      <c r="CQ441" s="9"/>
      <c r="CR441" s="9"/>
      <c r="CS441" s="9"/>
      <c r="CT441" s="9"/>
      <c r="CU441" s="9"/>
      <c r="CV441" s="9"/>
      <c r="CW441" s="9"/>
      <c r="CX441" s="9"/>
      <c r="CY441" s="9"/>
      <c r="CZ441" s="9"/>
      <c r="DA441" s="9"/>
      <c r="DB441" s="9"/>
      <c r="DC441" s="9"/>
      <c r="DD441" s="9"/>
      <c r="DE441" s="9"/>
      <c r="DF441" s="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x14ac:dyDescent="0.35">
      <c r="A442" s="9">
        <v>830113599</v>
      </c>
      <c r="B442" s="19">
        <v>6</v>
      </c>
      <c r="C442" s="9" t="str">
        <f>VLOOKUP(A442,'[1]terceros cto'!A$1:B$65536,2,0)</f>
        <v>INVERPROGRESO S.A.S</v>
      </c>
      <c r="D442" s="20" t="str">
        <f>VLOOKUP(C442,'[1]terceros cto'!B$1:F$65536,5,0)</f>
        <v>inverprogreso@olcsal.com</v>
      </c>
      <c r="E442" s="21" t="s">
        <v>2252</v>
      </c>
      <c r="F442" s="9" t="str">
        <f>VLOOKUP(C442,'[1]terceros cto'!B$1:D$65536,3,0)</f>
        <v>Paipa</v>
      </c>
      <c r="G442" s="21">
        <v>15516</v>
      </c>
      <c r="H442" s="9">
        <v>212</v>
      </c>
      <c r="I442" s="30">
        <v>891545</v>
      </c>
      <c r="J442" s="31">
        <v>0</v>
      </c>
      <c r="K442" s="22">
        <v>0</v>
      </c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  <c r="CQ442" s="9"/>
      <c r="CR442" s="9"/>
      <c r="CS442" s="9"/>
      <c r="CT442" s="9"/>
      <c r="CU442" s="9"/>
      <c r="CV442" s="9"/>
      <c r="CW442" s="9"/>
      <c r="CX442" s="9"/>
      <c r="CY442" s="9"/>
      <c r="CZ442" s="9"/>
      <c r="DA442" s="9"/>
      <c r="DB442" s="9"/>
      <c r="DC442" s="9"/>
      <c r="DD442" s="9"/>
      <c r="DE442" s="9"/>
      <c r="DF442" s="9"/>
      <c r="DG442" s="9"/>
      <c r="DH442" s="9"/>
      <c r="DI442" s="9"/>
      <c r="DJ442" s="9"/>
      <c r="DK442" s="9"/>
      <c r="DL442" s="9"/>
      <c r="DM442" s="9"/>
      <c r="DN442" s="9"/>
      <c r="DO442" s="9"/>
      <c r="DP442" s="9"/>
      <c r="DQ442" s="9"/>
      <c r="DR442" s="9"/>
      <c r="DS442" s="9"/>
      <c r="DT442" s="9"/>
      <c r="DU442" s="9"/>
      <c r="DV442" s="9"/>
      <c r="DW442" s="9"/>
      <c r="DX442" s="9"/>
      <c r="DY442" s="9"/>
      <c r="DZ442" s="9"/>
      <c r="EA442" s="9"/>
      <c r="EB442" s="9"/>
      <c r="EC442" s="9"/>
      <c r="ED442" s="9"/>
      <c r="EE442" s="9"/>
      <c r="EF442" s="9"/>
      <c r="EG442" s="9"/>
      <c r="EH442" s="9"/>
      <c r="EI442" s="9"/>
      <c r="EJ442" s="9"/>
      <c r="EK442" s="9"/>
      <c r="EL442" s="9"/>
    </row>
    <row r="443" spans="1:142" x14ac:dyDescent="0.35">
      <c r="A443" s="9">
        <v>830118667</v>
      </c>
      <c r="B443" s="19">
        <v>1</v>
      </c>
      <c r="C443" s="9" t="str">
        <f>VLOOKUP(A443,'[1]terceros cto'!A$1:B$65536,2,0)</f>
        <v>ATI ASISTENCIA TECNICA INDUSTRIAL SAS</v>
      </c>
      <c r="D443" s="20" t="str">
        <f>VLOOKUP(C443,'[1]terceros cto'!B$1:F$65536,5,0)</f>
        <v>gerencia@ati.net.co</v>
      </c>
      <c r="E443" s="21" t="s">
        <v>2252</v>
      </c>
      <c r="F443" s="9" t="str">
        <f>VLOOKUP(C443,'[1]terceros cto'!B$1:D$65536,3,0)</f>
        <v>CALLE 16 N 14-41</v>
      </c>
      <c r="G443" s="21">
        <v>15516</v>
      </c>
      <c r="H443" s="9">
        <v>212</v>
      </c>
      <c r="I443" s="28">
        <v>350000</v>
      </c>
      <c r="J443" s="29">
        <v>0</v>
      </c>
      <c r="K443" s="22">
        <v>0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  <c r="CL443" s="9"/>
      <c r="CM443" s="9"/>
      <c r="CN443" s="9"/>
      <c r="CO443" s="9"/>
      <c r="CP443" s="9"/>
      <c r="CQ443" s="9"/>
      <c r="CR443" s="9"/>
      <c r="CS443" s="9"/>
      <c r="CT443" s="9"/>
      <c r="CU443" s="9"/>
      <c r="CV443" s="9"/>
      <c r="CW443" s="9"/>
      <c r="CX443" s="9"/>
      <c r="CY443" s="9"/>
      <c r="CZ443" s="9"/>
      <c r="DA443" s="9"/>
      <c r="DB443" s="9"/>
      <c r="DC443" s="9"/>
      <c r="DD443" s="9"/>
      <c r="DE443" s="9"/>
      <c r="DF443" s="9"/>
      <c r="DG443" s="9"/>
      <c r="DH443" s="9"/>
      <c r="DI443" s="9"/>
      <c r="DJ443" s="9"/>
      <c r="DK443" s="9"/>
      <c r="DL443" s="9"/>
      <c r="DM443" s="9"/>
      <c r="DN443" s="9"/>
      <c r="DO443" s="9"/>
      <c r="DP443" s="9"/>
      <c r="DQ443" s="9"/>
      <c r="DR443" s="9"/>
      <c r="DS443" s="9"/>
      <c r="DT443" s="9"/>
      <c r="DU443" s="9"/>
      <c r="DV443" s="9"/>
      <c r="DW443" s="9"/>
      <c r="DX443" s="9"/>
      <c r="DY443" s="9"/>
      <c r="DZ443" s="9"/>
      <c r="EA443" s="9"/>
      <c r="EB443" s="9"/>
      <c r="EC443" s="9"/>
      <c r="ED443" s="9"/>
      <c r="EE443" s="9"/>
      <c r="EF443" s="9"/>
      <c r="EG443" s="9"/>
      <c r="EH443" s="9"/>
      <c r="EI443" s="9"/>
      <c r="EJ443" s="9"/>
      <c r="EK443" s="9"/>
      <c r="EL443" s="9"/>
    </row>
    <row r="444" spans="1:142" x14ac:dyDescent="0.35">
      <c r="A444" s="9">
        <v>830125996</v>
      </c>
      <c r="B444" s="19">
        <v>9</v>
      </c>
      <c r="C444" s="9" t="str">
        <f>VLOOKUP(A444,'[1]terceros cto'!A$1:B$65536,2,0)</f>
        <v>AGENCIA NACIONAL DE INFRAESTRUCTURA</v>
      </c>
      <c r="D444" s="20" t="str">
        <f>VLOOKUP(C444,'[1]terceros cto'!B$1:F$65536,5,0)</f>
        <v>nmaldonado@ani.gov.co</v>
      </c>
      <c r="E444" s="21" t="s">
        <v>2252</v>
      </c>
      <c r="F444" s="9" t="str">
        <f>VLOOKUP(C444,'[1]terceros cto'!B$1:D$65536,3,0)</f>
        <v>Paipa</v>
      </c>
      <c r="G444" s="21">
        <v>15516</v>
      </c>
      <c r="H444" s="9">
        <v>212</v>
      </c>
      <c r="I444" s="30">
        <v>112365</v>
      </c>
      <c r="J444" s="31">
        <v>0</v>
      </c>
      <c r="K444" s="22">
        <v>0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  <c r="CJ444" s="9"/>
      <c r="CK444" s="9"/>
      <c r="CL444" s="9"/>
      <c r="CM444" s="9"/>
      <c r="CN444" s="9"/>
      <c r="CO444" s="9"/>
      <c r="CP444" s="9"/>
      <c r="CQ444" s="9"/>
      <c r="CR444" s="9"/>
      <c r="CS444" s="9"/>
      <c r="CT444" s="9"/>
      <c r="CU444" s="9"/>
      <c r="CV444" s="9"/>
      <c r="CW444" s="9"/>
      <c r="CX444" s="9"/>
      <c r="CY444" s="9"/>
      <c r="CZ444" s="9"/>
      <c r="DA444" s="9"/>
      <c r="DB444" s="9"/>
      <c r="DC444" s="9"/>
      <c r="DD444" s="9"/>
      <c r="DE444" s="9"/>
      <c r="DF444" s="9"/>
      <c r="DG444" s="9"/>
      <c r="DH444" s="9"/>
      <c r="DI444" s="9"/>
      <c r="DJ444" s="9"/>
      <c r="DK444" s="9"/>
      <c r="DL444" s="9"/>
      <c r="DM444" s="9"/>
      <c r="DN444" s="9"/>
      <c r="DO444" s="9"/>
      <c r="DP444" s="9"/>
      <c r="DQ444" s="9"/>
      <c r="DR444" s="9"/>
      <c r="DS444" s="9"/>
      <c r="DT444" s="9"/>
      <c r="DU444" s="9"/>
      <c r="DV444" s="9"/>
      <c r="DW444" s="9"/>
      <c r="DX444" s="9"/>
      <c r="DY444" s="9"/>
      <c r="DZ444" s="9"/>
      <c r="EA444" s="9"/>
      <c r="EB444" s="9"/>
      <c r="EC444" s="9"/>
      <c r="ED444" s="9"/>
      <c r="EE444" s="9"/>
      <c r="EF444" s="9"/>
      <c r="EG444" s="9"/>
      <c r="EH444" s="9"/>
      <c r="EI444" s="9"/>
      <c r="EJ444" s="9"/>
      <c r="EK444" s="9"/>
      <c r="EL444" s="9"/>
    </row>
    <row r="445" spans="1:142" x14ac:dyDescent="0.35">
      <c r="A445" s="9">
        <v>830129058</v>
      </c>
      <c r="B445" s="19">
        <v>3</v>
      </c>
      <c r="C445" s="9" t="str">
        <f>VLOOKUP(A445,'[1]terceros cto'!A$1:B$65536,2,0)</f>
        <v>COMPAÑIA DE INGENIERIA ELECTRICA, M</v>
      </c>
      <c r="D445" s="20" t="str">
        <f>VLOOKUP(C445,'[1]terceros cto'!B$1:F$65536,5,0)</f>
        <v>facturacion@cinemco.com</v>
      </c>
      <c r="E445" s="21" t="s">
        <v>2252</v>
      </c>
      <c r="F445" s="9" t="str">
        <f>VLOOKUP(C445,'[1]terceros cto'!B$1:D$65536,3,0)</f>
        <v>CL 74 15 80 INT 2 OF 502</v>
      </c>
      <c r="G445" s="21">
        <v>15516</v>
      </c>
      <c r="H445" s="9">
        <v>212</v>
      </c>
      <c r="I445" s="28">
        <v>20012</v>
      </c>
      <c r="J445" s="29">
        <v>0</v>
      </c>
      <c r="K445" s="22">
        <v>0</v>
      </c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  <c r="CJ445" s="9"/>
      <c r="CK445" s="9"/>
      <c r="CL445" s="9"/>
      <c r="CM445" s="9"/>
      <c r="CN445" s="9"/>
      <c r="CO445" s="9"/>
      <c r="CP445" s="9"/>
      <c r="CQ445" s="9"/>
      <c r="CR445" s="9"/>
      <c r="CS445" s="9"/>
      <c r="CT445" s="9"/>
      <c r="CU445" s="9"/>
      <c r="CV445" s="9"/>
      <c r="CW445" s="9"/>
      <c r="CX445" s="9"/>
      <c r="CY445" s="9"/>
      <c r="CZ445" s="9"/>
      <c r="DA445" s="9"/>
      <c r="DB445" s="9"/>
      <c r="DC445" s="9"/>
      <c r="DD445" s="9"/>
      <c r="DE445" s="9"/>
      <c r="DF445" s="9"/>
      <c r="DG445" s="9"/>
      <c r="DH445" s="9"/>
      <c r="DI445" s="9"/>
      <c r="DJ445" s="9"/>
      <c r="DK445" s="9"/>
      <c r="DL445" s="9"/>
      <c r="DM445" s="9"/>
      <c r="DN445" s="9"/>
      <c r="DO445" s="9"/>
      <c r="DP445" s="9"/>
      <c r="DQ445" s="9"/>
      <c r="DR445" s="9"/>
      <c r="DS445" s="9"/>
      <c r="DT445" s="9"/>
      <c r="DU445" s="9"/>
      <c r="DV445" s="9"/>
      <c r="DW445" s="9"/>
      <c r="DX445" s="9"/>
      <c r="DY445" s="9"/>
      <c r="DZ445" s="9"/>
      <c r="EA445" s="9"/>
      <c r="EB445" s="9"/>
      <c r="EC445" s="9"/>
      <c r="ED445" s="9"/>
      <c r="EE445" s="9"/>
      <c r="EF445" s="9"/>
      <c r="EG445" s="9"/>
      <c r="EH445" s="9"/>
      <c r="EI445" s="9"/>
      <c r="EJ445" s="9"/>
      <c r="EK445" s="9"/>
      <c r="EL445" s="9"/>
    </row>
    <row r="446" spans="1:142" x14ac:dyDescent="0.35">
      <c r="A446" s="9">
        <v>830500198</v>
      </c>
      <c r="B446" s="19">
        <v>6</v>
      </c>
      <c r="C446" s="9" t="str">
        <f>VLOOKUP(A446,'[1]terceros cto'!A$1:B$65536,2,0)</f>
        <v>LA COLINA BRANDS SAS</v>
      </c>
      <c r="D446" s="20" t="str">
        <f>VLOOKUP(C446,'[1]terceros cto'!B$1:F$65536,5,0)</f>
        <v>lacolina.contabilidad@gmail.com</v>
      </c>
      <c r="E446" s="21" t="s">
        <v>2252</v>
      </c>
      <c r="F446" s="9" t="str">
        <f>VLOOKUP(C446,'[1]terceros cto'!B$1:D$65536,3,0)</f>
        <v>Paipa</v>
      </c>
      <c r="G446" s="21">
        <v>15516</v>
      </c>
      <c r="H446" s="9">
        <v>212</v>
      </c>
      <c r="I446" s="30">
        <v>160160</v>
      </c>
      <c r="J446" s="31">
        <v>0</v>
      </c>
      <c r="K446" s="22">
        <v>0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  <c r="CJ446" s="9"/>
      <c r="CK446" s="9"/>
      <c r="CL446" s="9"/>
      <c r="CM446" s="9"/>
      <c r="CN446" s="9"/>
      <c r="CO446" s="9"/>
      <c r="CP446" s="9"/>
      <c r="CQ446" s="9"/>
      <c r="CR446" s="9"/>
      <c r="CS446" s="9"/>
      <c r="CT446" s="9"/>
      <c r="CU446" s="9"/>
      <c r="CV446" s="9"/>
      <c r="CW446" s="9"/>
      <c r="CX446" s="9"/>
      <c r="CY446" s="9"/>
      <c r="CZ446" s="9"/>
      <c r="DA446" s="9"/>
      <c r="DB446" s="9"/>
      <c r="DC446" s="9"/>
      <c r="DD446" s="9"/>
      <c r="DE446" s="9"/>
      <c r="DF446" s="9"/>
      <c r="DG446" s="9"/>
      <c r="DH446" s="9"/>
      <c r="DI446" s="9"/>
      <c r="DJ446" s="9"/>
      <c r="DK446" s="9"/>
      <c r="DL446" s="9"/>
      <c r="DM446" s="9"/>
      <c r="DN446" s="9"/>
      <c r="DO446" s="9"/>
      <c r="DP446" s="9"/>
      <c r="DQ446" s="9"/>
      <c r="DR446" s="9"/>
      <c r="DS446" s="9"/>
      <c r="DT446" s="9"/>
      <c r="DU446" s="9"/>
      <c r="DV446" s="9"/>
      <c r="DW446" s="9"/>
      <c r="DX446" s="9"/>
      <c r="DY446" s="9"/>
      <c r="DZ446" s="9"/>
      <c r="EA446" s="9"/>
      <c r="EB446" s="9"/>
      <c r="EC446" s="9"/>
      <c r="ED446" s="9"/>
      <c r="EE446" s="9"/>
      <c r="EF446" s="9"/>
      <c r="EG446" s="9"/>
      <c r="EH446" s="9"/>
      <c r="EI446" s="9"/>
      <c r="EJ446" s="9"/>
      <c r="EK446" s="9"/>
      <c r="EL446" s="9"/>
    </row>
    <row r="447" spans="1:142" x14ac:dyDescent="0.35">
      <c r="A447" s="9">
        <v>830510011</v>
      </c>
      <c r="B447" s="19">
        <v>0</v>
      </c>
      <c r="C447" s="9" t="str">
        <f>VLOOKUP(A447,'[1]terceros cto'!A$1:B$65536,2,0)</f>
        <v>OFF BOUND ADVENTURES SAS</v>
      </c>
      <c r="D447" s="20" t="str">
        <f>VLOOKUP(C447,'[1]terceros cto'!B$1:F$65536,5,0)</f>
        <v>info@zambo.com.co</v>
      </c>
      <c r="E447" s="21" t="s">
        <v>2252</v>
      </c>
      <c r="F447" s="9" t="str">
        <f>VLOOKUP(C447,'[1]terceros cto'!B$1:D$65536,3,0)</f>
        <v>Paipa</v>
      </c>
      <c r="G447" s="21">
        <v>15516</v>
      </c>
      <c r="H447" s="9">
        <v>212</v>
      </c>
      <c r="I447" s="28">
        <v>238082</v>
      </c>
      <c r="J447" s="29">
        <v>0</v>
      </c>
      <c r="K447" s="22">
        <v>0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  <c r="CJ447" s="9"/>
      <c r="CK447" s="9"/>
      <c r="CL447" s="9"/>
      <c r="CM447" s="9"/>
      <c r="CN447" s="9"/>
      <c r="CO447" s="9"/>
      <c r="CP447" s="9"/>
      <c r="CQ447" s="9"/>
      <c r="CR447" s="9"/>
      <c r="CS447" s="9"/>
      <c r="CT447" s="9"/>
      <c r="CU447" s="9"/>
      <c r="CV447" s="9"/>
      <c r="CW447" s="9"/>
      <c r="CX447" s="9"/>
      <c r="CY447" s="9"/>
      <c r="CZ447" s="9"/>
      <c r="DA447" s="9"/>
      <c r="DB447" s="9"/>
      <c r="DC447" s="9"/>
      <c r="DD447" s="9"/>
      <c r="DE447" s="9"/>
      <c r="DF447" s="9"/>
      <c r="DG447" s="9"/>
      <c r="DH447" s="9"/>
      <c r="DI447" s="9"/>
      <c r="DJ447" s="9"/>
      <c r="DK447" s="9"/>
      <c r="DL447" s="9"/>
      <c r="DM447" s="9"/>
      <c r="DN447" s="9"/>
      <c r="DO447" s="9"/>
      <c r="DP447" s="9"/>
      <c r="DQ447" s="9"/>
      <c r="DR447" s="9"/>
      <c r="DS447" s="9"/>
      <c r="DT447" s="9"/>
      <c r="DU447" s="9"/>
      <c r="DV447" s="9"/>
      <c r="DW447" s="9"/>
      <c r="DX447" s="9"/>
      <c r="DY447" s="9"/>
      <c r="DZ447" s="9"/>
      <c r="EA447" s="9"/>
      <c r="EB447" s="9"/>
      <c r="EC447" s="9"/>
      <c r="ED447" s="9"/>
      <c r="EE447" s="9"/>
      <c r="EF447" s="9"/>
      <c r="EG447" s="9"/>
      <c r="EH447" s="9"/>
      <c r="EI447" s="9"/>
      <c r="EJ447" s="9"/>
      <c r="EK447" s="9"/>
      <c r="EL447" s="9"/>
    </row>
    <row r="448" spans="1:142" x14ac:dyDescent="0.35">
      <c r="A448" s="9">
        <v>830513773</v>
      </c>
      <c r="B448" s="19">
        <v>8</v>
      </c>
      <c r="C448" s="9" t="str">
        <f>VLOOKUP(A448,'[1]terceros cto'!A$1:B$65536,2,0)</f>
        <v>APPLUS NORCONTROL COLOMBIA LTD</v>
      </c>
      <c r="D448" s="20" t="str">
        <f>VLOOKUP(C448,'[1]terceros cto'!B$1:F$65536,5,0)</f>
        <v>zully.amaris@applus.com</v>
      </c>
      <c r="E448" s="21" t="s">
        <v>2252</v>
      </c>
      <c r="F448" s="9" t="str">
        <f>VLOOKUP(C448,'[1]terceros cto'!B$1:D$65536,3,0)</f>
        <v>Paipa</v>
      </c>
      <c r="G448" s="21">
        <v>15516</v>
      </c>
      <c r="H448" s="9">
        <v>212</v>
      </c>
      <c r="I448" s="30">
        <v>40000</v>
      </c>
      <c r="J448" s="31">
        <v>0</v>
      </c>
      <c r="K448" s="22">
        <v>0</v>
      </c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  <c r="CJ448" s="9"/>
      <c r="CK448" s="9"/>
      <c r="CL448" s="9"/>
      <c r="CM448" s="9"/>
      <c r="CN448" s="9"/>
      <c r="CO448" s="9"/>
      <c r="CP448" s="9"/>
      <c r="CQ448" s="9"/>
      <c r="CR448" s="9"/>
      <c r="CS448" s="9"/>
      <c r="CT448" s="9"/>
      <c r="CU448" s="9"/>
      <c r="CV448" s="9"/>
      <c r="CW448" s="9"/>
      <c r="CX448" s="9"/>
      <c r="CY448" s="9"/>
      <c r="CZ448" s="9"/>
      <c r="DA448" s="9"/>
      <c r="DB448" s="9"/>
      <c r="DC448" s="9"/>
      <c r="DD448" s="9"/>
      <c r="DE448" s="9"/>
      <c r="DF448" s="9"/>
      <c r="DG448" s="9"/>
      <c r="DH448" s="9"/>
      <c r="DI448" s="9"/>
      <c r="DJ448" s="9"/>
      <c r="DK448" s="9"/>
      <c r="DL448" s="9"/>
      <c r="DM448" s="9"/>
      <c r="DN448" s="9"/>
      <c r="DO448" s="9"/>
      <c r="DP448" s="9"/>
      <c r="DQ448" s="9"/>
      <c r="DR448" s="9"/>
      <c r="DS448" s="9"/>
      <c r="DT448" s="9"/>
      <c r="DU448" s="9"/>
      <c r="DV448" s="9"/>
      <c r="DW448" s="9"/>
      <c r="DX448" s="9"/>
      <c r="DY448" s="9"/>
      <c r="DZ448" s="9"/>
      <c r="EA448" s="9"/>
      <c r="EB448" s="9"/>
      <c r="EC448" s="9"/>
      <c r="ED448" s="9"/>
      <c r="EE448" s="9"/>
      <c r="EF448" s="9"/>
      <c r="EG448" s="9"/>
      <c r="EH448" s="9"/>
      <c r="EI448" s="9"/>
      <c r="EJ448" s="9"/>
      <c r="EK448" s="9"/>
      <c r="EL448" s="9"/>
    </row>
    <row r="449" spans="1:142" x14ac:dyDescent="0.35">
      <c r="A449" s="9">
        <v>832002451</v>
      </c>
      <c r="B449" s="19">
        <v>6</v>
      </c>
      <c r="C449" s="9" t="str">
        <f>VLOOKUP(A449,'[1]terceros cto'!A$1:B$65536,2,0)</f>
        <v>UNIMINAS SAS</v>
      </c>
      <c r="D449" s="20" t="str">
        <f>VLOOKUP(C449,'[1]terceros cto'!B$1:F$65536,5,0)</f>
        <v>recepcion.facturas@uniminas.com.co</v>
      </c>
      <c r="E449" s="21" t="s">
        <v>2252</v>
      </c>
      <c r="F449" s="9" t="str">
        <f>VLOOKUP(C449,'[1]terceros cto'!B$1:D$65536,3,0)</f>
        <v>Paipa</v>
      </c>
      <c r="G449" s="21">
        <v>15516</v>
      </c>
      <c r="H449" s="9">
        <v>212</v>
      </c>
      <c r="I449" s="28">
        <v>90000</v>
      </c>
      <c r="J449" s="29">
        <v>0</v>
      </c>
      <c r="K449" s="22">
        <v>0</v>
      </c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  <c r="CL449" s="9"/>
      <c r="CM449" s="9"/>
      <c r="CN449" s="9"/>
      <c r="CO449" s="9"/>
      <c r="CP449" s="9"/>
      <c r="CQ449" s="9"/>
      <c r="CR449" s="9"/>
      <c r="CS449" s="9"/>
      <c r="CT449" s="9"/>
      <c r="CU449" s="9"/>
      <c r="CV449" s="9"/>
      <c r="CW449" s="9"/>
      <c r="CX449" s="9"/>
      <c r="CY449" s="9"/>
      <c r="CZ449" s="9"/>
      <c r="DA449" s="9"/>
      <c r="DB449" s="9"/>
      <c r="DC449" s="9"/>
      <c r="DD449" s="9"/>
      <c r="DE449" s="9"/>
      <c r="DF449" s="9"/>
      <c r="DG449" s="9"/>
      <c r="DH449" s="9"/>
      <c r="DI449" s="9"/>
      <c r="DJ449" s="9"/>
      <c r="DK449" s="9"/>
      <c r="DL449" s="9"/>
      <c r="DM449" s="9"/>
      <c r="DN449" s="9"/>
      <c r="DO449" s="9"/>
      <c r="DP449" s="9"/>
      <c r="DQ449" s="9"/>
      <c r="DR449" s="9"/>
      <c r="DS449" s="9"/>
      <c r="DT449" s="9"/>
      <c r="DU449" s="9"/>
      <c r="DV449" s="9"/>
      <c r="DW449" s="9"/>
      <c r="DX449" s="9"/>
      <c r="DY449" s="9"/>
      <c r="DZ449" s="9"/>
      <c r="EA449" s="9"/>
      <c r="EB449" s="9"/>
      <c r="EC449" s="9"/>
      <c r="ED449" s="9"/>
      <c r="EE449" s="9"/>
      <c r="EF449" s="9"/>
      <c r="EG449" s="9"/>
      <c r="EH449" s="9"/>
      <c r="EI449" s="9"/>
      <c r="EJ449" s="9"/>
      <c r="EK449" s="9"/>
      <c r="EL449" s="9"/>
    </row>
    <row r="450" spans="1:142" x14ac:dyDescent="0.35">
      <c r="A450" s="9">
        <v>844001945</v>
      </c>
      <c r="B450" s="19">
        <v>1</v>
      </c>
      <c r="C450" s="9" t="str">
        <f>VLOOKUP(A450,'[1]terceros cto'!A$1:B$65536,2,0)</f>
        <v>BOBINADOS ELECTRO ORIENTE SAS</v>
      </c>
      <c r="D450" s="20" t="str">
        <f>VLOOKUP(C450,'[1]terceros cto'!B$1:F$65536,5,0)</f>
        <v>contabilidad@beoriente.com</v>
      </c>
      <c r="E450" s="21" t="s">
        <v>2252</v>
      </c>
      <c r="F450" s="9" t="str">
        <f>VLOOKUP(C450,'[1]terceros cto'!B$1:D$65536,3,0)</f>
        <v>Paipa</v>
      </c>
      <c r="G450" s="21">
        <v>15516</v>
      </c>
      <c r="H450" s="9">
        <v>212</v>
      </c>
      <c r="I450" s="30">
        <v>50000</v>
      </c>
      <c r="J450" s="31">
        <v>0</v>
      </c>
      <c r="K450" s="22">
        <v>0</v>
      </c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  <c r="CL450" s="9"/>
      <c r="CM450" s="9"/>
      <c r="CN450" s="9"/>
      <c r="CO450" s="9"/>
      <c r="CP450" s="9"/>
      <c r="CQ450" s="9"/>
      <c r="CR450" s="9"/>
      <c r="CS450" s="9"/>
      <c r="CT450" s="9"/>
      <c r="CU450" s="9"/>
      <c r="CV450" s="9"/>
      <c r="CW450" s="9"/>
      <c r="CX450" s="9"/>
      <c r="CY450" s="9"/>
      <c r="CZ450" s="9"/>
      <c r="DA450" s="9"/>
      <c r="DB450" s="9"/>
      <c r="DC450" s="9"/>
      <c r="DD450" s="9"/>
      <c r="DE450" s="9"/>
      <c r="DF450" s="9"/>
      <c r="DG450" s="9"/>
      <c r="DH450" s="9"/>
      <c r="DI450" s="9"/>
      <c r="DJ450" s="9"/>
      <c r="DK450" s="9"/>
      <c r="DL450" s="9"/>
      <c r="DM450" s="9"/>
      <c r="DN450" s="9"/>
      <c r="DO450" s="9"/>
      <c r="DP450" s="9"/>
      <c r="DQ450" s="9"/>
      <c r="DR450" s="9"/>
      <c r="DS450" s="9"/>
      <c r="DT450" s="9"/>
      <c r="DU450" s="9"/>
      <c r="DV450" s="9"/>
      <c r="DW450" s="9"/>
      <c r="DX450" s="9"/>
      <c r="DY450" s="9"/>
      <c r="DZ450" s="9"/>
      <c r="EA450" s="9"/>
      <c r="EB450" s="9"/>
      <c r="EC450" s="9"/>
      <c r="ED450" s="9"/>
      <c r="EE450" s="9"/>
      <c r="EF450" s="9"/>
      <c r="EG450" s="9"/>
      <c r="EH450" s="9"/>
      <c r="EI450" s="9"/>
      <c r="EJ450" s="9"/>
      <c r="EK450" s="9"/>
      <c r="EL450" s="9"/>
    </row>
    <row r="451" spans="1:142" x14ac:dyDescent="0.35">
      <c r="A451" s="9">
        <v>85468824</v>
      </c>
      <c r="B451" s="19">
        <v>0</v>
      </c>
      <c r="C451" s="9" t="str">
        <f>VLOOKUP(A451,'[1]terceros cto'!A$1:B$65536,2,0)</f>
        <v>MONGUI  WILSON BETO</v>
      </c>
      <c r="D451" s="20" t="str">
        <f>VLOOKUP(C451,'[1]terceros cto'!B$1:F$65536,5,0)</f>
        <v>wilson1974@gmail.com</v>
      </c>
      <c r="E451" s="21" t="s">
        <v>2252</v>
      </c>
      <c r="F451" s="9" t="str">
        <f>VLOOKUP(C451,'[1]terceros cto'!B$1:D$65536,3,0)</f>
        <v>Paipa</v>
      </c>
      <c r="G451" s="21">
        <v>15516</v>
      </c>
      <c r="H451" s="9">
        <v>212</v>
      </c>
      <c r="I451" s="28">
        <v>140000</v>
      </c>
      <c r="J451" s="29">
        <v>0</v>
      </c>
      <c r="K451" s="22">
        <v>0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  <c r="CL451" s="9"/>
      <c r="CM451" s="9"/>
      <c r="CN451" s="9"/>
      <c r="CO451" s="9"/>
      <c r="CP451" s="9"/>
      <c r="CQ451" s="9"/>
      <c r="CR451" s="9"/>
      <c r="CS451" s="9"/>
      <c r="CT451" s="9"/>
      <c r="CU451" s="9"/>
      <c r="CV451" s="9"/>
      <c r="CW451" s="9"/>
      <c r="CX451" s="9"/>
      <c r="CY451" s="9"/>
      <c r="CZ451" s="9"/>
      <c r="DA451" s="9"/>
      <c r="DB451" s="9"/>
      <c r="DC451" s="9"/>
      <c r="DD451" s="9"/>
      <c r="DE451" s="9"/>
      <c r="DF451" s="9"/>
      <c r="DG451" s="9"/>
      <c r="DH451" s="9"/>
      <c r="DI451" s="9"/>
      <c r="DJ451" s="9"/>
      <c r="DK451" s="9"/>
      <c r="DL451" s="9"/>
      <c r="DM451" s="9"/>
      <c r="DN451" s="9"/>
      <c r="DO451" s="9"/>
      <c r="DP451" s="9"/>
      <c r="DQ451" s="9"/>
      <c r="DR451" s="9"/>
      <c r="DS451" s="9"/>
      <c r="DT451" s="9"/>
      <c r="DU451" s="9"/>
      <c r="DV451" s="9"/>
      <c r="DW451" s="9"/>
      <c r="DX451" s="9"/>
      <c r="DY451" s="9"/>
      <c r="DZ451" s="9"/>
      <c r="EA451" s="9"/>
      <c r="EB451" s="9"/>
      <c r="EC451" s="9"/>
      <c r="ED451" s="9"/>
      <c r="EE451" s="9"/>
      <c r="EF451" s="9"/>
      <c r="EG451" s="9"/>
      <c r="EH451" s="9"/>
      <c r="EI451" s="9"/>
      <c r="EJ451" s="9"/>
      <c r="EK451" s="9"/>
      <c r="EL451" s="9"/>
    </row>
    <row r="452" spans="1:142" x14ac:dyDescent="0.35">
      <c r="A452" s="9">
        <v>860003563</v>
      </c>
      <c r="B452" s="19">
        <v>9</v>
      </c>
      <c r="C452" s="9" t="str">
        <f>VLOOKUP(A452,'[1]terceros cto'!A$1:B$65536,2,0)</f>
        <v>HITACHI ENERGY COLOMBIA</v>
      </c>
      <c r="D452" s="20" t="str">
        <f>VLOOKUP(C452,'[1]terceros cto'!B$1:F$65536,5,0)</f>
        <v>diego.pulido@hitachienergy.com</v>
      </c>
      <c r="E452" s="21" t="s">
        <v>2252</v>
      </c>
      <c r="F452" s="9" t="str">
        <f>VLOOKUP(C452,'[1]terceros cto'!B$1:D$65536,3,0)</f>
        <v>Paipa</v>
      </c>
      <c r="G452" s="21">
        <v>15516</v>
      </c>
      <c r="H452" s="9">
        <v>212</v>
      </c>
      <c r="I452" s="30">
        <v>142433</v>
      </c>
      <c r="J452" s="31">
        <v>0</v>
      </c>
      <c r="K452" s="22">
        <v>0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  <c r="CL452" s="9"/>
      <c r="CM452" s="9"/>
      <c r="CN452" s="9"/>
      <c r="CO452" s="9"/>
      <c r="CP452" s="9"/>
      <c r="CQ452" s="9"/>
      <c r="CR452" s="9"/>
      <c r="CS452" s="9"/>
      <c r="CT452" s="9"/>
      <c r="CU452" s="9"/>
      <c r="CV452" s="9"/>
      <c r="CW452" s="9"/>
      <c r="CX452" s="9"/>
      <c r="CY452" s="9"/>
      <c r="CZ452" s="9"/>
      <c r="DA452" s="9"/>
      <c r="DB452" s="9"/>
      <c r="DC452" s="9"/>
      <c r="DD452" s="9"/>
      <c r="DE452" s="9"/>
      <c r="DF452" s="9"/>
      <c r="DG452" s="9"/>
      <c r="DH452" s="9"/>
      <c r="DI452" s="9"/>
      <c r="DJ452" s="9"/>
      <c r="DK452" s="9"/>
      <c r="DL452" s="9"/>
      <c r="DM452" s="9"/>
      <c r="DN452" s="9"/>
      <c r="DO452" s="9"/>
      <c r="DP452" s="9"/>
      <c r="DQ452" s="9"/>
      <c r="DR452" s="9"/>
      <c r="DS452" s="9"/>
      <c r="DT452" s="9"/>
      <c r="DU452" s="9"/>
      <c r="DV452" s="9"/>
      <c r="DW452" s="9"/>
      <c r="DX452" s="9"/>
      <c r="DY452" s="9"/>
      <c r="DZ452" s="9"/>
      <c r="EA452" s="9"/>
      <c r="EB452" s="9"/>
      <c r="EC452" s="9"/>
      <c r="ED452" s="9"/>
      <c r="EE452" s="9"/>
      <c r="EF452" s="9"/>
      <c r="EG452" s="9"/>
      <c r="EH452" s="9"/>
      <c r="EI452" s="9"/>
      <c r="EJ452" s="9"/>
      <c r="EK452" s="9"/>
      <c r="EL452" s="9"/>
    </row>
    <row r="453" spans="1:142" x14ac:dyDescent="0.35">
      <c r="A453" s="9">
        <v>860007322</v>
      </c>
      <c r="B453" s="19">
        <v>9</v>
      </c>
      <c r="C453" s="9" t="str">
        <f>VLOOKUP(A453,'[1]terceros cto'!A$1:B$65536,2,0)</f>
        <v>CAMARA DE COMERCIO DE BOGOTA</v>
      </c>
      <c r="D453" s="20" t="str">
        <f>VLOOKUP(C453,'[1]terceros cto'!B$1:F$65536,5,0)</f>
        <v>josealejos207@gmail.com</v>
      </c>
      <c r="E453" s="21" t="s">
        <v>2252</v>
      </c>
      <c r="F453" s="9" t="str">
        <f>VLOOKUP(C453,'[1]terceros cto'!B$1:D$65536,3,0)</f>
        <v>CLL 127 BIS 52 71</v>
      </c>
      <c r="G453" s="21">
        <v>15516</v>
      </c>
      <c r="H453" s="9">
        <v>212</v>
      </c>
      <c r="I453" s="28">
        <v>212876</v>
      </c>
      <c r="J453" s="29">
        <v>0</v>
      </c>
      <c r="K453" s="22">
        <v>0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  <c r="CJ453" s="9"/>
      <c r="CK453" s="9"/>
      <c r="CL453" s="9"/>
      <c r="CM453" s="9"/>
      <c r="CN453" s="9"/>
      <c r="CO453" s="9"/>
      <c r="CP453" s="9"/>
      <c r="CQ453" s="9"/>
      <c r="CR453" s="9"/>
      <c r="CS453" s="9"/>
      <c r="CT453" s="9"/>
      <c r="CU453" s="9"/>
      <c r="CV453" s="9"/>
      <c r="CW453" s="9"/>
      <c r="CX453" s="9"/>
      <c r="CY453" s="9"/>
      <c r="CZ453" s="9"/>
      <c r="DA453" s="9"/>
      <c r="DB453" s="9"/>
      <c r="DC453" s="9"/>
      <c r="DD453" s="9"/>
      <c r="DE453" s="9"/>
      <c r="DF453" s="9"/>
      <c r="DG453" s="9"/>
      <c r="DH453" s="9"/>
      <c r="DI453" s="9"/>
      <c r="DJ453" s="9"/>
      <c r="DK453" s="9"/>
      <c r="DL453" s="9"/>
      <c r="DM453" s="9"/>
      <c r="DN453" s="9"/>
      <c r="DO453" s="9"/>
      <c r="DP453" s="9"/>
      <c r="DQ453" s="9"/>
      <c r="DR453" s="9"/>
      <c r="DS453" s="9"/>
      <c r="DT453" s="9"/>
      <c r="DU453" s="9"/>
      <c r="DV453" s="9"/>
      <c r="DW453" s="9"/>
      <c r="DX453" s="9"/>
      <c r="DY453" s="9"/>
      <c r="DZ453" s="9"/>
      <c r="EA453" s="9"/>
      <c r="EB453" s="9"/>
      <c r="EC453" s="9"/>
      <c r="ED453" s="9"/>
      <c r="EE453" s="9"/>
      <c r="EF453" s="9"/>
      <c r="EG453" s="9"/>
      <c r="EH453" s="9"/>
      <c r="EI453" s="9"/>
      <c r="EJ453" s="9"/>
      <c r="EK453" s="9"/>
      <c r="EL453" s="9"/>
    </row>
    <row r="454" spans="1:142" x14ac:dyDescent="0.35">
      <c r="A454" s="9">
        <v>860007336</v>
      </c>
      <c r="B454" s="19">
        <v>1</v>
      </c>
      <c r="C454" s="9" t="s">
        <v>2258</v>
      </c>
      <c r="D454" s="20" t="s">
        <v>2252</v>
      </c>
      <c r="E454" s="21" t="s">
        <v>2252</v>
      </c>
      <c r="F454" s="20" t="s">
        <v>2255</v>
      </c>
      <c r="G454" s="21" t="e">
        <f>VLOOKUP(H454,[1]mc!B$1:C$65536,2,0)</f>
        <v>#N/A</v>
      </c>
      <c r="H454" s="9">
        <v>212</v>
      </c>
      <c r="I454" s="30">
        <v>115010</v>
      </c>
      <c r="J454" s="31">
        <v>0</v>
      </c>
      <c r="K454" s="22">
        <v>0</v>
      </c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  <c r="CJ454" s="9"/>
      <c r="CK454" s="9"/>
      <c r="CL454" s="9"/>
      <c r="CM454" s="9"/>
      <c r="CN454" s="9"/>
      <c r="CO454" s="9"/>
      <c r="CP454" s="9"/>
      <c r="CQ454" s="9"/>
      <c r="CR454" s="9"/>
      <c r="CS454" s="9"/>
      <c r="CT454" s="9"/>
      <c r="CU454" s="9"/>
      <c r="CV454" s="9"/>
      <c r="CW454" s="9"/>
      <c r="CX454" s="9"/>
      <c r="CY454" s="9"/>
      <c r="CZ454" s="9"/>
      <c r="DA454" s="9"/>
      <c r="DB454" s="9"/>
      <c r="DC454" s="9"/>
      <c r="DD454" s="9"/>
      <c r="DE454" s="9"/>
      <c r="DF454" s="9"/>
      <c r="DG454" s="9"/>
      <c r="DH454" s="9"/>
      <c r="DI454" s="9"/>
      <c r="DJ454" s="9"/>
      <c r="DK454" s="9"/>
      <c r="DL454" s="9"/>
      <c r="DM454" s="9"/>
      <c r="DN454" s="9"/>
      <c r="DO454" s="9"/>
      <c r="DP454" s="9"/>
      <c r="DQ454" s="9"/>
      <c r="DR454" s="9"/>
      <c r="DS454" s="9"/>
      <c r="DT454" s="9"/>
      <c r="DU454" s="9"/>
      <c r="DV454" s="9"/>
      <c r="DW454" s="9"/>
      <c r="DX454" s="9"/>
      <c r="DY454" s="9"/>
      <c r="DZ454" s="9"/>
      <c r="EA454" s="9"/>
      <c r="EB454" s="9"/>
      <c r="EC454" s="9"/>
      <c r="ED454" s="9"/>
      <c r="EE454" s="9"/>
      <c r="EF454" s="9"/>
      <c r="EG454" s="9"/>
      <c r="EH454" s="9"/>
      <c r="EI454" s="9"/>
      <c r="EJ454" s="9"/>
      <c r="EK454" s="9"/>
      <c r="EL454" s="9"/>
    </row>
    <row r="455" spans="1:142" x14ac:dyDescent="0.35">
      <c r="A455" s="9">
        <v>860009107</v>
      </c>
      <c r="B455" s="19">
        <v>0</v>
      </c>
      <c r="C455" s="9" t="str">
        <f>VLOOKUP(A455,'[1]terceros cto'!A$1:B$65536,2,0)</f>
        <v>FUNDACION COLEGIO ANGLO COLOMBIANO</v>
      </c>
      <c r="D455" s="20" t="str">
        <f>VLOOKUP(C455,'[1]terceros cto'!B$1:F$65536,5,0)</f>
        <v>evelandia@anglo.edu.co</v>
      </c>
      <c r="E455" s="21" t="s">
        <v>2252</v>
      </c>
      <c r="F455" s="9" t="str">
        <f>VLOOKUP(C455,'[1]terceros cto'!B$1:D$65536,3,0)</f>
        <v>Av 19 n152a 48</v>
      </c>
      <c r="G455" s="21">
        <v>15516</v>
      </c>
      <c r="H455" s="9">
        <v>212</v>
      </c>
      <c r="I455" s="28">
        <v>117914</v>
      </c>
      <c r="J455" s="29">
        <v>0</v>
      </c>
      <c r="K455" s="22">
        <v>0</v>
      </c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  <c r="CJ455" s="9"/>
      <c r="CK455" s="9"/>
      <c r="CL455" s="9"/>
      <c r="CM455" s="9"/>
      <c r="CN455" s="9"/>
      <c r="CO455" s="9"/>
      <c r="CP455" s="9"/>
      <c r="CQ455" s="9"/>
      <c r="CR455" s="9"/>
      <c r="CS455" s="9"/>
      <c r="CT455" s="9"/>
      <c r="CU455" s="9"/>
      <c r="CV455" s="9"/>
      <c r="CW455" s="9"/>
      <c r="CX455" s="9"/>
      <c r="CY455" s="9"/>
      <c r="CZ455" s="9"/>
      <c r="DA455" s="9"/>
      <c r="DB455" s="9"/>
      <c r="DC455" s="9"/>
      <c r="DD455" s="9"/>
      <c r="DE455" s="9"/>
      <c r="DF455" s="9"/>
      <c r="DG455" s="9"/>
      <c r="DH455" s="9"/>
      <c r="DI455" s="9"/>
      <c r="DJ455" s="9"/>
      <c r="DK455" s="9"/>
      <c r="DL455" s="9"/>
      <c r="DM455" s="9"/>
      <c r="DN455" s="9"/>
      <c r="DO455" s="9"/>
      <c r="DP455" s="9"/>
      <c r="DQ455" s="9"/>
      <c r="DR455" s="9"/>
      <c r="DS455" s="9"/>
      <c r="DT455" s="9"/>
      <c r="DU455" s="9"/>
      <c r="DV455" s="9"/>
      <c r="DW455" s="9"/>
      <c r="DX455" s="9"/>
      <c r="DY455" s="9"/>
      <c r="DZ455" s="9"/>
      <c r="EA455" s="9"/>
      <c r="EB455" s="9"/>
      <c r="EC455" s="9"/>
      <c r="ED455" s="9"/>
      <c r="EE455" s="9"/>
      <c r="EF455" s="9"/>
      <c r="EG455" s="9"/>
      <c r="EH455" s="9"/>
      <c r="EI455" s="9"/>
      <c r="EJ455" s="9"/>
      <c r="EK455" s="9"/>
      <c r="EL455" s="9"/>
    </row>
    <row r="456" spans="1:142" x14ac:dyDescent="0.35">
      <c r="A456" s="9">
        <v>860016951</v>
      </c>
      <c r="B456" s="19">
        <v>1</v>
      </c>
      <c r="C456" s="9" t="str">
        <f>VLOOKUP(A456,'[1]terceros cto'!A$1:B$65536,2,0)</f>
        <v>CLUB MIITAR</v>
      </c>
      <c r="D456" s="20" t="str">
        <f>VLOOKUP(C456,'[1]terceros cto'!B$1:F$65536,5,0)</f>
        <v>ldrosas@clubmilitar.gov.co</v>
      </c>
      <c r="E456" s="21">
        <f>VLOOKUP(C456,'[1]terceros cto'!B$1:E$65536,4,0)</f>
        <v>3223761657</v>
      </c>
      <c r="F456" s="9" t="str">
        <f>VLOOKUP(C456,'[1]terceros cto'!B$1:D$65536,3,0)</f>
        <v>VEREDA CANOCAS</v>
      </c>
      <c r="G456" s="21">
        <v>15516</v>
      </c>
      <c r="H456" s="9">
        <v>212</v>
      </c>
      <c r="I456" s="30">
        <v>192000</v>
      </c>
      <c r="J456" s="31">
        <v>0</v>
      </c>
      <c r="K456" s="22">
        <v>0</v>
      </c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9"/>
      <c r="CM456" s="9"/>
      <c r="CN456" s="9"/>
      <c r="CO456" s="9"/>
      <c r="CP456" s="9"/>
      <c r="CQ456" s="9"/>
      <c r="CR456" s="9"/>
      <c r="CS456" s="9"/>
      <c r="CT456" s="9"/>
      <c r="CU456" s="9"/>
      <c r="CV456" s="9"/>
      <c r="CW456" s="9"/>
      <c r="CX456" s="9"/>
      <c r="CY456" s="9"/>
      <c r="CZ456" s="9"/>
      <c r="DA456" s="9"/>
      <c r="DB456" s="9"/>
      <c r="DC456" s="9"/>
      <c r="DD456" s="9"/>
      <c r="DE456" s="9"/>
      <c r="DF456" s="9"/>
      <c r="DG456" s="9"/>
      <c r="DH456" s="9"/>
      <c r="DI456" s="9"/>
      <c r="DJ456" s="9"/>
      <c r="DK456" s="9"/>
      <c r="DL456" s="9"/>
      <c r="DM456" s="9"/>
      <c r="DN456" s="9"/>
      <c r="DO456" s="9"/>
      <c r="DP456" s="9"/>
      <c r="DQ456" s="9"/>
      <c r="DR456" s="9"/>
      <c r="DS456" s="9"/>
      <c r="DT456" s="9"/>
      <c r="DU456" s="9"/>
      <c r="DV456" s="9"/>
      <c r="DW456" s="9"/>
      <c r="DX456" s="9"/>
      <c r="DY456" s="9"/>
      <c r="DZ456" s="9"/>
      <c r="EA456" s="9"/>
      <c r="EB456" s="9"/>
      <c r="EC456" s="9"/>
      <c r="ED456" s="9"/>
      <c r="EE456" s="9"/>
      <c r="EF456" s="9"/>
      <c r="EG456" s="9"/>
      <c r="EH456" s="9"/>
      <c r="EI456" s="9"/>
      <c r="EJ456" s="9"/>
      <c r="EK456" s="9"/>
      <c r="EL456" s="9"/>
    </row>
    <row r="457" spans="1:142" x14ac:dyDescent="0.35">
      <c r="A457" s="9">
        <v>860020863</v>
      </c>
      <c r="B457" s="19">
        <v>5</v>
      </c>
      <c r="C457" s="9" t="str">
        <f>VLOOKUP(A457,'[1]terceros cto'!A$1:B$65536,2,0)</f>
        <v>FEDERACION COLOMBIANA DE CICLISMO</v>
      </c>
      <c r="D457" s="20" t="str">
        <f>VLOOKUP(C457,'[1]terceros cto'!B$1:F$65536,5,0)</f>
        <v>facturasfcc2019@gmail.com</v>
      </c>
      <c r="E457" s="21" t="s">
        <v>2252</v>
      </c>
      <c r="F457" s="9" t="str">
        <f>VLOOKUP(C457,'[1]terceros cto'!B$1:D$65536,3,0)</f>
        <v>CR 46 60 80</v>
      </c>
      <c r="G457" s="21">
        <v>15516</v>
      </c>
      <c r="H457" s="9">
        <v>212</v>
      </c>
      <c r="I457" s="28">
        <v>940151</v>
      </c>
      <c r="J457" s="29">
        <v>0</v>
      </c>
      <c r="K457" s="22">
        <v>0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9"/>
      <c r="CM457" s="9"/>
      <c r="CN457" s="9"/>
      <c r="CO457" s="9"/>
      <c r="CP457" s="9"/>
      <c r="CQ457" s="9"/>
      <c r="CR457" s="9"/>
      <c r="CS457" s="9"/>
      <c r="CT457" s="9"/>
      <c r="CU457" s="9"/>
      <c r="CV457" s="9"/>
      <c r="CW457" s="9"/>
      <c r="CX457" s="9"/>
      <c r="CY457" s="9"/>
      <c r="CZ457" s="9"/>
      <c r="DA457" s="9"/>
      <c r="DB457" s="9"/>
      <c r="DC457" s="9"/>
      <c r="DD457" s="9"/>
      <c r="DE457" s="9"/>
      <c r="DF457" s="9"/>
      <c r="DG457" s="9"/>
      <c r="DH457" s="9"/>
      <c r="DI457" s="9"/>
      <c r="DJ457" s="9"/>
      <c r="DK457" s="9"/>
      <c r="DL457" s="9"/>
      <c r="DM457" s="9"/>
      <c r="DN457" s="9"/>
      <c r="DO457" s="9"/>
      <c r="DP457" s="9"/>
      <c r="DQ457" s="9"/>
      <c r="DR457" s="9"/>
      <c r="DS457" s="9"/>
      <c r="DT457" s="9"/>
      <c r="DU457" s="9"/>
      <c r="DV457" s="9"/>
      <c r="DW457" s="9"/>
      <c r="DX457" s="9"/>
      <c r="DY457" s="9"/>
      <c r="DZ457" s="9"/>
      <c r="EA457" s="9"/>
      <c r="EB457" s="9"/>
      <c r="EC457" s="9"/>
      <c r="ED457" s="9"/>
      <c r="EE457" s="9"/>
      <c r="EF457" s="9"/>
      <c r="EG457" s="9"/>
      <c r="EH457" s="9"/>
      <c r="EI457" s="9"/>
      <c r="EJ457" s="9"/>
      <c r="EK457" s="9"/>
      <c r="EL457" s="9"/>
    </row>
    <row r="458" spans="1:142" x14ac:dyDescent="0.35">
      <c r="A458" s="9">
        <v>860026895</v>
      </c>
      <c r="B458" s="19">
        <v>8</v>
      </c>
      <c r="C458" s="9" t="str">
        <f>VLOOKUP(A458,'[1]terceros cto'!A$1:B$65536,2,0)</f>
        <v>ITALCOL SA</v>
      </c>
      <c r="D458" s="20" t="str">
        <f>VLOOKUP(C458,'[1]terceros cto'!B$1:F$65536,5,0)</f>
        <v>carlosgonzalez@italcol.com</v>
      </c>
      <c r="E458" s="21" t="s">
        <v>2252</v>
      </c>
      <c r="F458" s="9" t="str">
        <f>VLOOKUP(C458,'[1]terceros cto'!B$1:D$65536,3,0)</f>
        <v>Paipa</v>
      </c>
      <c r="G458" s="21">
        <v>15516</v>
      </c>
      <c r="H458" s="9">
        <v>212</v>
      </c>
      <c r="I458" s="30">
        <v>50000</v>
      </c>
      <c r="J458" s="31">
        <v>0</v>
      </c>
      <c r="K458" s="22">
        <v>0</v>
      </c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  <c r="CJ458" s="9"/>
      <c r="CK458" s="9"/>
      <c r="CL458" s="9"/>
      <c r="CM458" s="9"/>
      <c r="CN458" s="9"/>
      <c r="CO458" s="9"/>
      <c r="CP458" s="9"/>
      <c r="CQ458" s="9"/>
      <c r="CR458" s="9"/>
      <c r="CS458" s="9"/>
      <c r="CT458" s="9"/>
      <c r="CU458" s="9"/>
      <c r="CV458" s="9"/>
      <c r="CW458" s="9"/>
      <c r="CX458" s="9"/>
      <c r="CY458" s="9"/>
      <c r="CZ458" s="9"/>
      <c r="DA458" s="9"/>
      <c r="DB458" s="9"/>
      <c r="DC458" s="9"/>
      <c r="DD458" s="9"/>
      <c r="DE458" s="9"/>
      <c r="DF458" s="9"/>
      <c r="DG458" s="9"/>
      <c r="DH458" s="9"/>
      <c r="DI458" s="9"/>
      <c r="DJ458" s="9"/>
      <c r="DK458" s="9"/>
      <c r="DL458" s="9"/>
      <c r="DM458" s="9"/>
      <c r="DN458" s="9"/>
      <c r="DO458" s="9"/>
      <c r="DP458" s="9"/>
      <c r="DQ458" s="9"/>
      <c r="DR458" s="9"/>
      <c r="DS458" s="9"/>
      <c r="DT458" s="9"/>
      <c r="DU458" s="9"/>
      <c r="DV458" s="9"/>
      <c r="DW458" s="9"/>
      <c r="DX458" s="9"/>
      <c r="DY458" s="9"/>
      <c r="DZ458" s="9"/>
      <c r="EA458" s="9"/>
      <c r="EB458" s="9"/>
      <c r="EC458" s="9"/>
      <c r="ED458" s="9"/>
      <c r="EE458" s="9"/>
      <c r="EF458" s="9"/>
      <c r="EG458" s="9"/>
      <c r="EH458" s="9"/>
      <c r="EI458" s="9"/>
      <c r="EJ458" s="9"/>
      <c r="EK458" s="9"/>
      <c r="EL458" s="9"/>
    </row>
    <row r="459" spans="1:142" x14ac:dyDescent="0.35">
      <c r="A459" s="9">
        <v>860039159</v>
      </c>
      <c r="B459" s="19">
        <v>1</v>
      </c>
      <c r="C459" s="9" t="str">
        <f>VLOOKUP(A459,'[1]terceros cto'!A$1:B$65536,2,0)</f>
        <v>ASESORES LATINOS DE SEGUROS</v>
      </c>
      <c r="D459" s="20" t="str">
        <f>VLOOKUP(C459,'[1]terceros cto'!B$1:F$65536,5,0)</f>
        <v>turistica@outlook.com</v>
      </c>
      <c r="E459" s="21" t="s">
        <v>2252</v>
      </c>
      <c r="F459" s="9" t="str">
        <f>VLOOKUP(C459,'[1]terceros cto'!B$1:D$65536,3,0)</f>
        <v>paipa</v>
      </c>
      <c r="G459" s="21">
        <v>15516</v>
      </c>
      <c r="H459" s="9">
        <v>212</v>
      </c>
      <c r="I459" s="28">
        <v>145647</v>
      </c>
      <c r="J459" s="29">
        <v>0</v>
      </c>
      <c r="K459" s="22">
        <v>0</v>
      </c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  <c r="CL459" s="9"/>
      <c r="CM459" s="9"/>
      <c r="CN459" s="9"/>
      <c r="CO459" s="9"/>
      <c r="CP459" s="9"/>
      <c r="CQ459" s="9"/>
      <c r="CR459" s="9"/>
      <c r="CS459" s="9"/>
      <c r="CT459" s="9"/>
      <c r="CU459" s="9"/>
      <c r="CV459" s="9"/>
      <c r="CW459" s="9"/>
      <c r="CX459" s="9"/>
      <c r="CY459" s="9"/>
      <c r="CZ459" s="9"/>
      <c r="DA459" s="9"/>
      <c r="DB459" s="9"/>
      <c r="DC459" s="9"/>
      <c r="DD459" s="9"/>
      <c r="DE459" s="9"/>
      <c r="DF459" s="9"/>
      <c r="DG459" s="9"/>
      <c r="DH459" s="9"/>
      <c r="DI459" s="9"/>
      <c r="DJ459" s="9"/>
      <c r="DK459" s="9"/>
      <c r="DL459" s="9"/>
      <c r="DM459" s="9"/>
      <c r="DN459" s="9"/>
      <c r="DO459" s="9"/>
      <c r="DP459" s="9"/>
      <c r="DQ459" s="9"/>
      <c r="DR459" s="9"/>
      <c r="DS459" s="9"/>
      <c r="DT459" s="9"/>
      <c r="DU459" s="9"/>
      <c r="DV459" s="9"/>
      <c r="DW459" s="9"/>
      <c r="DX459" s="9"/>
      <c r="DY459" s="9"/>
      <c r="DZ459" s="9"/>
      <c r="EA459" s="9"/>
      <c r="EB459" s="9"/>
      <c r="EC459" s="9"/>
      <c r="ED459" s="9"/>
      <c r="EE459" s="9"/>
      <c r="EF459" s="9"/>
      <c r="EG459" s="9"/>
      <c r="EH459" s="9"/>
      <c r="EI459" s="9"/>
      <c r="EJ459" s="9"/>
      <c r="EK459" s="9"/>
      <c r="EL459" s="9"/>
    </row>
    <row r="460" spans="1:142" x14ac:dyDescent="0.35">
      <c r="A460" s="9">
        <v>860040094</v>
      </c>
      <c r="B460" s="19">
        <v>3</v>
      </c>
      <c r="C460" s="9" t="str">
        <f>VLOOKUP(A460,'[1]terceros cto'!A$1:B$65536,2,0)</f>
        <v>OXIGENOS DE COLOMBIA LTDA</v>
      </c>
      <c r="D460" s="20" t="str">
        <f>VLOOKUP(C460,'[1]terceros cto'!B$1:F$65536,5,0)</f>
        <v>oscar.fonseca@linde.com</v>
      </c>
      <c r="E460" s="21" t="s">
        <v>2252</v>
      </c>
      <c r="F460" s="9" t="str">
        <f>VLOOKUP(C460,'[1]terceros cto'!B$1:D$65536,3,0)</f>
        <v>AV CR 50 5 C 29</v>
      </c>
      <c r="G460" s="21">
        <v>15516</v>
      </c>
      <c r="H460" s="9">
        <v>212</v>
      </c>
      <c r="I460" s="30">
        <v>756029</v>
      </c>
      <c r="J460" s="31">
        <v>0</v>
      </c>
      <c r="K460" s="22">
        <v>0</v>
      </c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  <c r="CJ460" s="9"/>
      <c r="CK460" s="9"/>
      <c r="CL460" s="9"/>
      <c r="CM460" s="9"/>
      <c r="CN460" s="9"/>
      <c r="CO460" s="9"/>
      <c r="CP460" s="9"/>
      <c r="CQ460" s="9"/>
      <c r="CR460" s="9"/>
      <c r="CS460" s="9"/>
      <c r="CT460" s="9"/>
      <c r="CU460" s="9"/>
      <c r="CV460" s="9"/>
      <c r="CW460" s="9"/>
      <c r="CX460" s="9"/>
      <c r="CY460" s="9"/>
      <c r="CZ460" s="9"/>
      <c r="DA460" s="9"/>
      <c r="DB460" s="9"/>
      <c r="DC460" s="9"/>
      <c r="DD460" s="9"/>
      <c r="DE460" s="9"/>
      <c r="DF460" s="9"/>
      <c r="DG460" s="9"/>
      <c r="DH460" s="9"/>
      <c r="DI460" s="9"/>
      <c r="DJ460" s="9"/>
      <c r="DK460" s="9"/>
      <c r="DL460" s="9"/>
      <c r="DM460" s="9"/>
      <c r="DN460" s="9"/>
      <c r="DO460" s="9"/>
      <c r="DP460" s="9"/>
      <c r="DQ460" s="9"/>
      <c r="DR460" s="9"/>
      <c r="DS460" s="9"/>
      <c r="DT460" s="9"/>
      <c r="DU460" s="9"/>
      <c r="DV460" s="9"/>
      <c r="DW460" s="9"/>
      <c r="DX460" s="9"/>
      <c r="DY460" s="9"/>
      <c r="DZ460" s="9"/>
      <c r="EA460" s="9"/>
      <c r="EB460" s="9"/>
      <c r="EC460" s="9"/>
      <c r="ED460" s="9"/>
      <c r="EE460" s="9"/>
      <c r="EF460" s="9"/>
      <c r="EG460" s="9"/>
      <c r="EH460" s="9"/>
      <c r="EI460" s="9"/>
      <c r="EJ460" s="9"/>
      <c r="EK460" s="9"/>
      <c r="EL460" s="9"/>
    </row>
    <row r="461" spans="1:142" x14ac:dyDescent="0.35">
      <c r="A461" s="9">
        <v>860055371</v>
      </c>
      <c r="B461" s="19">
        <v>4</v>
      </c>
      <c r="C461" s="9" t="str">
        <f>VLOOKUP(A461,'[1]terceros cto'!A$1:B$65536,2,0)</f>
        <v>JAVAR SAS</v>
      </c>
      <c r="D461" s="20" t="str">
        <f>VLOOKUP(C461,'[1]terceros cto'!B$1:F$65536,5,0)</f>
        <v>compras@javar.com.co</v>
      </c>
      <c r="E461" s="21" t="s">
        <v>2252</v>
      </c>
      <c r="F461" s="9" t="str">
        <f>VLOOKUP(C461,'[1]terceros cto'!B$1:D$65536,3,0)</f>
        <v xml:space="preserve"> Calle 74 #27b 32</v>
      </c>
      <c r="G461" s="21">
        <v>15516</v>
      </c>
      <c r="H461" s="9">
        <v>212</v>
      </c>
      <c r="I461" s="28">
        <v>211079</v>
      </c>
      <c r="J461" s="29">
        <v>0</v>
      </c>
      <c r="K461" s="22">
        <v>0</v>
      </c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  <c r="CJ461" s="9"/>
      <c r="CK461" s="9"/>
      <c r="CL461" s="9"/>
      <c r="CM461" s="9"/>
      <c r="CN461" s="9"/>
      <c r="CO461" s="9"/>
      <c r="CP461" s="9"/>
      <c r="CQ461" s="9"/>
      <c r="CR461" s="9"/>
      <c r="CS461" s="9"/>
      <c r="CT461" s="9"/>
      <c r="CU461" s="9"/>
      <c r="CV461" s="9"/>
      <c r="CW461" s="9"/>
      <c r="CX461" s="9"/>
      <c r="CY461" s="9"/>
      <c r="CZ461" s="9"/>
      <c r="DA461" s="9"/>
      <c r="DB461" s="9"/>
      <c r="DC461" s="9"/>
      <c r="DD461" s="9"/>
      <c r="DE461" s="9"/>
      <c r="DF461" s="9"/>
      <c r="DG461" s="9"/>
      <c r="DH461" s="9"/>
      <c r="DI461" s="9"/>
      <c r="DJ461" s="9"/>
      <c r="DK461" s="9"/>
      <c r="DL461" s="9"/>
      <c r="DM461" s="9"/>
      <c r="DN461" s="9"/>
      <c r="DO461" s="9"/>
      <c r="DP461" s="9"/>
      <c r="DQ461" s="9"/>
      <c r="DR461" s="9"/>
      <c r="DS461" s="9"/>
      <c r="DT461" s="9"/>
      <c r="DU461" s="9"/>
      <c r="DV461" s="9"/>
      <c r="DW461" s="9"/>
      <c r="DX461" s="9"/>
      <c r="DY461" s="9"/>
      <c r="DZ461" s="9"/>
      <c r="EA461" s="9"/>
      <c r="EB461" s="9"/>
      <c r="EC461" s="9"/>
      <c r="ED461" s="9"/>
      <c r="EE461" s="9"/>
      <c r="EF461" s="9"/>
      <c r="EG461" s="9"/>
      <c r="EH461" s="9"/>
      <c r="EI461" s="9"/>
      <c r="EJ461" s="9"/>
      <c r="EK461" s="9"/>
      <c r="EL461" s="9"/>
    </row>
    <row r="462" spans="1:142" x14ac:dyDescent="0.35">
      <c r="A462" s="9">
        <v>860501968</v>
      </c>
      <c r="B462" s="19">
        <v>4</v>
      </c>
      <c r="C462" s="9" t="str">
        <f>VLOOKUP(A462,'[1]terceros cto'!A$1:B$65536,2,0)</f>
        <v>VILLEGAS Y VILLEGAS IVEGAS SAS</v>
      </c>
      <c r="D462" s="20" t="str">
        <f>VLOOKUP(C462,'[1]terceros cto'!B$1:F$65536,5,0)</f>
        <v>contador@ivegas.com.co</v>
      </c>
      <c r="E462" s="21" t="s">
        <v>2252</v>
      </c>
      <c r="F462" s="9" t="str">
        <f>VLOOKUP(C462,'[1]terceros cto'!B$1:D$65536,3,0)</f>
        <v>Paipa</v>
      </c>
      <c r="G462" s="21">
        <v>15516</v>
      </c>
      <c r="H462" s="9">
        <v>212</v>
      </c>
      <c r="I462" s="30">
        <v>100000</v>
      </c>
      <c r="J462" s="31">
        <v>0</v>
      </c>
      <c r="K462" s="22">
        <v>0</v>
      </c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  <c r="CJ462" s="9"/>
      <c r="CK462" s="9"/>
      <c r="CL462" s="9"/>
      <c r="CM462" s="9"/>
      <c r="CN462" s="9"/>
      <c r="CO462" s="9"/>
      <c r="CP462" s="9"/>
      <c r="CQ462" s="9"/>
      <c r="CR462" s="9"/>
      <c r="CS462" s="9"/>
      <c r="CT462" s="9"/>
      <c r="CU462" s="9"/>
      <c r="CV462" s="9"/>
      <c r="CW462" s="9"/>
      <c r="CX462" s="9"/>
      <c r="CY462" s="9"/>
      <c r="CZ462" s="9"/>
      <c r="DA462" s="9"/>
      <c r="DB462" s="9"/>
      <c r="DC462" s="9"/>
      <c r="DD462" s="9"/>
      <c r="DE462" s="9"/>
      <c r="DF462" s="9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x14ac:dyDescent="0.35">
      <c r="A463" s="9">
        <v>860507033</v>
      </c>
      <c r="B463" s="19">
        <v>0</v>
      </c>
      <c r="C463" s="9" t="str">
        <f>VLOOKUP(A463,'[1]terceros cto'!A$1:B$65536,2,0)</f>
        <v>VISE LTDA</v>
      </c>
      <c r="D463" s="20" t="str">
        <f>VLOOKUP(C463,'[1]terceros cto'!B$1:F$65536,5,0)</f>
        <v>jrosero@vise.com.co</v>
      </c>
      <c r="E463" s="21" t="s">
        <v>2252</v>
      </c>
      <c r="F463" s="9" t="str">
        <f>VLOOKUP(C463,'[1]terceros cto'!B$1:D$65536,3,0)</f>
        <v>CALLE 6 D4-42</v>
      </c>
      <c r="G463" s="21">
        <v>15516</v>
      </c>
      <c r="H463" s="9">
        <v>212</v>
      </c>
      <c r="I463" s="28">
        <v>1477742</v>
      </c>
      <c r="J463" s="29">
        <v>0</v>
      </c>
      <c r="K463" s="22">
        <v>0</v>
      </c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  <c r="CL463" s="9"/>
      <c r="CM463" s="9"/>
      <c r="CN463" s="9"/>
      <c r="CO463" s="9"/>
      <c r="CP463" s="9"/>
      <c r="CQ463" s="9"/>
      <c r="CR463" s="9"/>
      <c r="CS463" s="9"/>
      <c r="CT463" s="9"/>
      <c r="CU463" s="9"/>
      <c r="CV463" s="9"/>
      <c r="CW463" s="9"/>
      <c r="CX463" s="9"/>
      <c r="CY463" s="9"/>
      <c r="CZ463" s="9"/>
      <c r="DA463" s="9"/>
      <c r="DB463" s="9"/>
      <c r="DC463" s="9"/>
      <c r="DD463" s="9"/>
      <c r="DE463" s="9"/>
      <c r="DF463" s="9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x14ac:dyDescent="0.35">
      <c r="A464" s="9">
        <v>860513438</v>
      </c>
      <c r="B464" s="19">
        <v>4</v>
      </c>
      <c r="C464" s="9" t="str">
        <f>VLOOKUP(A464,'[1]terceros cto'!A$1:B$65536,2,0)</f>
        <v>AGROPECUARIA VERSALLES RICASTEL SAS</v>
      </c>
      <c r="D464" s="20" t="str">
        <f>VLOOKUP(C464,'[1]terceros cto'!B$1:F$65536,5,0)</f>
        <v>versallesricastel2017@gmail.com</v>
      </c>
      <c r="E464" s="21" t="s">
        <v>2252</v>
      </c>
      <c r="F464" s="9" t="str">
        <f>VLOOKUP(C464,'[1]terceros cto'!B$1:D$65536,3,0)</f>
        <v>PAIPA</v>
      </c>
      <c r="G464" s="21">
        <v>15516</v>
      </c>
      <c r="H464" s="9">
        <v>212</v>
      </c>
      <c r="I464" s="30">
        <v>2033004</v>
      </c>
      <c r="J464" s="31">
        <v>0</v>
      </c>
      <c r="K464" s="22">
        <v>0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  <c r="CJ464" s="9"/>
      <c r="CK464" s="9"/>
      <c r="CL464" s="9"/>
      <c r="CM464" s="9"/>
      <c r="CN464" s="9"/>
      <c r="CO464" s="9"/>
      <c r="CP464" s="9"/>
      <c r="CQ464" s="9"/>
      <c r="CR464" s="9"/>
      <c r="CS464" s="9"/>
      <c r="CT464" s="9"/>
      <c r="CU464" s="9"/>
      <c r="CV464" s="9"/>
      <c r="CW464" s="9"/>
      <c r="CX464" s="9"/>
      <c r="CY464" s="9"/>
      <c r="CZ464" s="9"/>
      <c r="DA464" s="9"/>
      <c r="DB464" s="9"/>
      <c r="DC464" s="9"/>
      <c r="DD464" s="9"/>
      <c r="DE464" s="9"/>
      <c r="DF464" s="9"/>
      <c r="DG464" s="9"/>
      <c r="DH464" s="9"/>
      <c r="DI464" s="9"/>
      <c r="DJ464" s="9"/>
      <c r="DK464" s="9"/>
      <c r="DL464" s="9"/>
      <c r="DM464" s="9"/>
      <c r="DN464" s="9"/>
      <c r="DO464" s="9"/>
      <c r="DP464" s="9"/>
      <c r="DQ464" s="9"/>
      <c r="DR464" s="9"/>
      <c r="DS464" s="9"/>
      <c r="DT464" s="9"/>
      <c r="DU464" s="9"/>
      <c r="DV464" s="9"/>
      <c r="DW464" s="9"/>
      <c r="DX464" s="9"/>
      <c r="DY464" s="9"/>
      <c r="DZ464" s="9"/>
      <c r="EA464" s="9"/>
      <c r="EB464" s="9"/>
      <c r="EC464" s="9"/>
      <c r="ED464" s="9"/>
      <c r="EE464" s="9"/>
      <c r="EF464" s="9"/>
      <c r="EG464" s="9"/>
      <c r="EH464" s="9"/>
      <c r="EI464" s="9"/>
      <c r="EJ464" s="9"/>
      <c r="EK464" s="9"/>
      <c r="EL464" s="9"/>
    </row>
    <row r="465" spans="1:142" x14ac:dyDescent="0.35">
      <c r="A465" s="9">
        <v>86066041</v>
      </c>
      <c r="B465" s="19">
        <v>9</v>
      </c>
      <c r="C465" s="9" t="str">
        <f>VLOOKUP(A465,'[1]terceros cto'!A$1:B$65536,2,0)</f>
        <v>VELEZ COY JOSE BERNARDO</v>
      </c>
      <c r="D465" s="20" t="str">
        <f>VLOOKUP(C465,'[1]terceros cto'!B$1:F$65536,5,0)</f>
        <v>jose.velez2508@outlook.es</v>
      </c>
      <c r="E465" s="21" t="s">
        <v>2252</v>
      </c>
      <c r="F465" s="9" t="str">
        <f>VLOOKUP(C465,'[1]terceros cto'!B$1:D$65536,3,0)</f>
        <v>CRA 19 21-88</v>
      </c>
      <c r="G465" s="21">
        <v>15516</v>
      </c>
      <c r="H465" s="9">
        <v>212</v>
      </c>
      <c r="I465" s="28">
        <v>635019</v>
      </c>
      <c r="J465" s="29">
        <v>0</v>
      </c>
      <c r="K465" s="22">
        <v>0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  <c r="CJ465" s="9"/>
      <c r="CK465" s="9"/>
      <c r="CL465" s="9"/>
      <c r="CM465" s="9"/>
      <c r="CN465" s="9"/>
      <c r="CO465" s="9"/>
      <c r="CP465" s="9"/>
      <c r="CQ465" s="9"/>
      <c r="CR465" s="9"/>
      <c r="CS465" s="9"/>
      <c r="CT465" s="9"/>
      <c r="CU465" s="9"/>
      <c r="CV465" s="9"/>
      <c r="CW465" s="9"/>
      <c r="CX465" s="9"/>
      <c r="CY465" s="9"/>
      <c r="CZ465" s="9"/>
      <c r="DA465" s="9"/>
      <c r="DB465" s="9"/>
      <c r="DC465" s="9"/>
      <c r="DD465" s="9"/>
      <c r="DE465" s="9"/>
      <c r="DF465" s="9"/>
      <c r="DG465" s="9"/>
      <c r="DH465" s="9"/>
      <c r="DI465" s="9"/>
      <c r="DJ465" s="9"/>
      <c r="DK465" s="9"/>
      <c r="DL465" s="9"/>
      <c r="DM465" s="9"/>
      <c r="DN465" s="9"/>
      <c r="DO465" s="9"/>
      <c r="DP465" s="9"/>
      <c r="DQ465" s="9"/>
      <c r="DR465" s="9"/>
      <c r="DS465" s="9"/>
      <c r="DT465" s="9"/>
      <c r="DU465" s="9"/>
      <c r="DV465" s="9"/>
      <c r="DW465" s="9"/>
      <c r="DX465" s="9"/>
      <c r="DY465" s="9"/>
      <c r="DZ465" s="9"/>
      <c r="EA465" s="9"/>
      <c r="EB465" s="9"/>
      <c r="EC465" s="9"/>
      <c r="ED465" s="9"/>
      <c r="EE465" s="9"/>
      <c r="EF465" s="9"/>
      <c r="EG465" s="9"/>
      <c r="EH465" s="9"/>
      <c r="EI465" s="9"/>
      <c r="EJ465" s="9"/>
      <c r="EK465" s="9"/>
      <c r="EL465" s="9"/>
    </row>
    <row r="466" spans="1:142" x14ac:dyDescent="0.35">
      <c r="A466" s="9">
        <v>86072813</v>
      </c>
      <c r="B466" s="19">
        <v>2</v>
      </c>
      <c r="C466" s="9" t="str">
        <f>VLOOKUP(A466,'[1]terceros cto'!A$1:B$65536,2,0)</f>
        <v>GUTIERREZ GUTIERREZ JHON HEGEL</v>
      </c>
      <c r="D466" s="20" t="str">
        <f>VLOOKUP(C466,'[1]terceros cto'!B$1:F$65536,5,0)</f>
        <v>jhgutierrezg@gmail.com</v>
      </c>
      <c r="E466" s="21" t="s">
        <v>2252</v>
      </c>
      <c r="F466" s="9" t="str">
        <f>VLOOKUP(C466,'[1]terceros cto'!B$1:D$65536,3,0)</f>
        <v>Paipa</v>
      </c>
      <c r="G466" s="21">
        <v>15516</v>
      </c>
      <c r="H466" s="9">
        <v>212</v>
      </c>
      <c r="I466" s="30">
        <v>172285</v>
      </c>
      <c r="J466" s="31">
        <v>0</v>
      </c>
      <c r="K466" s="22">
        <v>0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  <c r="CJ466" s="9"/>
      <c r="CK466" s="9"/>
      <c r="CL466" s="9"/>
      <c r="CM466" s="9"/>
      <c r="CN466" s="9"/>
      <c r="CO466" s="9"/>
      <c r="CP466" s="9"/>
      <c r="CQ466" s="9"/>
      <c r="CR466" s="9"/>
      <c r="CS466" s="9"/>
      <c r="CT466" s="9"/>
      <c r="CU466" s="9"/>
      <c r="CV466" s="9"/>
      <c r="CW466" s="9"/>
      <c r="CX466" s="9"/>
      <c r="CY466" s="9"/>
      <c r="CZ466" s="9"/>
      <c r="DA466" s="9"/>
      <c r="DB466" s="9"/>
      <c r="DC466" s="9"/>
      <c r="DD466" s="9"/>
      <c r="DE466" s="9"/>
      <c r="DF466" s="9"/>
      <c r="DG466" s="9"/>
      <c r="DH466" s="9"/>
      <c r="DI466" s="9"/>
      <c r="DJ466" s="9"/>
      <c r="DK466" s="9"/>
      <c r="DL466" s="9"/>
      <c r="DM466" s="9"/>
      <c r="DN466" s="9"/>
      <c r="DO466" s="9"/>
      <c r="DP466" s="9"/>
      <c r="DQ466" s="9"/>
      <c r="DR466" s="9"/>
      <c r="DS466" s="9"/>
      <c r="DT466" s="9"/>
      <c r="DU466" s="9"/>
      <c r="DV466" s="9"/>
      <c r="DW466" s="9"/>
      <c r="DX466" s="9"/>
      <c r="DY466" s="9"/>
      <c r="DZ466" s="9"/>
      <c r="EA466" s="9"/>
      <c r="EB466" s="9"/>
      <c r="EC466" s="9"/>
      <c r="ED466" s="9"/>
      <c r="EE466" s="9"/>
      <c r="EF466" s="9"/>
      <c r="EG466" s="9"/>
      <c r="EH466" s="9"/>
      <c r="EI466" s="9"/>
      <c r="EJ466" s="9"/>
      <c r="EK466" s="9"/>
      <c r="EL466" s="9"/>
    </row>
    <row r="467" spans="1:142" x14ac:dyDescent="0.35">
      <c r="A467" s="9">
        <v>890304055</v>
      </c>
      <c r="B467" s="19">
        <v>1</v>
      </c>
      <c r="C467" s="9" t="str">
        <f>VLOOKUP(A467,'[1]terceros cto'!A$1:B$65536,2,0)</f>
        <v>DIESEL REPUESTOS SAS</v>
      </c>
      <c r="D467" s="20" t="str">
        <f>VLOOKUP(C467,'[1]terceros cto'!B$1:F$65536,5,0)</f>
        <v>factura.proveedores@dieselrepuestos.com</v>
      </c>
      <c r="E467" s="21" t="s">
        <v>2252</v>
      </c>
      <c r="F467" s="9" t="str">
        <f>VLOOKUP(C467,'[1]terceros cto'!B$1:D$65536,3,0)</f>
        <v>Av 2 c 24 20</v>
      </c>
      <c r="G467" s="21">
        <v>15516</v>
      </c>
      <c r="H467" s="9">
        <v>212</v>
      </c>
      <c r="I467" s="28">
        <v>169166</v>
      </c>
      <c r="J467" s="29">
        <v>0</v>
      </c>
      <c r="K467" s="22">
        <v>0</v>
      </c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  <c r="CJ467" s="9"/>
      <c r="CK467" s="9"/>
      <c r="CL467" s="9"/>
      <c r="CM467" s="9"/>
      <c r="CN467" s="9"/>
      <c r="CO467" s="9"/>
      <c r="CP467" s="9"/>
      <c r="CQ467" s="9"/>
      <c r="CR467" s="9"/>
      <c r="CS467" s="9"/>
      <c r="CT467" s="9"/>
      <c r="CU467" s="9"/>
      <c r="CV467" s="9"/>
      <c r="CW467" s="9"/>
      <c r="CX467" s="9"/>
      <c r="CY467" s="9"/>
      <c r="CZ467" s="9"/>
      <c r="DA467" s="9"/>
      <c r="DB467" s="9"/>
      <c r="DC467" s="9"/>
      <c r="DD467" s="9"/>
      <c r="DE467" s="9"/>
      <c r="DF467" s="9"/>
      <c r="DG467" s="9"/>
      <c r="DH467" s="9"/>
      <c r="DI467" s="9"/>
      <c r="DJ467" s="9"/>
      <c r="DK467" s="9"/>
      <c r="DL467" s="9"/>
      <c r="DM467" s="9"/>
      <c r="DN467" s="9"/>
      <c r="DO467" s="9"/>
      <c r="DP467" s="9"/>
      <c r="DQ467" s="9"/>
      <c r="DR467" s="9"/>
      <c r="DS467" s="9"/>
      <c r="DT467" s="9"/>
      <c r="DU467" s="9"/>
      <c r="DV467" s="9"/>
      <c r="DW467" s="9"/>
      <c r="DX467" s="9"/>
      <c r="DY467" s="9"/>
      <c r="DZ467" s="9"/>
      <c r="EA467" s="9"/>
      <c r="EB467" s="9"/>
      <c r="EC467" s="9"/>
      <c r="ED467" s="9"/>
      <c r="EE467" s="9"/>
      <c r="EF467" s="9"/>
      <c r="EG467" s="9"/>
      <c r="EH467" s="9"/>
      <c r="EI467" s="9"/>
      <c r="EJ467" s="9"/>
      <c r="EK467" s="9"/>
      <c r="EL467" s="9"/>
    </row>
    <row r="468" spans="1:142" x14ac:dyDescent="0.35">
      <c r="A468" s="9">
        <v>890312749</v>
      </c>
      <c r="B468" s="19">
        <v>6</v>
      </c>
      <c r="C468" s="9" t="str">
        <f>VLOOKUP(A468,'[1]terceros cto'!A$1:B$65536,2,0)</f>
        <v>SEGURIDAD ATLAS LTDA</v>
      </c>
      <c r="D468" s="20" t="str">
        <f>VLOOKUP(C468,'[1]terceros cto'!B$1:F$65536,5,0)</f>
        <v>jefeimpuestos@atlas.com.co</v>
      </c>
      <c r="E468" s="21" t="s">
        <v>2252</v>
      </c>
      <c r="F468" s="9" t="str">
        <f>VLOOKUP(C468,'[1]terceros cto'!B$1:D$65536,3,0)</f>
        <v>calle 2 31 41</v>
      </c>
      <c r="G468" s="21">
        <v>15516</v>
      </c>
      <c r="H468" s="9">
        <v>212</v>
      </c>
      <c r="I468" s="30">
        <v>351327</v>
      </c>
      <c r="J468" s="31">
        <v>0</v>
      </c>
      <c r="K468" s="22">
        <v>0</v>
      </c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  <c r="CQ468" s="9"/>
      <c r="CR468" s="9"/>
      <c r="CS468" s="9"/>
      <c r="CT468" s="9"/>
      <c r="CU468" s="9"/>
      <c r="CV468" s="9"/>
      <c r="CW468" s="9"/>
      <c r="CX468" s="9"/>
      <c r="CY468" s="9"/>
      <c r="CZ468" s="9"/>
      <c r="DA468" s="9"/>
      <c r="DB468" s="9"/>
      <c r="DC468" s="9"/>
      <c r="DD468" s="9"/>
      <c r="DE468" s="9"/>
      <c r="DF468" s="9"/>
      <c r="DG468" s="9"/>
      <c r="DH468" s="9"/>
      <c r="DI468" s="9"/>
      <c r="DJ468" s="9"/>
      <c r="DK468" s="9"/>
      <c r="DL468" s="9"/>
      <c r="DM468" s="9"/>
      <c r="DN468" s="9"/>
      <c r="DO468" s="9"/>
      <c r="DP468" s="9"/>
      <c r="DQ468" s="9"/>
      <c r="DR468" s="9"/>
      <c r="DS468" s="9"/>
      <c r="DT468" s="9"/>
      <c r="DU468" s="9"/>
      <c r="DV468" s="9"/>
      <c r="DW468" s="9"/>
      <c r="DX468" s="9"/>
      <c r="DY468" s="9"/>
      <c r="DZ468" s="9"/>
      <c r="EA468" s="9"/>
      <c r="EB468" s="9"/>
      <c r="EC468" s="9"/>
      <c r="ED468" s="9"/>
      <c r="EE468" s="9"/>
      <c r="EF468" s="9"/>
      <c r="EG468" s="9"/>
      <c r="EH468" s="9"/>
      <c r="EI468" s="9"/>
      <c r="EJ468" s="9"/>
      <c r="EK468" s="9"/>
      <c r="EL468" s="9"/>
    </row>
    <row r="469" spans="1:142" x14ac:dyDescent="0.35">
      <c r="A469" s="9">
        <v>890328485</v>
      </c>
      <c r="B469" s="19">
        <v>7</v>
      </c>
      <c r="C469" s="9" t="str">
        <f>VLOOKUP(A469,'[1]terceros cto'!A$1:B$65536,2,0)</f>
        <v>PRODUCTOS DE CAUCHO Y LONA SAS</v>
      </c>
      <c r="D469" s="20" t="str">
        <f>VLOOKUP(C469,'[1]terceros cto'!B$1:F$65536,5,0)</f>
        <v>facturacionelectronica@pcl.com.co</v>
      </c>
      <c r="E469" s="21" t="s">
        <v>2252</v>
      </c>
      <c r="F469" s="9" t="str">
        <f>VLOOKUP(C469,'[1]terceros cto'!B$1:D$65536,3,0)</f>
        <v>Paipa</v>
      </c>
      <c r="G469" s="21">
        <v>15516</v>
      </c>
      <c r="H469" s="9">
        <v>212</v>
      </c>
      <c r="I469" s="28">
        <v>43039</v>
      </c>
      <c r="J469" s="29">
        <v>0</v>
      </c>
      <c r="K469" s="22">
        <v>0</v>
      </c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  <c r="CJ469" s="9"/>
      <c r="CK469" s="9"/>
      <c r="CL469" s="9"/>
      <c r="CM469" s="9"/>
      <c r="CN469" s="9"/>
      <c r="CO469" s="9"/>
      <c r="CP469" s="9"/>
      <c r="CQ469" s="9"/>
      <c r="CR469" s="9"/>
      <c r="CS469" s="9"/>
      <c r="CT469" s="9"/>
      <c r="CU469" s="9"/>
      <c r="CV469" s="9"/>
      <c r="CW469" s="9"/>
      <c r="CX469" s="9"/>
      <c r="CY469" s="9"/>
      <c r="CZ469" s="9"/>
      <c r="DA469" s="9"/>
      <c r="DB469" s="9"/>
      <c r="DC469" s="9"/>
      <c r="DD469" s="9"/>
      <c r="DE469" s="9"/>
      <c r="DF469" s="9"/>
      <c r="DG469" s="9"/>
      <c r="DH469" s="9"/>
      <c r="DI469" s="9"/>
      <c r="DJ469" s="9"/>
      <c r="DK469" s="9"/>
      <c r="DL469" s="9"/>
      <c r="DM469" s="9"/>
      <c r="DN469" s="9"/>
      <c r="DO469" s="9"/>
      <c r="DP469" s="9"/>
      <c r="DQ469" s="9"/>
      <c r="DR469" s="9"/>
      <c r="DS469" s="9"/>
      <c r="DT469" s="9"/>
      <c r="DU469" s="9"/>
      <c r="DV469" s="9"/>
      <c r="DW469" s="9"/>
      <c r="DX469" s="9"/>
      <c r="DY469" s="9"/>
      <c r="DZ469" s="9"/>
      <c r="EA469" s="9"/>
      <c r="EB469" s="9"/>
      <c r="EC469" s="9"/>
      <c r="ED469" s="9"/>
      <c r="EE469" s="9"/>
      <c r="EF469" s="9"/>
      <c r="EG469" s="9"/>
      <c r="EH469" s="9"/>
      <c r="EI469" s="9"/>
      <c r="EJ469" s="9"/>
      <c r="EK469" s="9"/>
      <c r="EL469" s="9"/>
    </row>
    <row r="470" spans="1:142" x14ac:dyDescent="0.35">
      <c r="A470" s="9">
        <v>890331634</v>
      </c>
      <c r="B470" s="19">
        <v>9</v>
      </c>
      <c r="C470" s="9" t="str">
        <f>VLOOKUP(A470,'[1]terceros cto'!A$1:B$65536,2,0)</f>
        <v>IMPORTACION TECNICA ESTUDIOS Y COMERCIALIZACION S. A.</v>
      </c>
      <c r="D470" s="20" t="str">
        <f>VLOOKUP(C470,'[1]terceros cto'!B$1:F$65536,5,0)</f>
        <v>890331634@factureinbox.co</v>
      </c>
      <c r="E470" s="21" t="s">
        <v>2252</v>
      </c>
      <c r="F470" s="9" t="str">
        <f>VLOOKUP(C470,'[1]terceros cto'!B$1:D$65536,3,0)</f>
        <v>CL 20 1 30</v>
      </c>
      <c r="G470" s="21">
        <v>15516</v>
      </c>
      <c r="H470" s="9">
        <v>212</v>
      </c>
      <c r="I470" s="30">
        <v>117059</v>
      </c>
      <c r="J470" s="31">
        <v>0</v>
      </c>
      <c r="K470" s="22">
        <v>0</v>
      </c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  <c r="CD470" s="9"/>
      <c r="CE470" s="9"/>
      <c r="CF470" s="9"/>
      <c r="CG470" s="9"/>
      <c r="CH470" s="9"/>
      <c r="CI470" s="9"/>
      <c r="CJ470" s="9"/>
      <c r="CK470" s="9"/>
      <c r="CL470" s="9"/>
      <c r="CM470" s="9"/>
      <c r="CN470" s="9"/>
      <c r="CO470" s="9"/>
      <c r="CP470" s="9"/>
      <c r="CQ470" s="9"/>
      <c r="CR470" s="9"/>
      <c r="CS470" s="9"/>
      <c r="CT470" s="9"/>
      <c r="CU470" s="9"/>
      <c r="CV470" s="9"/>
      <c r="CW470" s="9"/>
      <c r="CX470" s="9"/>
      <c r="CY470" s="9"/>
      <c r="CZ470" s="9"/>
      <c r="DA470" s="9"/>
      <c r="DB470" s="9"/>
      <c r="DC470" s="9"/>
      <c r="DD470" s="9"/>
      <c r="DE470" s="9"/>
      <c r="DF470" s="9"/>
      <c r="DG470" s="9"/>
      <c r="DH470" s="9"/>
      <c r="DI470" s="9"/>
      <c r="DJ470" s="9"/>
      <c r="DK470" s="9"/>
      <c r="DL470" s="9"/>
      <c r="DM470" s="9"/>
      <c r="DN470" s="9"/>
      <c r="DO470" s="9"/>
      <c r="DP470" s="9"/>
      <c r="DQ470" s="9"/>
      <c r="DR470" s="9"/>
      <c r="DS470" s="9"/>
      <c r="DT470" s="9"/>
      <c r="DU470" s="9"/>
      <c r="DV470" s="9"/>
      <c r="DW470" s="9"/>
      <c r="DX470" s="9"/>
      <c r="DY470" s="9"/>
      <c r="DZ470" s="9"/>
      <c r="EA470" s="9"/>
      <c r="EB470" s="9"/>
      <c r="EC470" s="9"/>
      <c r="ED470" s="9"/>
      <c r="EE470" s="9"/>
      <c r="EF470" s="9"/>
      <c r="EG470" s="9"/>
      <c r="EH470" s="9"/>
      <c r="EI470" s="9"/>
      <c r="EJ470" s="9"/>
      <c r="EK470" s="9"/>
      <c r="EL470" s="9"/>
    </row>
    <row r="471" spans="1:142" x14ac:dyDescent="0.35">
      <c r="A471" s="9">
        <v>890701017</v>
      </c>
      <c r="B471" s="19">
        <v>2</v>
      </c>
      <c r="C471" s="9" t="str">
        <f>VLOOKUP(A471,'[1]terceros cto'!A$1:B$65536,2,0)</f>
        <v>COOTRASTOL</v>
      </c>
      <c r="D471" s="20" t="str">
        <f>VLOOKUP(C471,'[1]terceros cto'!B$1:F$65536,5,0)</f>
        <v>facturaelectronica@cootranstol.com</v>
      </c>
      <c r="E471" s="21" t="s">
        <v>2252</v>
      </c>
      <c r="F471" s="9" t="str">
        <f>VLOOKUP(C471,'[1]terceros cto'!B$1:D$65536,3,0)</f>
        <v>Paipa</v>
      </c>
      <c r="G471" s="21">
        <v>15516</v>
      </c>
      <c r="H471" s="9">
        <v>212</v>
      </c>
      <c r="I471" s="28">
        <v>398990</v>
      </c>
      <c r="J471" s="29">
        <v>0</v>
      </c>
      <c r="K471" s="22">
        <v>0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D471" s="9"/>
      <c r="CE471" s="9"/>
      <c r="CF471" s="9"/>
      <c r="CG471" s="9"/>
      <c r="CH471" s="9"/>
      <c r="CI471" s="9"/>
      <c r="CJ471" s="9"/>
      <c r="CK471" s="9"/>
      <c r="CL471" s="9"/>
      <c r="CM471" s="9"/>
      <c r="CN471" s="9"/>
      <c r="CO471" s="9"/>
      <c r="CP471" s="9"/>
      <c r="CQ471" s="9"/>
      <c r="CR471" s="9"/>
      <c r="CS471" s="9"/>
      <c r="CT471" s="9"/>
      <c r="CU471" s="9"/>
      <c r="CV471" s="9"/>
      <c r="CW471" s="9"/>
      <c r="CX471" s="9"/>
      <c r="CY471" s="9"/>
      <c r="CZ471" s="9"/>
      <c r="DA471" s="9"/>
      <c r="DB471" s="9"/>
      <c r="DC471" s="9"/>
      <c r="DD471" s="9"/>
      <c r="DE471" s="9"/>
      <c r="DF471" s="9"/>
      <c r="DG471" s="9"/>
      <c r="DH471" s="9"/>
      <c r="DI471" s="9"/>
      <c r="DJ471" s="9"/>
      <c r="DK471" s="9"/>
      <c r="DL471" s="9"/>
      <c r="DM471" s="9"/>
      <c r="DN471" s="9"/>
      <c r="DO471" s="9"/>
      <c r="DP471" s="9"/>
      <c r="DQ471" s="9"/>
      <c r="DR471" s="9"/>
      <c r="DS471" s="9"/>
      <c r="DT471" s="9"/>
      <c r="DU471" s="9"/>
      <c r="DV471" s="9"/>
      <c r="DW471" s="9"/>
      <c r="DX471" s="9"/>
      <c r="DY471" s="9"/>
      <c r="DZ471" s="9"/>
      <c r="EA471" s="9"/>
      <c r="EB471" s="9"/>
      <c r="EC471" s="9"/>
      <c r="ED471" s="9"/>
      <c r="EE471" s="9"/>
      <c r="EF471" s="9"/>
      <c r="EG471" s="9"/>
      <c r="EH471" s="9"/>
      <c r="EI471" s="9"/>
      <c r="EJ471" s="9"/>
      <c r="EK471" s="9"/>
      <c r="EL471" s="9"/>
    </row>
    <row r="472" spans="1:142" x14ac:dyDescent="0.35">
      <c r="A472" s="9">
        <v>890907163</v>
      </c>
      <c r="B472" s="19">
        <v>5</v>
      </c>
      <c r="C472" s="9" t="str">
        <f>VLOOKUP(A472,'[1]terceros cto'!A$1:B$65536,2,0)</f>
        <v>COMPAÑIA INDUSTRIAL DE PRODUCTOS AGROPECUARIOS S.A</v>
      </c>
      <c r="D472" s="20" t="str">
        <f>VLOOKUP(C472,'[1]terceros cto'!B$1:F$65536,5,0)</f>
        <v>juan.salamanca@cipa.com.co</v>
      </c>
      <c r="E472" s="21" t="s">
        <v>2252</v>
      </c>
      <c r="F472" s="9" t="str">
        <f>VLOOKUP(C472,'[1]terceros cto'!B$1:D$65536,3,0)</f>
        <v>CR 49A 23 45</v>
      </c>
      <c r="G472" s="21">
        <v>15516</v>
      </c>
      <c r="H472" s="9">
        <v>212</v>
      </c>
      <c r="I472" s="30">
        <v>310053</v>
      </c>
      <c r="J472" s="31">
        <v>0</v>
      </c>
      <c r="K472" s="22">
        <v>0</v>
      </c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  <c r="CJ472" s="9"/>
      <c r="CK472" s="9"/>
      <c r="CL472" s="9"/>
      <c r="CM472" s="9"/>
      <c r="CN472" s="9"/>
      <c r="CO472" s="9"/>
      <c r="CP472" s="9"/>
      <c r="CQ472" s="9"/>
      <c r="CR472" s="9"/>
      <c r="CS472" s="9"/>
      <c r="CT472" s="9"/>
      <c r="CU472" s="9"/>
      <c r="CV472" s="9"/>
      <c r="CW472" s="9"/>
      <c r="CX472" s="9"/>
      <c r="CY472" s="9"/>
      <c r="CZ472" s="9"/>
      <c r="DA472" s="9"/>
      <c r="DB472" s="9"/>
      <c r="DC472" s="9"/>
      <c r="DD472" s="9"/>
      <c r="DE472" s="9"/>
      <c r="DF472" s="9"/>
      <c r="DG472" s="9"/>
      <c r="DH472" s="9"/>
      <c r="DI472" s="9"/>
      <c r="DJ472" s="9"/>
      <c r="DK472" s="9"/>
      <c r="DL472" s="9"/>
      <c r="DM472" s="9"/>
      <c r="DN472" s="9"/>
      <c r="DO472" s="9"/>
      <c r="DP472" s="9"/>
      <c r="DQ472" s="9"/>
      <c r="DR472" s="9"/>
      <c r="DS472" s="9"/>
      <c r="DT472" s="9"/>
      <c r="DU472" s="9"/>
      <c r="DV472" s="9"/>
      <c r="DW472" s="9"/>
      <c r="DX472" s="9"/>
      <c r="DY472" s="9"/>
      <c r="DZ472" s="9"/>
      <c r="EA472" s="9"/>
      <c r="EB472" s="9"/>
      <c r="EC472" s="9"/>
      <c r="ED472" s="9"/>
      <c r="EE472" s="9"/>
      <c r="EF472" s="9"/>
      <c r="EG472" s="9"/>
      <c r="EH472" s="9"/>
      <c r="EI472" s="9"/>
      <c r="EJ472" s="9"/>
      <c r="EK472" s="9"/>
      <c r="EL472" s="9"/>
    </row>
    <row r="473" spans="1:142" x14ac:dyDescent="0.35">
      <c r="A473" s="9">
        <v>890922586</v>
      </c>
      <c r="B473" s="19">
        <v>1</v>
      </c>
      <c r="C473" s="9" t="str">
        <f>VLOOKUP(A473,'[1]terceros cto'!A$1:B$65536,2,0)</f>
        <v>TEXCOMERCIAL TEXCO SAS</v>
      </c>
      <c r="D473" s="20" t="str">
        <f>VLOOKUP(C473,'[1]terceros cto'!B$1:F$65536,5,0)</f>
        <v>proveedorestexco@texcomercial.com.co</v>
      </c>
      <c r="E473" s="21" t="s">
        <v>2252</v>
      </c>
      <c r="F473" s="9" t="str">
        <f>VLOOKUP(C473,'[1]terceros cto'!B$1:D$65536,3,0)</f>
        <v>Paipa</v>
      </c>
      <c r="G473" s="21">
        <v>15516</v>
      </c>
      <c r="H473" s="9">
        <v>212</v>
      </c>
      <c r="I473" s="28">
        <v>142830</v>
      </c>
      <c r="J473" s="29">
        <v>0</v>
      </c>
      <c r="K473" s="22">
        <v>0</v>
      </c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  <c r="CL473" s="9"/>
      <c r="CM473" s="9"/>
      <c r="CN473" s="9"/>
      <c r="CO473" s="9"/>
      <c r="CP473" s="9"/>
      <c r="CQ473" s="9"/>
      <c r="CR473" s="9"/>
      <c r="CS473" s="9"/>
      <c r="CT473" s="9"/>
      <c r="CU473" s="9"/>
      <c r="CV473" s="9"/>
      <c r="CW473" s="9"/>
      <c r="CX473" s="9"/>
      <c r="CY473" s="9"/>
      <c r="CZ473" s="9"/>
      <c r="DA473" s="9"/>
      <c r="DB473" s="9"/>
      <c r="DC473" s="9"/>
      <c r="DD473" s="9"/>
      <c r="DE473" s="9"/>
      <c r="DF473" s="9"/>
      <c r="DG473" s="9"/>
      <c r="DH473" s="9"/>
      <c r="DI473" s="9"/>
      <c r="DJ473" s="9"/>
      <c r="DK473" s="9"/>
      <c r="DL473" s="9"/>
      <c r="DM473" s="9"/>
      <c r="DN473" s="9"/>
      <c r="DO473" s="9"/>
      <c r="DP473" s="9"/>
      <c r="DQ473" s="9"/>
      <c r="DR473" s="9"/>
      <c r="DS473" s="9"/>
      <c r="DT473" s="9"/>
      <c r="DU473" s="9"/>
      <c r="DV473" s="9"/>
      <c r="DW473" s="9"/>
      <c r="DX473" s="9"/>
      <c r="DY473" s="9"/>
      <c r="DZ473" s="9"/>
      <c r="EA473" s="9"/>
      <c r="EB473" s="9"/>
      <c r="EC473" s="9"/>
      <c r="ED473" s="9"/>
      <c r="EE473" s="9"/>
      <c r="EF473" s="9"/>
      <c r="EG473" s="9"/>
      <c r="EH473" s="9"/>
      <c r="EI473" s="9"/>
      <c r="EJ473" s="9"/>
      <c r="EK473" s="9"/>
      <c r="EL473" s="9"/>
    </row>
    <row r="474" spans="1:142" x14ac:dyDescent="0.35">
      <c r="A474" s="9">
        <v>891100445</v>
      </c>
      <c r="B474" s="19">
        <v>6</v>
      </c>
      <c r="C474" s="9" t="str">
        <f>VLOOKUP(A474,'[1]terceros cto'!A$1:B$65536,2,0)</f>
        <v>ORF SA</v>
      </c>
      <c r="D474" s="20" t="str">
        <f>VLOOKUP(C474,'[1]terceros cto'!B$1:F$65536,5,0)</f>
        <v>facturacionelectronica@orf.com.co</v>
      </c>
      <c r="E474" s="21" t="s">
        <v>2252</v>
      </c>
      <c r="F474" s="9" t="str">
        <f>VLOOKUP(C474,'[1]terceros cto'!B$1:D$65536,3,0)</f>
        <v>Paipa</v>
      </c>
      <c r="G474" s="21">
        <v>15516</v>
      </c>
      <c r="H474" s="9">
        <v>212</v>
      </c>
      <c r="I474" s="30">
        <v>131740</v>
      </c>
      <c r="J474" s="31">
        <v>0</v>
      </c>
      <c r="K474" s="22">
        <v>0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  <c r="CJ474" s="9"/>
      <c r="CK474" s="9"/>
      <c r="CL474" s="9"/>
      <c r="CM474" s="9"/>
      <c r="CN474" s="9"/>
      <c r="CO474" s="9"/>
      <c r="CP474" s="9"/>
      <c r="CQ474" s="9"/>
      <c r="CR474" s="9"/>
      <c r="CS474" s="9"/>
      <c r="CT474" s="9"/>
      <c r="CU474" s="9"/>
      <c r="CV474" s="9"/>
      <c r="CW474" s="9"/>
      <c r="CX474" s="9"/>
      <c r="CY474" s="9"/>
      <c r="CZ474" s="9"/>
      <c r="DA474" s="9"/>
      <c r="DB474" s="9"/>
      <c r="DC474" s="9"/>
      <c r="DD474" s="9"/>
      <c r="DE474" s="9"/>
      <c r="DF474" s="9"/>
      <c r="DG474" s="9"/>
      <c r="DH474" s="9"/>
      <c r="DI474" s="9"/>
      <c r="DJ474" s="9"/>
      <c r="DK474" s="9"/>
      <c r="DL474" s="9"/>
      <c r="DM474" s="9"/>
      <c r="DN474" s="9"/>
      <c r="DO474" s="9"/>
      <c r="DP474" s="9"/>
      <c r="DQ474" s="9"/>
      <c r="DR474" s="9"/>
      <c r="DS474" s="9"/>
      <c r="DT474" s="9"/>
      <c r="DU474" s="9"/>
      <c r="DV474" s="9"/>
      <c r="DW474" s="9"/>
      <c r="DX474" s="9"/>
      <c r="DY474" s="9"/>
      <c r="DZ474" s="9"/>
      <c r="EA474" s="9"/>
      <c r="EB474" s="9"/>
      <c r="EC474" s="9"/>
      <c r="ED474" s="9"/>
      <c r="EE474" s="9"/>
      <c r="EF474" s="9"/>
      <c r="EG474" s="9"/>
      <c r="EH474" s="9"/>
      <c r="EI474" s="9"/>
      <c r="EJ474" s="9"/>
      <c r="EK474" s="9"/>
      <c r="EL474" s="9"/>
    </row>
    <row r="475" spans="1:142" x14ac:dyDescent="0.35">
      <c r="A475" s="9">
        <v>891800213</v>
      </c>
      <c r="B475" s="19">
        <v>8</v>
      </c>
      <c r="C475" s="9" t="str">
        <f>VLOOKUP(A475,'[1]terceros cto'!A$1:B$65536,2,0)</f>
        <v>CAJA DE COMPENSACION FAMILIAR DE BOYACA COMFABOY</v>
      </c>
      <c r="D475" s="20" t="str">
        <f>VLOOKUP(C475,'[1]terceros cto'!B$1:F$65536,5,0)</f>
        <v>recepcionfacturas@comfaboy.com.co</v>
      </c>
      <c r="E475" s="21" t="str">
        <f>VLOOKUP(C475,'[1]terceros cto'!B$1:E$65536,4,0)</f>
        <v>7407948</v>
      </c>
      <c r="F475" s="9" t="str">
        <f>VLOOKUP(C475,'[1]terceros cto'!B$1:D$65536,3,0)</f>
        <v>Cra. 10 #16-81,</v>
      </c>
      <c r="G475" s="21">
        <v>15516</v>
      </c>
      <c r="H475" s="9">
        <v>212</v>
      </c>
      <c r="I475" s="28">
        <v>600119</v>
      </c>
      <c r="J475" s="29">
        <v>0</v>
      </c>
      <c r="K475" s="22">
        <v>0</v>
      </c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D475" s="9"/>
      <c r="CE475" s="9"/>
      <c r="CF475" s="9"/>
      <c r="CG475" s="9"/>
      <c r="CH475" s="9"/>
      <c r="CI475" s="9"/>
      <c r="CJ475" s="9"/>
      <c r="CK475" s="9"/>
      <c r="CL475" s="9"/>
      <c r="CM475" s="9"/>
      <c r="CN475" s="9"/>
      <c r="CO475" s="9"/>
      <c r="CP475" s="9"/>
      <c r="CQ475" s="9"/>
      <c r="CR475" s="9"/>
      <c r="CS475" s="9"/>
      <c r="CT475" s="9"/>
      <c r="CU475" s="9"/>
      <c r="CV475" s="9"/>
      <c r="CW475" s="9"/>
      <c r="CX475" s="9"/>
      <c r="CY475" s="9"/>
      <c r="CZ475" s="9"/>
      <c r="DA475" s="9"/>
      <c r="DB475" s="9"/>
      <c r="DC475" s="9"/>
      <c r="DD475" s="9"/>
      <c r="DE475" s="9"/>
      <c r="DF475" s="9"/>
      <c r="DG475" s="9"/>
      <c r="DH475" s="9"/>
      <c r="DI475" s="9"/>
      <c r="DJ475" s="9"/>
      <c r="DK475" s="9"/>
      <c r="DL475" s="9"/>
      <c r="DM475" s="9"/>
      <c r="DN475" s="9"/>
      <c r="DO475" s="9"/>
      <c r="DP475" s="9"/>
      <c r="DQ475" s="9"/>
      <c r="DR475" s="9"/>
      <c r="DS475" s="9"/>
      <c r="DT475" s="9"/>
      <c r="DU475" s="9"/>
      <c r="DV475" s="9"/>
      <c r="DW475" s="9"/>
      <c r="DX475" s="9"/>
      <c r="DY475" s="9"/>
      <c r="DZ475" s="9"/>
      <c r="EA475" s="9"/>
      <c r="EB475" s="9"/>
      <c r="EC475" s="9"/>
      <c r="ED475" s="9"/>
      <c r="EE475" s="9"/>
      <c r="EF475" s="9"/>
      <c r="EG475" s="9"/>
      <c r="EH475" s="9"/>
      <c r="EI475" s="9"/>
      <c r="EJ475" s="9"/>
      <c r="EK475" s="9"/>
      <c r="EL475" s="9"/>
    </row>
    <row r="476" spans="1:142" x14ac:dyDescent="0.35">
      <c r="A476" s="9">
        <v>891800330</v>
      </c>
      <c r="B476" s="19">
        <v>1</v>
      </c>
      <c r="C476" s="9" t="str">
        <f>VLOOKUP(A476,'[1]terceros cto'!A$1:B$65536,2,0)</f>
        <v>UNIVERSIDAD PEDAGOGICA Y TECNOLOGICA DE COLOMBIA</v>
      </c>
      <c r="D476" s="20" t="str">
        <f>VLOOKUP(C476,'[1]terceros cto'!B$1:F$65536,5,0)</f>
        <v>granja.tunguavita@uptc.edu.co</v>
      </c>
      <c r="E476" s="21" t="s">
        <v>2252</v>
      </c>
      <c r="F476" s="9" t="str">
        <f>VLOOKUP(C476,'[1]terceros cto'!B$1:D$65536,3,0)</f>
        <v>GRANJA TUNGUAVITA</v>
      </c>
      <c r="G476" s="21">
        <v>15516</v>
      </c>
      <c r="H476" s="9">
        <v>212</v>
      </c>
      <c r="I476" s="30">
        <v>20011500</v>
      </c>
      <c r="J476" s="31">
        <v>0</v>
      </c>
      <c r="K476" s="22">
        <v>0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  <c r="CJ476" s="9"/>
      <c r="CK476" s="9"/>
      <c r="CL476" s="9"/>
      <c r="CM476" s="9"/>
      <c r="CN476" s="9"/>
      <c r="CO476" s="9"/>
      <c r="CP476" s="9"/>
      <c r="CQ476" s="9"/>
      <c r="CR476" s="9"/>
      <c r="CS476" s="9"/>
      <c r="CT476" s="9"/>
      <c r="CU476" s="9"/>
      <c r="CV476" s="9"/>
      <c r="CW476" s="9"/>
      <c r="CX476" s="9"/>
      <c r="CY476" s="9"/>
      <c r="CZ476" s="9"/>
      <c r="DA476" s="9"/>
      <c r="DB476" s="9"/>
      <c r="DC476" s="9"/>
      <c r="DD476" s="9"/>
      <c r="DE476" s="9"/>
      <c r="DF476" s="9"/>
      <c r="DG476" s="9"/>
      <c r="DH476" s="9"/>
      <c r="DI476" s="9"/>
      <c r="DJ476" s="9"/>
      <c r="DK476" s="9"/>
      <c r="DL476" s="9"/>
      <c r="DM476" s="9"/>
      <c r="DN476" s="9"/>
      <c r="DO476" s="9"/>
      <c r="DP476" s="9"/>
      <c r="DQ476" s="9"/>
      <c r="DR476" s="9"/>
      <c r="DS476" s="9"/>
      <c r="DT476" s="9"/>
      <c r="DU476" s="9"/>
      <c r="DV476" s="9"/>
      <c r="DW476" s="9"/>
      <c r="DX476" s="9"/>
      <c r="DY476" s="9"/>
      <c r="DZ476" s="9"/>
      <c r="EA476" s="9"/>
      <c r="EB476" s="9"/>
      <c r="EC476" s="9"/>
      <c r="ED476" s="9"/>
      <c r="EE476" s="9"/>
      <c r="EF476" s="9"/>
      <c r="EG476" s="9"/>
      <c r="EH476" s="9"/>
      <c r="EI476" s="9"/>
      <c r="EJ476" s="9"/>
      <c r="EK476" s="9"/>
      <c r="EL476" s="9"/>
    </row>
    <row r="477" spans="1:142" x14ac:dyDescent="0.35">
      <c r="A477" s="9">
        <v>891801193</v>
      </c>
      <c r="B477" s="19">
        <v>3</v>
      </c>
      <c r="C477" s="9" t="str">
        <f>VLOOKUP(A477,'[1]terceros cto'!A$1:B$65536,2,0)</f>
        <v>INVERSIONES LADRILLOS MAGUNCIA SAS</v>
      </c>
      <c r="D477" s="20" t="str">
        <f>VLOOKUP(C477,'[1]terceros cto'!B$1:F$65536,5,0)</f>
        <v>financiera@ladrilleramaguncia.com</v>
      </c>
      <c r="E477" s="21" t="s">
        <v>2252</v>
      </c>
      <c r="F477" s="9" t="str">
        <f>VLOOKUP(C477,'[1]terceros cto'!B$1:D$65536,3,0)</f>
        <v>KILOMETRO 27 VIA TUNJA</v>
      </c>
      <c r="G477" s="21">
        <v>15516</v>
      </c>
      <c r="H477" s="9">
        <v>212</v>
      </c>
      <c r="I477" s="28">
        <v>4509245</v>
      </c>
      <c r="J477" s="29">
        <v>0</v>
      </c>
      <c r="K477" s="22">
        <v>0</v>
      </c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D477" s="9"/>
      <c r="CE477" s="9"/>
      <c r="CF477" s="9"/>
      <c r="CG477" s="9"/>
      <c r="CH477" s="9"/>
      <c r="CI477" s="9"/>
      <c r="CJ477" s="9"/>
      <c r="CK477" s="9"/>
      <c r="CL477" s="9"/>
      <c r="CM477" s="9"/>
      <c r="CN477" s="9"/>
      <c r="CO477" s="9"/>
      <c r="CP477" s="9"/>
      <c r="CQ477" s="9"/>
      <c r="CR477" s="9"/>
      <c r="CS477" s="9"/>
      <c r="CT477" s="9"/>
      <c r="CU477" s="9"/>
      <c r="CV477" s="9"/>
      <c r="CW477" s="9"/>
      <c r="CX477" s="9"/>
      <c r="CY477" s="9"/>
      <c r="CZ477" s="9"/>
      <c r="DA477" s="9"/>
      <c r="DB477" s="9"/>
      <c r="DC477" s="9"/>
      <c r="DD477" s="9"/>
      <c r="DE477" s="9"/>
      <c r="DF477" s="9"/>
      <c r="DG477" s="9"/>
      <c r="DH477" s="9"/>
      <c r="DI477" s="9"/>
      <c r="DJ477" s="9"/>
      <c r="DK477" s="9"/>
      <c r="DL477" s="9"/>
      <c r="DM477" s="9"/>
      <c r="DN477" s="9"/>
      <c r="DO477" s="9"/>
      <c r="DP477" s="9"/>
      <c r="DQ477" s="9"/>
      <c r="DR477" s="9"/>
      <c r="DS477" s="9"/>
      <c r="DT477" s="9"/>
      <c r="DU477" s="9"/>
      <c r="DV477" s="9"/>
      <c r="DW477" s="9"/>
      <c r="DX477" s="9"/>
      <c r="DY477" s="9"/>
      <c r="DZ477" s="9"/>
      <c r="EA477" s="9"/>
      <c r="EB477" s="9"/>
      <c r="EC477" s="9"/>
      <c r="ED477" s="9"/>
      <c r="EE477" s="9"/>
      <c r="EF477" s="9"/>
      <c r="EG477" s="9"/>
      <c r="EH477" s="9"/>
      <c r="EI477" s="9"/>
      <c r="EJ477" s="9"/>
      <c r="EK477" s="9"/>
      <c r="EL477" s="9"/>
    </row>
    <row r="478" spans="1:142" x14ac:dyDescent="0.35">
      <c r="A478" s="9">
        <v>891801240</v>
      </c>
      <c r="B478" s="19">
        <v>1</v>
      </c>
      <c r="C478" s="9" t="str">
        <f>VLOOKUP(A478,'[1]terceros cto'!A$1:B$65536,2,0)</f>
        <v>ALCALDIA MUNICIPAL PAIPA BOYACA</v>
      </c>
      <c r="D478" s="20" t="str">
        <f>VLOOKUP(C478,'[1]terceros cto'!B$1:F$65536,5,0)</f>
        <v>contabilidad@paipa-boyaca.gov.co</v>
      </c>
      <c r="E478" s="21" t="str">
        <f>VLOOKUP(C478,'[1]terceros cto'!B$1:E$65536,4,0)</f>
        <v>7850131</v>
      </c>
      <c r="F478" s="9" t="str">
        <f>VLOOKUP(C478,'[1]terceros cto'!B$1:D$65536,3,0)</f>
        <v>CARRERA 22 No25-14</v>
      </c>
      <c r="G478" s="21">
        <v>15516</v>
      </c>
      <c r="H478" s="9">
        <v>212</v>
      </c>
      <c r="I478" s="30">
        <v>26986000</v>
      </c>
      <c r="J478" s="31">
        <v>0</v>
      </c>
      <c r="K478" s="22">
        <v>0</v>
      </c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D478" s="9"/>
      <c r="CE478" s="9"/>
      <c r="CF478" s="9"/>
      <c r="CG478" s="9"/>
      <c r="CH478" s="9"/>
      <c r="CI478" s="9"/>
      <c r="CJ478" s="9"/>
      <c r="CK478" s="9"/>
      <c r="CL478" s="9"/>
      <c r="CM478" s="9"/>
      <c r="CN478" s="9"/>
      <c r="CO478" s="9"/>
      <c r="CP478" s="9"/>
      <c r="CQ478" s="9"/>
      <c r="CR478" s="9"/>
      <c r="CS478" s="9"/>
      <c r="CT478" s="9"/>
      <c r="CU478" s="9"/>
      <c r="CV478" s="9"/>
      <c r="CW478" s="9"/>
      <c r="CX478" s="9"/>
      <c r="CY478" s="9"/>
      <c r="CZ478" s="9"/>
      <c r="DA478" s="9"/>
      <c r="DB478" s="9"/>
      <c r="DC478" s="9"/>
      <c r="DD478" s="9"/>
      <c r="DE478" s="9"/>
      <c r="DF478" s="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x14ac:dyDescent="0.35">
      <c r="A479" s="9">
        <v>891855209</v>
      </c>
      <c r="B479" s="19">
        <v>4</v>
      </c>
      <c r="C479" s="9" t="str">
        <f>VLOOKUP(A479,'[1]terceros cto'!A$1:B$65536,2,0)</f>
        <v>EMPRESA SOCIAL DEL ESTADO HOSPITAL SAN VICENTE DE PAUL DE PAIPA</v>
      </c>
      <c r="D479" s="20" t="str">
        <f>VLOOKUP(C479,'[1]terceros cto'!B$1:F$65536,5,0)</f>
        <v>tesoreria@hospitalpaipa.gov.co</v>
      </c>
      <c r="E479" s="21" t="s">
        <v>2252</v>
      </c>
      <c r="F479" s="9" t="str">
        <f>VLOOKUP(C479,'[1]terceros cto'!B$1:D$65536,3,0)</f>
        <v>carrera 20  21 37</v>
      </c>
      <c r="G479" s="21">
        <v>15516</v>
      </c>
      <c r="H479" s="9">
        <v>212</v>
      </c>
      <c r="I479" s="28">
        <v>56311962</v>
      </c>
      <c r="J479" s="29">
        <v>7949943</v>
      </c>
      <c r="K479" s="22">
        <v>7949943</v>
      </c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  <c r="CJ479" s="9"/>
      <c r="CK479" s="9"/>
      <c r="CL479" s="9"/>
      <c r="CM479" s="9"/>
      <c r="CN479" s="9"/>
      <c r="CO479" s="9"/>
      <c r="CP479" s="9"/>
      <c r="CQ479" s="9"/>
      <c r="CR479" s="9"/>
      <c r="CS479" s="9"/>
      <c r="CT479" s="9"/>
      <c r="CU479" s="9"/>
      <c r="CV479" s="9"/>
      <c r="CW479" s="9"/>
      <c r="CX479" s="9"/>
      <c r="CY479" s="9"/>
      <c r="CZ479" s="9"/>
      <c r="DA479" s="9"/>
      <c r="DB479" s="9"/>
      <c r="DC479" s="9"/>
      <c r="DD479" s="9"/>
      <c r="DE479" s="9"/>
      <c r="DF479" s="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x14ac:dyDescent="0.35">
      <c r="A480" s="9">
        <v>899999025</v>
      </c>
      <c r="B480" s="19">
        <v>3</v>
      </c>
      <c r="C480" s="9" t="str">
        <f>VLOOKUP(A480,'[1]terceros cto'!A$1:B$65536,2,0)</f>
        <v>SOCIEDAD NACIONAL DE LA CRUZ ROJA C</v>
      </c>
      <c r="D480" s="20" t="str">
        <f>VLOOKUP(C480,'[1]terceros cto'!B$1:F$65536,5,0)</f>
        <v>facturacionelectronica@cruzrojacolombiana.org</v>
      </c>
      <c r="E480" s="21" t="s">
        <v>2252</v>
      </c>
      <c r="F480" s="9" t="str">
        <f>VLOOKUP(C480,'[1]terceros cto'!B$1:D$65536,3,0)</f>
        <v>Paipa</v>
      </c>
      <c r="G480" s="21">
        <v>15516</v>
      </c>
      <c r="H480" s="9">
        <v>212</v>
      </c>
      <c r="I480" s="30">
        <v>152828</v>
      </c>
      <c r="J480" s="31">
        <v>0</v>
      </c>
      <c r="K480" s="22">
        <v>0</v>
      </c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D480" s="9"/>
      <c r="CE480" s="9"/>
      <c r="CF480" s="9"/>
      <c r="CG480" s="9"/>
      <c r="CH480" s="9"/>
      <c r="CI480" s="9"/>
      <c r="CJ480" s="9"/>
      <c r="CK480" s="9"/>
      <c r="CL480" s="9"/>
      <c r="CM480" s="9"/>
      <c r="CN480" s="9"/>
      <c r="CO480" s="9"/>
      <c r="CP480" s="9"/>
      <c r="CQ480" s="9"/>
      <c r="CR480" s="9"/>
      <c r="CS480" s="9"/>
      <c r="CT480" s="9"/>
      <c r="CU480" s="9"/>
      <c r="CV480" s="9"/>
      <c r="CW480" s="9"/>
      <c r="CX480" s="9"/>
      <c r="CY480" s="9"/>
      <c r="CZ480" s="9"/>
      <c r="DA480" s="9"/>
      <c r="DB480" s="9"/>
      <c r="DC480" s="9"/>
      <c r="DD480" s="9"/>
      <c r="DE480" s="9"/>
      <c r="DF480" s="9"/>
      <c r="DG480" s="9"/>
      <c r="DH480" s="9"/>
      <c r="DI480" s="9"/>
      <c r="DJ480" s="9"/>
      <c r="DK480" s="9"/>
      <c r="DL480" s="9"/>
      <c r="DM480" s="9"/>
      <c r="DN480" s="9"/>
      <c r="DO480" s="9"/>
      <c r="DP480" s="9"/>
      <c r="DQ480" s="9"/>
      <c r="DR480" s="9"/>
      <c r="DS480" s="9"/>
      <c r="DT480" s="9"/>
      <c r="DU480" s="9"/>
      <c r="DV480" s="9"/>
      <c r="DW480" s="9"/>
      <c r="DX480" s="9"/>
      <c r="DY480" s="9"/>
      <c r="DZ480" s="9"/>
      <c r="EA480" s="9"/>
      <c r="EB480" s="9"/>
      <c r="EC480" s="9"/>
      <c r="ED480" s="9"/>
      <c r="EE480" s="9"/>
      <c r="EF480" s="9"/>
      <c r="EG480" s="9"/>
      <c r="EH480" s="9"/>
      <c r="EI480" s="9"/>
      <c r="EJ480" s="9"/>
      <c r="EK480" s="9"/>
      <c r="EL480" s="9"/>
    </row>
    <row r="481" spans="1:142" x14ac:dyDescent="0.35">
      <c r="A481" s="9">
        <v>900015118</v>
      </c>
      <c r="B481" s="19">
        <v>0</v>
      </c>
      <c r="C481" s="9" t="str">
        <f>VLOOKUP(A481,'[1]terceros cto'!A$1:B$65536,2,0)</f>
        <v>METIS GROUP S A S</v>
      </c>
      <c r="D481" s="20" t="str">
        <f>VLOOKUP(C481,'[1]terceros cto'!B$1:F$65536,5,0)</f>
        <v>recepcionfe@metisla.com</v>
      </c>
      <c r="E481" s="21" t="s">
        <v>2252</v>
      </c>
      <c r="F481" s="9" t="str">
        <f>VLOOKUP(C481,'[1]terceros cto'!B$1:D$65536,3,0)</f>
        <v>CL 121 14 25</v>
      </c>
      <c r="G481" s="21">
        <v>15516</v>
      </c>
      <c r="H481" s="9">
        <v>212</v>
      </c>
      <c r="I481" s="28">
        <v>62001</v>
      </c>
      <c r="J481" s="29">
        <v>0</v>
      </c>
      <c r="K481" s="22">
        <v>0</v>
      </c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  <c r="CL481" s="9"/>
      <c r="CM481" s="9"/>
      <c r="CN481" s="9"/>
      <c r="CO481" s="9"/>
      <c r="CP481" s="9"/>
      <c r="CQ481" s="9"/>
      <c r="CR481" s="9"/>
      <c r="CS481" s="9"/>
      <c r="CT481" s="9"/>
      <c r="CU481" s="9"/>
      <c r="CV481" s="9"/>
      <c r="CW481" s="9"/>
      <c r="CX481" s="9"/>
      <c r="CY481" s="9"/>
      <c r="CZ481" s="9"/>
      <c r="DA481" s="9"/>
      <c r="DB481" s="9"/>
      <c r="DC481" s="9"/>
      <c r="DD481" s="9"/>
      <c r="DE481" s="9"/>
      <c r="DF481" s="9"/>
      <c r="DG481" s="9"/>
      <c r="DH481" s="9"/>
      <c r="DI481" s="9"/>
      <c r="DJ481" s="9"/>
      <c r="DK481" s="9"/>
      <c r="DL481" s="9"/>
      <c r="DM481" s="9"/>
      <c r="DN481" s="9"/>
      <c r="DO481" s="9"/>
      <c r="DP481" s="9"/>
      <c r="DQ481" s="9"/>
      <c r="DR481" s="9"/>
      <c r="DS481" s="9"/>
      <c r="DT481" s="9"/>
      <c r="DU481" s="9"/>
      <c r="DV481" s="9"/>
      <c r="DW481" s="9"/>
      <c r="DX481" s="9"/>
      <c r="DY481" s="9"/>
      <c r="DZ481" s="9"/>
      <c r="EA481" s="9"/>
      <c r="EB481" s="9"/>
      <c r="EC481" s="9"/>
      <c r="ED481" s="9"/>
      <c r="EE481" s="9"/>
      <c r="EF481" s="9"/>
      <c r="EG481" s="9"/>
      <c r="EH481" s="9"/>
      <c r="EI481" s="9"/>
      <c r="EJ481" s="9"/>
      <c r="EK481" s="9"/>
      <c r="EL481" s="9"/>
    </row>
    <row r="482" spans="1:142" x14ac:dyDescent="0.35">
      <c r="A482" s="9">
        <v>900086174</v>
      </c>
      <c r="B482" s="19">
        <v>7</v>
      </c>
      <c r="C482" s="9" t="str">
        <f>VLOOKUP(A482,'[1]terceros cto'!A$1:B$65536,2,0)</f>
        <v>INMADICA ANDINA SA</v>
      </c>
      <c r="D482" s="20" t="str">
        <f>VLOOKUP(C482,'[1]terceros cto'!B$1:F$65536,5,0)</f>
        <v>jesus.maza@inmadicaandina.com</v>
      </c>
      <c r="E482" s="21" t="s">
        <v>2252</v>
      </c>
      <c r="F482" s="9" t="str">
        <f>VLOOKUP(C482,'[1]terceros cto'!B$1:D$65536,3,0)</f>
        <v>COSTADO SUR DE LA AUTOPISTA MEDELLIN KM 2 PUNTO 7 BG 7 PAR IND LOS N</v>
      </c>
      <c r="G482" s="21">
        <v>15516</v>
      </c>
      <c r="H482" s="9">
        <v>212</v>
      </c>
      <c r="I482" s="30">
        <v>160003</v>
      </c>
      <c r="J482" s="31">
        <v>0</v>
      </c>
      <c r="K482" s="22">
        <v>0</v>
      </c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  <c r="CJ482" s="9"/>
      <c r="CK482" s="9"/>
      <c r="CL482" s="9"/>
      <c r="CM482" s="9"/>
      <c r="CN482" s="9"/>
      <c r="CO482" s="9"/>
      <c r="CP482" s="9"/>
      <c r="CQ482" s="9"/>
      <c r="CR482" s="9"/>
      <c r="CS482" s="9"/>
      <c r="CT482" s="9"/>
      <c r="CU482" s="9"/>
      <c r="CV482" s="9"/>
      <c r="CW482" s="9"/>
      <c r="CX482" s="9"/>
      <c r="CY482" s="9"/>
      <c r="CZ482" s="9"/>
      <c r="DA482" s="9"/>
      <c r="DB482" s="9"/>
      <c r="DC482" s="9"/>
      <c r="DD482" s="9"/>
      <c r="DE482" s="9"/>
      <c r="DF482" s="9"/>
      <c r="DG482" s="9"/>
      <c r="DH482" s="9"/>
      <c r="DI482" s="9"/>
      <c r="DJ482" s="9"/>
      <c r="DK482" s="9"/>
      <c r="DL482" s="9"/>
      <c r="DM482" s="9"/>
      <c r="DN482" s="9"/>
      <c r="DO482" s="9"/>
      <c r="DP482" s="9"/>
      <c r="DQ482" s="9"/>
      <c r="DR482" s="9"/>
      <c r="DS482" s="9"/>
      <c r="DT482" s="9"/>
      <c r="DU482" s="9"/>
      <c r="DV482" s="9"/>
      <c r="DW482" s="9"/>
      <c r="DX482" s="9"/>
      <c r="DY482" s="9"/>
      <c r="DZ482" s="9"/>
      <c r="EA482" s="9"/>
      <c r="EB482" s="9"/>
      <c r="EC482" s="9"/>
      <c r="ED482" s="9"/>
      <c r="EE482" s="9"/>
      <c r="EF482" s="9"/>
      <c r="EG482" s="9"/>
      <c r="EH482" s="9"/>
      <c r="EI482" s="9"/>
      <c r="EJ482" s="9"/>
      <c r="EK482" s="9"/>
      <c r="EL482" s="9"/>
    </row>
    <row r="483" spans="1:142" x14ac:dyDescent="0.35">
      <c r="A483" s="9">
        <v>900131287</v>
      </c>
      <c r="B483" s="19">
        <v>3</v>
      </c>
      <c r="C483" s="9" t="str">
        <f>VLOOKUP(A483,'[1]terceros cto'!A$1:B$65536,2,0)</f>
        <v>INSUMOS BIOLOGICOS DE COLOMBIA SAS</v>
      </c>
      <c r="D483" s="20" t="str">
        <f>VLOOKUP(C483,'[1]terceros cto'!B$1:F$65536,5,0)</f>
        <v>jsilva@ibicol.com.co</v>
      </c>
      <c r="E483" s="21" t="s">
        <v>2252</v>
      </c>
      <c r="F483" s="9" t="str">
        <f>VLOOKUP(C483,'[1]terceros cto'!B$1:D$65536,3,0)</f>
        <v>Paipa</v>
      </c>
      <c r="G483" s="21">
        <v>15516</v>
      </c>
      <c r="H483" s="9">
        <v>212</v>
      </c>
      <c r="I483" s="28">
        <v>100000</v>
      </c>
      <c r="J483" s="29">
        <v>0</v>
      </c>
      <c r="K483" s="22">
        <v>0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D483" s="9"/>
      <c r="CE483" s="9"/>
      <c r="CF483" s="9"/>
      <c r="CG483" s="9"/>
      <c r="CH483" s="9"/>
      <c r="CI483" s="9"/>
      <c r="CJ483" s="9"/>
      <c r="CK483" s="9"/>
      <c r="CL483" s="9"/>
      <c r="CM483" s="9"/>
      <c r="CN483" s="9"/>
      <c r="CO483" s="9"/>
      <c r="CP483" s="9"/>
      <c r="CQ483" s="9"/>
      <c r="CR483" s="9"/>
      <c r="CS483" s="9"/>
      <c r="CT483" s="9"/>
      <c r="CU483" s="9"/>
      <c r="CV483" s="9"/>
      <c r="CW483" s="9"/>
      <c r="CX483" s="9"/>
      <c r="CY483" s="9"/>
      <c r="CZ483" s="9"/>
      <c r="DA483" s="9"/>
      <c r="DB483" s="9"/>
      <c r="DC483" s="9"/>
      <c r="DD483" s="9"/>
      <c r="DE483" s="9"/>
      <c r="DF483" s="9"/>
      <c r="DG483" s="9"/>
      <c r="DH483" s="9"/>
      <c r="DI483" s="9"/>
      <c r="DJ483" s="9"/>
      <c r="DK483" s="9"/>
      <c r="DL483" s="9"/>
      <c r="DM483" s="9"/>
      <c r="DN483" s="9"/>
      <c r="DO483" s="9"/>
      <c r="DP483" s="9"/>
      <c r="DQ483" s="9"/>
      <c r="DR483" s="9"/>
      <c r="DS483" s="9"/>
      <c r="DT483" s="9"/>
      <c r="DU483" s="9"/>
      <c r="DV483" s="9"/>
      <c r="DW483" s="9"/>
      <c r="DX483" s="9"/>
      <c r="DY483" s="9"/>
      <c r="DZ483" s="9"/>
      <c r="EA483" s="9"/>
      <c r="EB483" s="9"/>
      <c r="EC483" s="9"/>
      <c r="ED483" s="9"/>
      <c r="EE483" s="9"/>
      <c r="EF483" s="9"/>
      <c r="EG483" s="9"/>
      <c r="EH483" s="9"/>
      <c r="EI483" s="9"/>
      <c r="EJ483" s="9"/>
      <c r="EK483" s="9"/>
      <c r="EL483" s="9"/>
    </row>
    <row r="484" spans="1:142" x14ac:dyDescent="0.35">
      <c r="A484" s="9">
        <v>900145002</v>
      </c>
      <c r="B484" s="19">
        <v>2</v>
      </c>
      <c r="C484" s="9" t="str">
        <f>VLOOKUP(A484,'[1]terceros cto'!A$1:B$65536,2,0)</f>
        <v>IGLESIA MINISTERIOS FAMILIARES LLUV</v>
      </c>
      <c r="D484" s="20" t="str">
        <f>VLOOKUP(C484,'[1]terceros cto'!B$1:F$65536,5,0)</f>
        <v>lluviasdebendicionduitama@hotmail.com</v>
      </c>
      <c r="E484" s="21" t="s">
        <v>2252</v>
      </c>
      <c r="F484" s="9" t="str">
        <f>VLOOKUP(C484,'[1]terceros cto'!B$1:D$65536,3,0)</f>
        <v>Paipa</v>
      </c>
      <c r="G484" s="21">
        <v>15516</v>
      </c>
      <c r="H484" s="9">
        <v>212</v>
      </c>
      <c r="I484" s="30">
        <v>106107</v>
      </c>
      <c r="J484" s="31">
        <v>0</v>
      </c>
      <c r="K484" s="22">
        <v>0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  <c r="CJ484" s="9"/>
      <c r="CK484" s="9"/>
      <c r="CL484" s="9"/>
      <c r="CM484" s="9"/>
      <c r="CN484" s="9"/>
      <c r="CO484" s="9"/>
      <c r="CP484" s="9"/>
      <c r="CQ484" s="9"/>
      <c r="CR484" s="9"/>
      <c r="CS484" s="9"/>
      <c r="CT484" s="9"/>
      <c r="CU484" s="9"/>
      <c r="CV484" s="9"/>
      <c r="CW484" s="9"/>
      <c r="CX484" s="9"/>
      <c r="CY484" s="9"/>
      <c r="CZ484" s="9"/>
      <c r="DA484" s="9"/>
      <c r="DB484" s="9"/>
      <c r="DC484" s="9"/>
      <c r="DD484" s="9"/>
      <c r="DE484" s="9"/>
      <c r="DF484" s="9"/>
      <c r="DG484" s="9"/>
      <c r="DH484" s="9"/>
      <c r="DI484" s="9"/>
      <c r="DJ484" s="9"/>
      <c r="DK484" s="9"/>
      <c r="DL484" s="9"/>
      <c r="DM484" s="9"/>
      <c r="DN484" s="9"/>
      <c r="DO484" s="9"/>
      <c r="DP484" s="9"/>
      <c r="DQ484" s="9"/>
      <c r="DR484" s="9"/>
      <c r="DS484" s="9"/>
      <c r="DT484" s="9"/>
      <c r="DU484" s="9"/>
      <c r="DV484" s="9"/>
      <c r="DW484" s="9"/>
      <c r="DX484" s="9"/>
      <c r="DY484" s="9"/>
      <c r="DZ484" s="9"/>
      <c r="EA484" s="9"/>
      <c r="EB484" s="9"/>
      <c r="EC484" s="9"/>
      <c r="ED484" s="9"/>
      <c r="EE484" s="9"/>
      <c r="EF484" s="9"/>
      <c r="EG484" s="9"/>
      <c r="EH484" s="9"/>
      <c r="EI484" s="9"/>
      <c r="EJ484" s="9"/>
      <c r="EK484" s="9"/>
      <c r="EL484" s="9"/>
    </row>
    <row r="485" spans="1:142" x14ac:dyDescent="0.35">
      <c r="A485" s="9">
        <v>900152304</v>
      </c>
      <c r="B485" s="19">
        <v>0</v>
      </c>
      <c r="C485" s="9" t="str">
        <f>VLOOKUP(A485,'[1]terceros cto'!A$1:B$65536,2,0)</f>
        <v>INGAUTIN DE COLOMBIA SAS</v>
      </c>
      <c r="D485" s="20" t="str">
        <f>VLOOKUP(C485,'[1]terceros cto'!B$1:F$65536,5,0)</f>
        <v>contabilidad@ingautin.com.co</v>
      </c>
      <c r="E485" s="21" t="s">
        <v>2252</v>
      </c>
      <c r="F485" s="9" t="str">
        <f>VLOOKUP(C485,'[1]terceros cto'!B$1:D$65536,3,0)</f>
        <v>Paipa</v>
      </c>
      <c r="G485" s="21">
        <v>15516</v>
      </c>
      <c r="H485" s="9">
        <v>212</v>
      </c>
      <c r="I485" s="28">
        <v>100000</v>
      </c>
      <c r="J485" s="29">
        <v>0</v>
      </c>
      <c r="K485" s="22">
        <v>0</v>
      </c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  <c r="CD485" s="9"/>
      <c r="CE485" s="9"/>
      <c r="CF485" s="9"/>
      <c r="CG485" s="9"/>
      <c r="CH485" s="9"/>
      <c r="CI485" s="9"/>
      <c r="CJ485" s="9"/>
      <c r="CK485" s="9"/>
      <c r="CL485" s="9"/>
      <c r="CM485" s="9"/>
      <c r="CN485" s="9"/>
      <c r="CO485" s="9"/>
      <c r="CP485" s="9"/>
      <c r="CQ485" s="9"/>
      <c r="CR485" s="9"/>
      <c r="CS485" s="9"/>
      <c r="CT485" s="9"/>
      <c r="CU485" s="9"/>
      <c r="CV485" s="9"/>
      <c r="CW485" s="9"/>
      <c r="CX485" s="9"/>
      <c r="CY485" s="9"/>
      <c r="CZ485" s="9"/>
      <c r="DA485" s="9"/>
      <c r="DB485" s="9"/>
      <c r="DC485" s="9"/>
      <c r="DD485" s="9"/>
      <c r="DE485" s="9"/>
      <c r="DF485" s="9"/>
      <c r="DG485" s="9"/>
      <c r="DH485" s="9"/>
      <c r="DI485" s="9"/>
      <c r="DJ485" s="9"/>
      <c r="DK485" s="9"/>
      <c r="DL485" s="9"/>
      <c r="DM485" s="9"/>
      <c r="DN485" s="9"/>
      <c r="DO485" s="9"/>
      <c r="DP485" s="9"/>
      <c r="DQ485" s="9"/>
      <c r="DR485" s="9"/>
      <c r="DS485" s="9"/>
      <c r="DT485" s="9"/>
      <c r="DU485" s="9"/>
      <c r="DV485" s="9"/>
      <c r="DW485" s="9"/>
      <c r="DX485" s="9"/>
      <c r="DY485" s="9"/>
      <c r="DZ485" s="9"/>
      <c r="EA485" s="9"/>
      <c r="EB485" s="9"/>
      <c r="EC485" s="9"/>
      <c r="ED485" s="9"/>
      <c r="EE485" s="9"/>
      <c r="EF485" s="9"/>
      <c r="EG485" s="9"/>
      <c r="EH485" s="9"/>
      <c r="EI485" s="9"/>
      <c r="EJ485" s="9"/>
      <c r="EK485" s="9"/>
      <c r="EL485" s="9"/>
    </row>
    <row r="486" spans="1:142" x14ac:dyDescent="0.35">
      <c r="A486" s="9">
        <v>900184768</v>
      </c>
      <c r="B486" s="19">
        <v>1</v>
      </c>
      <c r="C486" s="9" t="str">
        <f>VLOOKUP(A486,'[1]terceros cto'!A$1:B$65536,2,0)</f>
        <v>CGB INGENIERÍA Y CONSULTORÍA LTDA</v>
      </c>
      <c r="D486" s="20" t="str">
        <f>VLOOKUP(C486,'[1]terceros cto'!B$1:F$65536,5,0)</f>
        <v>ingenieria@cgbingenieria.com</v>
      </c>
      <c r="E486" s="21" t="s">
        <v>2252</v>
      </c>
      <c r="F486" s="9" t="str">
        <f>VLOOKUP(C486,'[1]terceros cto'!B$1:D$65536,3,0)</f>
        <v>Paipa</v>
      </c>
      <c r="G486" s="21">
        <v>15516</v>
      </c>
      <c r="H486" s="9">
        <v>212</v>
      </c>
      <c r="I486" s="30">
        <v>100000</v>
      </c>
      <c r="J486" s="31">
        <v>0</v>
      </c>
      <c r="K486" s="22">
        <v>0</v>
      </c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  <c r="CJ486" s="9"/>
      <c r="CK486" s="9"/>
      <c r="CL486" s="9"/>
      <c r="CM486" s="9"/>
      <c r="CN486" s="9"/>
      <c r="CO486" s="9"/>
      <c r="CP486" s="9"/>
      <c r="CQ486" s="9"/>
      <c r="CR486" s="9"/>
      <c r="CS486" s="9"/>
      <c r="CT486" s="9"/>
      <c r="CU486" s="9"/>
      <c r="CV486" s="9"/>
      <c r="CW486" s="9"/>
      <c r="CX486" s="9"/>
      <c r="CY486" s="9"/>
      <c r="CZ486" s="9"/>
      <c r="DA486" s="9"/>
      <c r="DB486" s="9"/>
      <c r="DC486" s="9"/>
      <c r="DD486" s="9"/>
      <c r="DE486" s="9"/>
      <c r="DF486" s="9"/>
      <c r="DG486" s="9"/>
      <c r="DH486" s="9"/>
      <c r="DI486" s="9"/>
      <c r="DJ486" s="9"/>
      <c r="DK486" s="9"/>
      <c r="DL486" s="9"/>
      <c r="DM486" s="9"/>
      <c r="DN486" s="9"/>
      <c r="DO486" s="9"/>
      <c r="DP486" s="9"/>
      <c r="DQ486" s="9"/>
      <c r="DR486" s="9"/>
      <c r="DS486" s="9"/>
      <c r="DT486" s="9"/>
      <c r="DU486" s="9"/>
      <c r="DV486" s="9"/>
      <c r="DW486" s="9"/>
      <c r="DX486" s="9"/>
      <c r="DY486" s="9"/>
      <c r="DZ486" s="9"/>
      <c r="EA486" s="9"/>
      <c r="EB486" s="9"/>
      <c r="EC486" s="9"/>
      <c r="ED486" s="9"/>
      <c r="EE486" s="9"/>
      <c r="EF486" s="9"/>
      <c r="EG486" s="9"/>
      <c r="EH486" s="9"/>
      <c r="EI486" s="9"/>
      <c r="EJ486" s="9"/>
      <c r="EK486" s="9"/>
      <c r="EL486" s="9"/>
    </row>
    <row r="487" spans="1:142" x14ac:dyDescent="0.35">
      <c r="A487" s="9">
        <v>900199968</v>
      </c>
      <c r="B487" s="19">
        <v>3</v>
      </c>
      <c r="C487" s="9" t="str">
        <f>VLOOKUP(A487,'[1]terceros cto'!A$1:B$65536,2,0)</f>
        <v>GARES Y CIA LTDA</v>
      </c>
      <c r="D487" s="20" t="str">
        <f>VLOOKUP(C487,'[1]terceros cto'!B$1:F$65536,5,0)</f>
        <v>garescialtda@yahoo.com</v>
      </c>
      <c r="E487" s="21" t="s">
        <v>2252</v>
      </c>
      <c r="F487" s="9" t="str">
        <f>VLOOKUP(C487,'[1]terceros cto'!B$1:D$65536,3,0)</f>
        <v>CR 5 37 12</v>
      </c>
      <c r="G487" s="21">
        <v>15516</v>
      </c>
      <c r="H487" s="9">
        <v>212</v>
      </c>
      <c r="I487" s="28">
        <v>107066</v>
      </c>
      <c r="J487" s="29">
        <v>0</v>
      </c>
      <c r="K487" s="22">
        <v>0</v>
      </c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  <c r="CJ487" s="9"/>
      <c r="CK487" s="9"/>
      <c r="CL487" s="9"/>
      <c r="CM487" s="9"/>
      <c r="CN487" s="9"/>
      <c r="CO487" s="9"/>
      <c r="CP487" s="9"/>
      <c r="CQ487" s="9"/>
      <c r="CR487" s="9"/>
      <c r="CS487" s="9"/>
      <c r="CT487" s="9"/>
      <c r="CU487" s="9"/>
      <c r="CV487" s="9"/>
      <c r="CW487" s="9"/>
      <c r="CX487" s="9"/>
      <c r="CY487" s="9"/>
      <c r="CZ487" s="9"/>
      <c r="DA487" s="9"/>
      <c r="DB487" s="9"/>
      <c r="DC487" s="9"/>
      <c r="DD487" s="9"/>
      <c r="DE487" s="9"/>
      <c r="DF487" s="9"/>
      <c r="DG487" s="9"/>
      <c r="DH487" s="9"/>
      <c r="DI487" s="9"/>
      <c r="DJ487" s="9"/>
      <c r="DK487" s="9"/>
      <c r="DL487" s="9"/>
      <c r="DM487" s="9"/>
      <c r="DN487" s="9"/>
      <c r="DO487" s="9"/>
      <c r="DP487" s="9"/>
      <c r="DQ487" s="9"/>
      <c r="DR487" s="9"/>
      <c r="DS487" s="9"/>
      <c r="DT487" s="9"/>
      <c r="DU487" s="9"/>
      <c r="DV487" s="9"/>
      <c r="DW487" s="9"/>
      <c r="DX487" s="9"/>
      <c r="DY487" s="9"/>
      <c r="DZ487" s="9"/>
      <c r="EA487" s="9"/>
      <c r="EB487" s="9"/>
      <c r="EC487" s="9"/>
      <c r="ED487" s="9"/>
      <c r="EE487" s="9"/>
      <c r="EF487" s="9"/>
      <c r="EG487" s="9"/>
      <c r="EH487" s="9"/>
      <c r="EI487" s="9"/>
      <c r="EJ487" s="9"/>
      <c r="EK487" s="9"/>
      <c r="EL487" s="9"/>
    </row>
    <row r="488" spans="1:142" x14ac:dyDescent="0.35">
      <c r="A488" s="9">
        <v>900231067</v>
      </c>
      <c r="B488" s="19">
        <v>9</v>
      </c>
      <c r="C488" s="9" t="str">
        <f>VLOOKUP(A488,'[1]terceros cto'!A$1:B$65536,2,0)</f>
        <v>PRODUCTORA DE CABOS DE COLOMBIA SAS</v>
      </c>
      <c r="D488" s="20" t="str">
        <f>VLOOKUP(C488,'[1]terceros cto'!B$1:F$65536,5,0)</f>
        <v>facturacion.producabos@producabos.com</v>
      </c>
      <c r="E488" s="21" t="s">
        <v>2252</v>
      </c>
      <c r="F488" s="9" t="str">
        <f>VLOOKUP(C488,'[1]terceros cto'!B$1:D$65536,3,0)</f>
        <v>paipa</v>
      </c>
      <c r="G488" s="21">
        <v>15516</v>
      </c>
      <c r="H488" s="9">
        <v>212</v>
      </c>
      <c r="I488" s="30">
        <v>125118</v>
      </c>
      <c r="J488" s="31">
        <v>0</v>
      </c>
      <c r="K488" s="22">
        <v>0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  <c r="CJ488" s="9"/>
      <c r="CK488" s="9"/>
      <c r="CL488" s="9"/>
      <c r="CM488" s="9"/>
      <c r="CN488" s="9"/>
      <c r="CO488" s="9"/>
      <c r="CP488" s="9"/>
      <c r="CQ488" s="9"/>
      <c r="CR488" s="9"/>
      <c r="CS488" s="9"/>
      <c r="CT488" s="9"/>
      <c r="CU488" s="9"/>
      <c r="CV488" s="9"/>
      <c r="CW488" s="9"/>
      <c r="CX488" s="9"/>
      <c r="CY488" s="9"/>
      <c r="CZ488" s="9"/>
      <c r="DA488" s="9"/>
      <c r="DB488" s="9"/>
      <c r="DC488" s="9"/>
      <c r="DD488" s="9"/>
      <c r="DE488" s="9"/>
      <c r="DF488" s="9"/>
      <c r="DG488" s="9"/>
      <c r="DH488" s="9"/>
      <c r="DI488" s="9"/>
      <c r="DJ488" s="9"/>
      <c r="DK488" s="9"/>
      <c r="DL488" s="9"/>
      <c r="DM488" s="9"/>
      <c r="DN488" s="9"/>
      <c r="DO488" s="9"/>
      <c r="DP488" s="9"/>
      <c r="DQ488" s="9"/>
      <c r="DR488" s="9"/>
      <c r="DS488" s="9"/>
      <c r="DT488" s="9"/>
      <c r="DU488" s="9"/>
      <c r="DV488" s="9"/>
      <c r="DW488" s="9"/>
      <c r="DX488" s="9"/>
      <c r="DY488" s="9"/>
      <c r="DZ488" s="9"/>
      <c r="EA488" s="9"/>
      <c r="EB488" s="9"/>
      <c r="EC488" s="9"/>
      <c r="ED488" s="9"/>
      <c r="EE488" s="9"/>
      <c r="EF488" s="9"/>
      <c r="EG488" s="9"/>
      <c r="EH488" s="9"/>
      <c r="EI488" s="9"/>
      <c r="EJ488" s="9"/>
      <c r="EK488" s="9"/>
      <c r="EL488" s="9"/>
    </row>
    <row r="489" spans="1:142" x14ac:dyDescent="0.35">
      <c r="A489" s="9">
        <v>900236200</v>
      </c>
      <c r="B489" s="19">
        <v>5</v>
      </c>
      <c r="C489" s="9" t="str">
        <f>VLOOKUP(A489,'[1]terceros cto'!A$1:B$65536,2,0)</f>
        <v>ABSOLUTE ENGINEERING COLOMBIA LTDA</v>
      </c>
      <c r="D489" s="20" t="str">
        <f>VLOOKUP(C489,'[1]terceros cto'!B$1:F$65536,5,0)</f>
        <v>contacto@absencol.com</v>
      </c>
      <c r="E489" s="21">
        <f>VLOOKUP(C489,'[1]terceros cto'!B$1:E$65536,4,0)</f>
        <v>3166206107</v>
      </c>
      <c r="F489" s="9" t="str">
        <f>VLOOKUP(C489,'[1]terceros cto'!B$1:D$65536,3,0)</f>
        <v>CLLE 26 N 19-21</v>
      </c>
      <c r="G489" s="21">
        <v>15516</v>
      </c>
      <c r="H489" s="9">
        <v>212</v>
      </c>
      <c r="I489" s="28">
        <v>395029</v>
      </c>
      <c r="J489" s="29">
        <v>0</v>
      </c>
      <c r="K489" s="22">
        <v>0</v>
      </c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  <c r="CJ489" s="9"/>
      <c r="CK489" s="9"/>
      <c r="CL489" s="9"/>
      <c r="CM489" s="9"/>
      <c r="CN489" s="9"/>
      <c r="CO489" s="9"/>
      <c r="CP489" s="9"/>
      <c r="CQ489" s="9"/>
      <c r="CR489" s="9"/>
      <c r="CS489" s="9"/>
      <c r="CT489" s="9"/>
      <c r="CU489" s="9"/>
      <c r="CV489" s="9"/>
      <c r="CW489" s="9"/>
      <c r="CX489" s="9"/>
      <c r="CY489" s="9"/>
      <c r="CZ489" s="9"/>
      <c r="DA489" s="9"/>
      <c r="DB489" s="9"/>
      <c r="DC489" s="9"/>
      <c r="DD489" s="9"/>
      <c r="DE489" s="9"/>
      <c r="DF489" s="9"/>
      <c r="DG489" s="9"/>
      <c r="DH489" s="9"/>
      <c r="DI489" s="9"/>
      <c r="DJ489" s="9"/>
      <c r="DK489" s="9"/>
      <c r="DL489" s="9"/>
      <c r="DM489" s="9"/>
      <c r="DN489" s="9"/>
      <c r="DO489" s="9"/>
      <c r="DP489" s="9"/>
      <c r="DQ489" s="9"/>
      <c r="DR489" s="9"/>
      <c r="DS489" s="9"/>
      <c r="DT489" s="9"/>
      <c r="DU489" s="9"/>
      <c r="DV489" s="9"/>
      <c r="DW489" s="9"/>
      <c r="DX489" s="9"/>
      <c r="DY489" s="9"/>
      <c r="DZ489" s="9"/>
      <c r="EA489" s="9"/>
      <c r="EB489" s="9"/>
      <c r="EC489" s="9"/>
      <c r="ED489" s="9"/>
      <c r="EE489" s="9"/>
      <c r="EF489" s="9"/>
      <c r="EG489" s="9"/>
      <c r="EH489" s="9"/>
      <c r="EI489" s="9"/>
      <c r="EJ489" s="9"/>
      <c r="EK489" s="9"/>
      <c r="EL489" s="9"/>
    </row>
    <row r="490" spans="1:142" x14ac:dyDescent="0.35">
      <c r="A490" s="9">
        <v>900236840</v>
      </c>
      <c r="B490" s="19">
        <v>9</v>
      </c>
      <c r="C490" s="9" t="str">
        <f>VLOOKUP(A490,'[1]terceros cto'!A$1:B$65536,2,0)</f>
        <v>CONSTRUCTORA AMAVIA</v>
      </c>
      <c r="D490" s="20" t="str">
        <f>VLOOKUP(C490,'[1]terceros cto'!B$1:F$65536,5,0)</f>
        <v>contabilidad@amavia.com.co</v>
      </c>
      <c r="E490" s="21" t="s">
        <v>2252</v>
      </c>
      <c r="F490" s="9" t="str">
        <f>VLOOKUP(C490,'[1]terceros cto'!B$1:D$65536,3,0)</f>
        <v>Paipa</v>
      </c>
      <c r="G490" s="21">
        <v>15516</v>
      </c>
      <c r="H490" s="9">
        <v>212</v>
      </c>
      <c r="I490" s="30">
        <v>1794771</v>
      </c>
      <c r="J490" s="31">
        <v>0</v>
      </c>
      <c r="K490" s="22">
        <v>0</v>
      </c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D490" s="9"/>
      <c r="CE490" s="9"/>
      <c r="CF490" s="9"/>
      <c r="CG490" s="9"/>
      <c r="CH490" s="9"/>
      <c r="CI490" s="9"/>
      <c r="CJ490" s="9"/>
      <c r="CK490" s="9"/>
      <c r="CL490" s="9"/>
      <c r="CM490" s="9"/>
      <c r="CN490" s="9"/>
      <c r="CO490" s="9"/>
      <c r="CP490" s="9"/>
      <c r="CQ490" s="9"/>
      <c r="CR490" s="9"/>
      <c r="CS490" s="9"/>
      <c r="CT490" s="9"/>
      <c r="CU490" s="9"/>
      <c r="CV490" s="9"/>
      <c r="CW490" s="9"/>
      <c r="CX490" s="9"/>
      <c r="CY490" s="9"/>
      <c r="CZ490" s="9"/>
      <c r="DA490" s="9"/>
      <c r="DB490" s="9"/>
      <c r="DC490" s="9"/>
      <c r="DD490" s="9"/>
      <c r="DE490" s="9"/>
      <c r="DF490" s="9"/>
      <c r="DG490" s="9"/>
      <c r="DH490" s="9"/>
      <c r="DI490" s="9"/>
      <c r="DJ490" s="9"/>
      <c r="DK490" s="9"/>
      <c r="DL490" s="9"/>
      <c r="DM490" s="9"/>
      <c r="DN490" s="9"/>
      <c r="DO490" s="9"/>
      <c r="DP490" s="9"/>
      <c r="DQ490" s="9"/>
      <c r="DR490" s="9"/>
      <c r="DS490" s="9"/>
      <c r="DT490" s="9"/>
      <c r="DU490" s="9"/>
      <c r="DV490" s="9"/>
      <c r="DW490" s="9"/>
      <c r="DX490" s="9"/>
      <c r="DY490" s="9"/>
      <c r="DZ490" s="9"/>
      <c r="EA490" s="9"/>
      <c r="EB490" s="9"/>
      <c r="EC490" s="9"/>
      <c r="ED490" s="9"/>
      <c r="EE490" s="9"/>
      <c r="EF490" s="9"/>
      <c r="EG490" s="9"/>
      <c r="EH490" s="9"/>
      <c r="EI490" s="9"/>
      <c r="EJ490" s="9"/>
      <c r="EK490" s="9"/>
      <c r="EL490" s="9"/>
    </row>
    <row r="491" spans="1:142" x14ac:dyDescent="0.35">
      <c r="A491" s="9">
        <v>900256203</v>
      </c>
      <c r="B491" s="19">
        <v>2</v>
      </c>
      <c r="C491" s="9" t="str">
        <f>VLOOKUP(A491,'[1]terceros cto'!A$1:B$65536,2,0)</f>
        <v>BENEFICIAR TECNICA LTDA</v>
      </c>
      <c r="D491" s="20" t="str">
        <f>VLOOKUP(C491,'[1]terceros cto'!B$1:F$65536,5,0)</f>
        <v>betecltda@yahoo.es</v>
      </c>
      <c r="E491" s="21" t="s">
        <v>2252</v>
      </c>
      <c r="F491" s="9" t="str">
        <f>VLOOKUP(C491,'[1]terceros cto'!B$1:D$65536,3,0)</f>
        <v>CARRERA 19 19 07</v>
      </c>
      <c r="G491" s="21">
        <v>15516</v>
      </c>
      <c r="H491" s="9">
        <v>212</v>
      </c>
      <c r="I491" s="28">
        <v>7468351</v>
      </c>
      <c r="J491" s="29">
        <v>0</v>
      </c>
      <c r="K491" s="22">
        <v>0</v>
      </c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D491" s="9"/>
      <c r="CE491" s="9"/>
      <c r="CF491" s="9"/>
      <c r="CG491" s="9"/>
      <c r="CH491" s="9"/>
      <c r="CI491" s="9"/>
      <c r="CJ491" s="9"/>
      <c r="CK491" s="9"/>
      <c r="CL491" s="9"/>
      <c r="CM491" s="9"/>
      <c r="CN491" s="9"/>
      <c r="CO491" s="9"/>
      <c r="CP491" s="9"/>
      <c r="CQ491" s="9"/>
      <c r="CR491" s="9"/>
      <c r="CS491" s="9"/>
      <c r="CT491" s="9"/>
      <c r="CU491" s="9"/>
      <c r="CV491" s="9"/>
      <c r="CW491" s="9"/>
      <c r="CX491" s="9"/>
      <c r="CY491" s="9"/>
      <c r="CZ491" s="9"/>
      <c r="DA491" s="9"/>
      <c r="DB491" s="9"/>
      <c r="DC491" s="9"/>
      <c r="DD491" s="9"/>
      <c r="DE491" s="9"/>
      <c r="DF491" s="9"/>
      <c r="DG491" s="9"/>
      <c r="DH491" s="9"/>
      <c r="DI491" s="9"/>
      <c r="DJ491" s="9"/>
      <c r="DK491" s="9"/>
      <c r="DL491" s="9"/>
      <c r="DM491" s="9"/>
      <c r="DN491" s="9"/>
      <c r="DO491" s="9"/>
      <c r="DP491" s="9"/>
      <c r="DQ491" s="9"/>
      <c r="DR491" s="9"/>
      <c r="DS491" s="9"/>
      <c r="DT491" s="9"/>
      <c r="DU491" s="9"/>
      <c r="DV491" s="9"/>
      <c r="DW491" s="9"/>
      <c r="DX491" s="9"/>
      <c r="DY491" s="9"/>
      <c r="DZ491" s="9"/>
      <c r="EA491" s="9"/>
      <c r="EB491" s="9"/>
      <c r="EC491" s="9"/>
      <c r="ED491" s="9"/>
      <c r="EE491" s="9"/>
      <c r="EF491" s="9"/>
      <c r="EG491" s="9"/>
      <c r="EH491" s="9"/>
      <c r="EI491" s="9"/>
      <c r="EJ491" s="9"/>
      <c r="EK491" s="9"/>
      <c r="EL491" s="9"/>
    </row>
    <row r="492" spans="1:142" x14ac:dyDescent="0.35">
      <c r="A492" s="9">
        <v>900256838</v>
      </c>
      <c r="B492" s="19">
        <v>9</v>
      </c>
      <c r="C492" s="9" t="str">
        <f>VLOOKUP(A492,'[1]terceros cto'!A$1:B$65536,2,0)</f>
        <v>CEDRO SAS</v>
      </c>
      <c r="D492" s="20" t="str">
        <f>VLOOKUP(C492,'[1]terceros cto'!B$1:F$65536,5,0)</f>
        <v>dianaccedro@gmail.com</v>
      </c>
      <c r="E492" s="21" t="s">
        <v>2252</v>
      </c>
      <c r="F492" s="9" t="str">
        <f>VLOOKUP(C492,'[1]terceros cto'!B$1:D$65536,3,0)</f>
        <v>PAIPA</v>
      </c>
      <c r="G492" s="21">
        <v>15516</v>
      </c>
      <c r="H492" s="9">
        <v>212</v>
      </c>
      <c r="I492" s="30">
        <v>357014</v>
      </c>
      <c r="J492" s="31">
        <v>0</v>
      </c>
      <c r="K492" s="22">
        <v>0</v>
      </c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D492" s="9"/>
      <c r="CE492" s="9"/>
      <c r="CF492" s="9"/>
      <c r="CG492" s="9"/>
      <c r="CH492" s="9"/>
      <c r="CI492" s="9"/>
      <c r="CJ492" s="9"/>
      <c r="CK492" s="9"/>
      <c r="CL492" s="9"/>
      <c r="CM492" s="9"/>
      <c r="CN492" s="9"/>
      <c r="CO492" s="9"/>
      <c r="CP492" s="9"/>
      <c r="CQ492" s="9"/>
      <c r="CR492" s="9"/>
      <c r="CS492" s="9"/>
      <c r="CT492" s="9"/>
      <c r="CU492" s="9"/>
      <c r="CV492" s="9"/>
      <c r="CW492" s="9"/>
      <c r="CX492" s="9"/>
      <c r="CY492" s="9"/>
      <c r="CZ492" s="9"/>
      <c r="DA492" s="9"/>
      <c r="DB492" s="9"/>
      <c r="DC492" s="9"/>
      <c r="DD492" s="9"/>
      <c r="DE492" s="9"/>
      <c r="DF492" s="9"/>
      <c r="DG492" s="9"/>
      <c r="DH492" s="9"/>
      <c r="DI492" s="9"/>
      <c r="DJ492" s="9"/>
      <c r="DK492" s="9"/>
      <c r="DL492" s="9"/>
      <c r="DM492" s="9"/>
      <c r="DN492" s="9"/>
      <c r="DO492" s="9"/>
      <c r="DP492" s="9"/>
      <c r="DQ492" s="9"/>
      <c r="DR492" s="9"/>
      <c r="DS492" s="9"/>
      <c r="DT492" s="9"/>
      <c r="DU492" s="9"/>
      <c r="DV492" s="9"/>
      <c r="DW492" s="9"/>
      <c r="DX492" s="9"/>
      <c r="DY492" s="9"/>
      <c r="DZ492" s="9"/>
      <c r="EA492" s="9"/>
      <c r="EB492" s="9"/>
      <c r="EC492" s="9"/>
      <c r="ED492" s="9"/>
      <c r="EE492" s="9"/>
      <c r="EF492" s="9"/>
      <c r="EG492" s="9"/>
      <c r="EH492" s="9"/>
      <c r="EI492" s="9"/>
      <c r="EJ492" s="9"/>
      <c r="EK492" s="9"/>
      <c r="EL492" s="9"/>
    </row>
    <row r="493" spans="1:142" x14ac:dyDescent="0.35">
      <c r="A493" s="9">
        <v>900259348</v>
      </c>
      <c r="B493" s="19">
        <v>5</v>
      </c>
      <c r="C493" s="9" t="str">
        <f>VLOOKUP(A493,'[1]terceros cto'!A$1:B$65536,2,0)</f>
        <v>RED VITAL PAIPA S.A. ESP</v>
      </c>
      <c r="D493" s="20" t="str">
        <f>VLOOKUP(C493,'[1]terceros cto'!B$1:F$65536,5,0)</f>
        <v>redvitalpaipa@gmail.com</v>
      </c>
      <c r="E493" s="21">
        <f>VLOOKUP(C493,'[1]terceros cto'!B$1:E$65536,4,0)</f>
        <v>3208587785</v>
      </c>
      <c r="F493" s="9" t="str">
        <f>VLOOKUP(C493,'[1]terceros cto'!B$1:D$65536,3,0)</f>
        <v>KM 1 VIA FRANCISCO MONTAÑA</v>
      </c>
      <c r="G493" s="21">
        <v>15516</v>
      </c>
      <c r="H493" s="9">
        <v>212</v>
      </c>
      <c r="I493" s="28">
        <v>243800000</v>
      </c>
      <c r="J493" s="29">
        <v>0</v>
      </c>
      <c r="K493" s="22">
        <v>0</v>
      </c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D493" s="9"/>
      <c r="CE493" s="9"/>
      <c r="CF493" s="9"/>
      <c r="CG493" s="9"/>
      <c r="CH493" s="9"/>
      <c r="CI493" s="9"/>
      <c r="CJ493" s="9"/>
      <c r="CK493" s="9"/>
      <c r="CL493" s="9"/>
      <c r="CM493" s="9"/>
      <c r="CN493" s="9"/>
      <c r="CO493" s="9"/>
      <c r="CP493" s="9"/>
      <c r="CQ493" s="9"/>
      <c r="CR493" s="9"/>
      <c r="CS493" s="9"/>
      <c r="CT493" s="9"/>
      <c r="CU493" s="9"/>
      <c r="CV493" s="9"/>
      <c r="CW493" s="9"/>
      <c r="CX493" s="9"/>
      <c r="CY493" s="9"/>
      <c r="CZ493" s="9"/>
      <c r="DA493" s="9"/>
      <c r="DB493" s="9"/>
      <c r="DC493" s="9"/>
      <c r="DD493" s="9"/>
      <c r="DE493" s="9"/>
      <c r="DF493" s="9"/>
      <c r="DG493" s="9"/>
      <c r="DH493" s="9"/>
      <c r="DI493" s="9"/>
      <c r="DJ493" s="9"/>
      <c r="DK493" s="9"/>
      <c r="DL493" s="9"/>
      <c r="DM493" s="9"/>
      <c r="DN493" s="9"/>
      <c r="DO493" s="9"/>
      <c r="DP493" s="9"/>
      <c r="DQ493" s="9"/>
      <c r="DR493" s="9"/>
      <c r="DS493" s="9"/>
      <c r="DT493" s="9"/>
      <c r="DU493" s="9"/>
      <c r="DV493" s="9"/>
      <c r="DW493" s="9"/>
      <c r="DX493" s="9"/>
      <c r="DY493" s="9"/>
      <c r="DZ493" s="9"/>
      <c r="EA493" s="9"/>
      <c r="EB493" s="9"/>
      <c r="EC493" s="9"/>
      <c r="ED493" s="9"/>
      <c r="EE493" s="9"/>
      <c r="EF493" s="9"/>
      <c r="EG493" s="9"/>
      <c r="EH493" s="9"/>
      <c r="EI493" s="9"/>
      <c r="EJ493" s="9"/>
      <c r="EK493" s="9"/>
      <c r="EL493" s="9"/>
    </row>
    <row r="494" spans="1:142" x14ac:dyDescent="0.35">
      <c r="A494" s="9">
        <v>900297127</v>
      </c>
      <c r="B494" s="19">
        <v>6</v>
      </c>
      <c r="C494" s="9" t="str">
        <f>VLOOKUP(A494,'[1]terceros cto'!A$1:B$65536,2,0)</f>
        <v>COMERCIALIZADORA BOYACENSE VERDE S.A.S</v>
      </c>
      <c r="D494" s="20" t="str">
        <f>VLOOKUP(C494,'[1]terceros cto'!B$1:F$65536,5,0)</f>
        <v>comercializadoraboyacense@gmail.com</v>
      </c>
      <c r="E494" s="21">
        <f>VLOOKUP(C494,'[1]terceros cto'!B$1:E$65536,4,0)</f>
        <v>3132833202</v>
      </c>
      <c r="F494" s="9" t="str">
        <f>VLOOKUP(C494,'[1]terceros cto'!B$1:D$65536,3,0)</f>
        <v>TV 24 27A 31</v>
      </c>
      <c r="G494" s="21">
        <v>15516</v>
      </c>
      <c r="H494" s="9">
        <v>212</v>
      </c>
      <c r="I494" s="30">
        <v>1315622</v>
      </c>
      <c r="J494" s="31">
        <v>0</v>
      </c>
      <c r="K494" s="22">
        <v>0</v>
      </c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  <c r="CJ494" s="9"/>
      <c r="CK494" s="9"/>
      <c r="CL494" s="9"/>
      <c r="CM494" s="9"/>
      <c r="CN494" s="9"/>
      <c r="CO494" s="9"/>
      <c r="CP494" s="9"/>
      <c r="CQ494" s="9"/>
      <c r="CR494" s="9"/>
      <c r="CS494" s="9"/>
      <c r="CT494" s="9"/>
      <c r="CU494" s="9"/>
      <c r="CV494" s="9"/>
      <c r="CW494" s="9"/>
      <c r="CX494" s="9"/>
      <c r="CY494" s="9"/>
      <c r="CZ494" s="9"/>
      <c r="DA494" s="9"/>
      <c r="DB494" s="9"/>
      <c r="DC494" s="9"/>
      <c r="DD494" s="9"/>
      <c r="DE494" s="9"/>
      <c r="DF494" s="9"/>
      <c r="DG494" s="9"/>
      <c r="DH494" s="9"/>
      <c r="DI494" s="9"/>
      <c r="DJ494" s="9"/>
      <c r="DK494" s="9"/>
      <c r="DL494" s="9"/>
      <c r="DM494" s="9"/>
      <c r="DN494" s="9"/>
      <c r="DO494" s="9"/>
      <c r="DP494" s="9"/>
      <c r="DQ494" s="9"/>
      <c r="DR494" s="9"/>
      <c r="DS494" s="9"/>
      <c r="DT494" s="9"/>
      <c r="DU494" s="9"/>
      <c r="DV494" s="9"/>
      <c r="DW494" s="9"/>
      <c r="DX494" s="9"/>
      <c r="DY494" s="9"/>
      <c r="DZ494" s="9"/>
      <c r="EA494" s="9"/>
      <c r="EB494" s="9"/>
      <c r="EC494" s="9"/>
      <c r="ED494" s="9"/>
      <c r="EE494" s="9"/>
      <c r="EF494" s="9"/>
      <c r="EG494" s="9"/>
      <c r="EH494" s="9"/>
      <c r="EI494" s="9"/>
      <c r="EJ494" s="9"/>
      <c r="EK494" s="9"/>
      <c r="EL494" s="9"/>
    </row>
    <row r="495" spans="1:142" x14ac:dyDescent="0.35">
      <c r="A495" s="9">
        <v>900307417</v>
      </c>
      <c r="B495" s="19">
        <v>1</v>
      </c>
      <c r="C495" s="9" t="str">
        <f>VLOOKUP(A495,'[1]terceros cto'!A$1:B$65536,2,0)</f>
        <v>SA</v>
      </c>
      <c r="D495" s="20" t="str">
        <f>VLOOKUP(C495,'[1]terceros cto'!B$1:F$65536,5,0)</f>
        <v>ortoimagen@hotmail.com</v>
      </c>
      <c r="E495" s="21" t="s">
        <v>2252</v>
      </c>
      <c r="F495" s="9" t="str">
        <f>VLOOKUP(C495,'[1]terceros cto'!B$1:D$65536,3,0)</f>
        <v>Paipa</v>
      </c>
      <c r="G495" s="21">
        <v>15516</v>
      </c>
      <c r="H495" s="9">
        <v>212</v>
      </c>
      <c r="I495" s="28">
        <v>50000</v>
      </c>
      <c r="J495" s="29">
        <v>0</v>
      </c>
      <c r="K495" s="22">
        <v>0</v>
      </c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  <c r="CJ495" s="9"/>
      <c r="CK495" s="9"/>
      <c r="CL495" s="9"/>
      <c r="CM495" s="9"/>
      <c r="CN495" s="9"/>
      <c r="CO495" s="9"/>
      <c r="CP495" s="9"/>
      <c r="CQ495" s="9"/>
      <c r="CR495" s="9"/>
      <c r="CS495" s="9"/>
      <c r="CT495" s="9"/>
      <c r="CU495" s="9"/>
      <c r="CV495" s="9"/>
      <c r="CW495" s="9"/>
      <c r="CX495" s="9"/>
      <c r="CY495" s="9"/>
      <c r="CZ495" s="9"/>
      <c r="DA495" s="9"/>
      <c r="DB495" s="9"/>
      <c r="DC495" s="9"/>
      <c r="DD495" s="9"/>
      <c r="DE495" s="9"/>
      <c r="DF495" s="9"/>
      <c r="DG495" s="9"/>
      <c r="DH495" s="9"/>
      <c r="DI495" s="9"/>
      <c r="DJ495" s="9"/>
      <c r="DK495" s="9"/>
      <c r="DL495" s="9"/>
      <c r="DM495" s="9"/>
      <c r="DN495" s="9"/>
      <c r="DO495" s="9"/>
      <c r="DP495" s="9"/>
      <c r="DQ495" s="9"/>
      <c r="DR495" s="9"/>
      <c r="DS495" s="9"/>
      <c r="DT495" s="9"/>
      <c r="DU495" s="9"/>
      <c r="DV495" s="9"/>
      <c r="DW495" s="9"/>
      <c r="DX495" s="9"/>
      <c r="DY495" s="9"/>
      <c r="DZ495" s="9"/>
      <c r="EA495" s="9"/>
      <c r="EB495" s="9"/>
      <c r="EC495" s="9"/>
      <c r="ED495" s="9"/>
      <c r="EE495" s="9"/>
      <c r="EF495" s="9"/>
      <c r="EG495" s="9"/>
      <c r="EH495" s="9"/>
      <c r="EI495" s="9"/>
      <c r="EJ495" s="9"/>
      <c r="EK495" s="9"/>
      <c r="EL495" s="9"/>
    </row>
    <row r="496" spans="1:142" x14ac:dyDescent="0.35">
      <c r="A496" s="9">
        <v>900324021</v>
      </c>
      <c r="B496" s="19">
        <v>0</v>
      </c>
      <c r="C496" s="9" t="str">
        <f>VLOOKUP(A496,'[1]terceros cto'!A$1:B$65536,2,0)</f>
        <v>ECOSERVICIOS DE OCCIDENTE SAS ESP</v>
      </c>
      <c r="D496" s="20" t="str">
        <f>VLOOKUP(C496,'[1]terceros cto'!B$1:F$65536,5,0)</f>
        <v>operaciones@ecoserviciosdeoccidente.com</v>
      </c>
      <c r="E496" s="21" t="s">
        <v>2252</v>
      </c>
      <c r="F496" s="9" t="str">
        <f>VLOOKUP(C496,'[1]terceros cto'!B$1:D$65536,3,0)</f>
        <v>Paipa</v>
      </c>
      <c r="G496" s="21">
        <v>15516</v>
      </c>
      <c r="H496" s="9">
        <v>212</v>
      </c>
      <c r="I496" s="30">
        <v>555450</v>
      </c>
      <c r="J496" s="31">
        <v>0</v>
      </c>
      <c r="K496" s="22">
        <v>0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  <c r="CJ496" s="9"/>
      <c r="CK496" s="9"/>
      <c r="CL496" s="9"/>
      <c r="CM496" s="9"/>
      <c r="CN496" s="9"/>
      <c r="CO496" s="9"/>
      <c r="CP496" s="9"/>
      <c r="CQ496" s="9"/>
      <c r="CR496" s="9"/>
      <c r="CS496" s="9"/>
      <c r="CT496" s="9"/>
      <c r="CU496" s="9"/>
      <c r="CV496" s="9"/>
      <c r="CW496" s="9"/>
      <c r="CX496" s="9"/>
      <c r="CY496" s="9"/>
      <c r="CZ496" s="9"/>
      <c r="DA496" s="9"/>
      <c r="DB496" s="9"/>
      <c r="DC496" s="9"/>
      <c r="DD496" s="9"/>
      <c r="DE496" s="9"/>
      <c r="DF496" s="9"/>
      <c r="DG496" s="9"/>
      <c r="DH496" s="9"/>
      <c r="DI496" s="9"/>
      <c r="DJ496" s="9"/>
      <c r="DK496" s="9"/>
      <c r="DL496" s="9"/>
      <c r="DM496" s="9"/>
      <c r="DN496" s="9"/>
      <c r="DO496" s="9"/>
      <c r="DP496" s="9"/>
      <c r="DQ496" s="9"/>
      <c r="DR496" s="9"/>
      <c r="DS496" s="9"/>
      <c r="DT496" s="9"/>
      <c r="DU496" s="9"/>
      <c r="DV496" s="9"/>
      <c r="DW496" s="9"/>
      <c r="DX496" s="9"/>
      <c r="DY496" s="9"/>
      <c r="DZ496" s="9"/>
      <c r="EA496" s="9"/>
      <c r="EB496" s="9"/>
      <c r="EC496" s="9"/>
      <c r="ED496" s="9"/>
      <c r="EE496" s="9"/>
      <c r="EF496" s="9"/>
      <c r="EG496" s="9"/>
      <c r="EH496" s="9"/>
      <c r="EI496" s="9"/>
      <c r="EJ496" s="9"/>
      <c r="EK496" s="9"/>
      <c r="EL496" s="9"/>
    </row>
    <row r="497" spans="1:142" x14ac:dyDescent="0.35">
      <c r="A497" s="9">
        <v>900324992</v>
      </c>
      <c r="B497" s="19">
        <v>7</v>
      </c>
      <c r="C497" s="9" t="str">
        <f>VLOOKUP(A497,'[1]terceros cto'!A$1:B$65536,2,0)</f>
        <v>MOCIÓN SAS</v>
      </c>
      <c r="D497" s="20" t="str">
        <f>VLOOKUP(C497,'[1]terceros cto'!B$1:F$65536,5,0)</f>
        <v>contabilidad@mocion.com.co</v>
      </c>
      <c r="E497" s="21" t="s">
        <v>2252</v>
      </c>
      <c r="F497" s="9" t="str">
        <f>VLOOKUP(C497,'[1]terceros cto'!B$1:D$65536,3,0)</f>
        <v>Paipa</v>
      </c>
      <c r="G497" s="21">
        <v>15516</v>
      </c>
      <c r="H497" s="9">
        <v>212</v>
      </c>
      <c r="I497" s="28">
        <v>100000</v>
      </c>
      <c r="J497" s="29">
        <v>0</v>
      </c>
      <c r="K497" s="22">
        <v>0</v>
      </c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  <c r="CL497" s="9"/>
      <c r="CM497" s="9"/>
      <c r="CN497" s="9"/>
      <c r="CO497" s="9"/>
      <c r="CP497" s="9"/>
      <c r="CQ497" s="9"/>
      <c r="CR497" s="9"/>
      <c r="CS497" s="9"/>
      <c r="CT497" s="9"/>
      <c r="CU497" s="9"/>
      <c r="CV497" s="9"/>
      <c r="CW497" s="9"/>
      <c r="CX497" s="9"/>
      <c r="CY497" s="9"/>
      <c r="CZ497" s="9"/>
      <c r="DA497" s="9"/>
      <c r="DB497" s="9"/>
      <c r="DC497" s="9"/>
      <c r="DD497" s="9"/>
      <c r="DE497" s="9"/>
      <c r="DF497" s="9"/>
      <c r="DG497" s="9"/>
      <c r="DH497" s="9"/>
      <c r="DI497" s="9"/>
      <c r="DJ497" s="9"/>
      <c r="DK497" s="9"/>
      <c r="DL497" s="9"/>
      <c r="DM497" s="9"/>
      <c r="DN497" s="9"/>
      <c r="DO497" s="9"/>
      <c r="DP497" s="9"/>
      <c r="DQ497" s="9"/>
      <c r="DR497" s="9"/>
      <c r="DS497" s="9"/>
      <c r="DT497" s="9"/>
      <c r="DU497" s="9"/>
      <c r="DV497" s="9"/>
      <c r="DW497" s="9"/>
      <c r="DX497" s="9"/>
      <c r="DY497" s="9"/>
      <c r="DZ497" s="9"/>
      <c r="EA497" s="9"/>
      <c r="EB497" s="9"/>
      <c r="EC497" s="9"/>
      <c r="ED497" s="9"/>
      <c r="EE497" s="9"/>
      <c r="EF497" s="9"/>
      <c r="EG497" s="9"/>
      <c r="EH497" s="9"/>
      <c r="EI497" s="9"/>
      <c r="EJ497" s="9"/>
      <c r="EK497" s="9"/>
      <c r="EL497" s="9"/>
    </row>
    <row r="498" spans="1:142" x14ac:dyDescent="0.35">
      <c r="A498" s="9">
        <v>900331283</v>
      </c>
      <c r="B498" s="19">
        <v>2</v>
      </c>
      <c r="C498" s="9" t="str">
        <f>VLOOKUP(A498,'[1]terceros cto'!A$1:B$65536,2,0)</f>
        <v>CAPRIVAL S A S</v>
      </c>
      <c r="D498" s="20" t="str">
        <f>VLOOKUP(C498,'[1]terceros cto'!B$1:F$65536,5,0)</f>
        <v>andresmrubio@hotmail.com</v>
      </c>
      <c r="E498" s="21" t="s">
        <v>2252</v>
      </c>
      <c r="F498" s="9" t="str">
        <f>VLOOKUP(C498,'[1]terceros cto'!B$1:D$65536,3,0)</f>
        <v>Paipa</v>
      </c>
      <c r="G498" s="21">
        <v>15516</v>
      </c>
      <c r="H498" s="9">
        <v>212</v>
      </c>
      <c r="I498" s="30">
        <v>80048</v>
      </c>
      <c r="J498" s="31">
        <v>0</v>
      </c>
      <c r="K498" s="22">
        <v>0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  <c r="CL498" s="9"/>
      <c r="CM498" s="9"/>
      <c r="CN498" s="9"/>
      <c r="CO498" s="9"/>
      <c r="CP498" s="9"/>
      <c r="CQ498" s="9"/>
      <c r="CR498" s="9"/>
      <c r="CS498" s="9"/>
      <c r="CT498" s="9"/>
      <c r="CU498" s="9"/>
      <c r="CV498" s="9"/>
      <c r="CW498" s="9"/>
      <c r="CX498" s="9"/>
      <c r="CY498" s="9"/>
      <c r="CZ498" s="9"/>
      <c r="DA498" s="9"/>
      <c r="DB498" s="9"/>
      <c r="DC498" s="9"/>
      <c r="DD498" s="9"/>
      <c r="DE498" s="9"/>
      <c r="DF498" s="9"/>
      <c r="DG498" s="9"/>
      <c r="DH498" s="9"/>
      <c r="DI498" s="9"/>
      <c r="DJ498" s="9"/>
      <c r="DK498" s="9"/>
      <c r="DL498" s="9"/>
      <c r="DM498" s="9"/>
      <c r="DN498" s="9"/>
      <c r="DO498" s="9"/>
      <c r="DP498" s="9"/>
      <c r="DQ498" s="9"/>
      <c r="DR498" s="9"/>
      <c r="DS498" s="9"/>
      <c r="DT498" s="9"/>
      <c r="DU498" s="9"/>
      <c r="DV498" s="9"/>
      <c r="DW498" s="9"/>
      <c r="DX498" s="9"/>
      <c r="DY498" s="9"/>
      <c r="DZ498" s="9"/>
      <c r="EA498" s="9"/>
      <c r="EB498" s="9"/>
      <c r="EC498" s="9"/>
      <c r="ED498" s="9"/>
      <c r="EE498" s="9"/>
      <c r="EF498" s="9"/>
      <c r="EG498" s="9"/>
      <c r="EH498" s="9"/>
      <c r="EI498" s="9"/>
      <c r="EJ498" s="9"/>
      <c r="EK498" s="9"/>
      <c r="EL498" s="9"/>
    </row>
    <row r="499" spans="1:142" x14ac:dyDescent="0.35">
      <c r="A499" s="9">
        <v>900333016</v>
      </c>
      <c r="B499" s="19">
        <v>1</v>
      </c>
      <c r="C499" s="9" t="str">
        <f>VLOOKUP(A499,'[1]terceros cto'!A$1:B$65536,2,0)</f>
        <v>AS TRADING CUSTOMS LTDA</v>
      </c>
      <c r="D499" s="20" t="str">
        <f>VLOOKUP(C499,'[1]terceros cto'!B$1:F$65536,5,0)</f>
        <v>julio.albornoz@astradingcustoms.com</v>
      </c>
      <c r="E499" s="21" t="s">
        <v>2252</v>
      </c>
      <c r="F499" s="9" t="str">
        <f>VLOOKUP(C499,'[1]terceros cto'!B$1:D$65536,3,0)</f>
        <v>CALLE 24 C # 80 C 42 OFICINA 202</v>
      </c>
      <c r="G499" s="21">
        <v>15516</v>
      </c>
      <c r="H499" s="9">
        <v>212</v>
      </c>
      <c r="I499" s="28">
        <v>50005</v>
      </c>
      <c r="J499" s="29">
        <v>0</v>
      </c>
      <c r="K499" s="22">
        <v>0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  <c r="CL499" s="9"/>
      <c r="CM499" s="9"/>
      <c r="CN499" s="9"/>
      <c r="CO499" s="9"/>
      <c r="CP499" s="9"/>
      <c r="CQ499" s="9"/>
      <c r="CR499" s="9"/>
      <c r="CS499" s="9"/>
      <c r="CT499" s="9"/>
      <c r="CU499" s="9"/>
      <c r="CV499" s="9"/>
      <c r="CW499" s="9"/>
      <c r="CX499" s="9"/>
      <c r="CY499" s="9"/>
      <c r="CZ499" s="9"/>
      <c r="DA499" s="9"/>
      <c r="DB499" s="9"/>
      <c r="DC499" s="9"/>
      <c r="DD499" s="9"/>
      <c r="DE499" s="9"/>
      <c r="DF499" s="9"/>
      <c r="DG499" s="9"/>
      <c r="DH499" s="9"/>
      <c r="DI499" s="9"/>
      <c r="DJ499" s="9"/>
      <c r="DK499" s="9"/>
      <c r="DL499" s="9"/>
      <c r="DM499" s="9"/>
      <c r="DN499" s="9"/>
      <c r="DO499" s="9"/>
      <c r="DP499" s="9"/>
      <c r="DQ499" s="9"/>
      <c r="DR499" s="9"/>
      <c r="DS499" s="9"/>
      <c r="DT499" s="9"/>
      <c r="DU499" s="9"/>
      <c r="DV499" s="9"/>
      <c r="DW499" s="9"/>
      <c r="DX499" s="9"/>
      <c r="DY499" s="9"/>
      <c r="DZ499" s="9"/>
      <c r="EA499" s="9"/>
      <c r="EB499" s="9"/>
      <c r="EC499" s="9"/>
      <c r="ED499" s="9"/>
      <c r="EE499" s="9"/>
      <c r="EF499" s="9"/>
      <c r="EG499" s="9"/>
      <c r="EH499" s="9"/>
      <c r="EI499" s="9"/>
      <c r="EJ499" s="9"/>
      <c r="EK499" s="9"/>
      <c r="EL499" s="9"/>
    </row>
    <row r="500" spans="1:142" x14ac:dyDescent="0.35">
      <c r="A500" s="9">
        <v>900349841</v>
      </c>
      <c r="B500" s="19">
        <v>1</v>
      </c>
      <c r="C500" s="9" t="str">
        <f>VLOOKUP(A500,'[1]terceros cto'!A$1:B$65536,2,0)</f>
        <v>TECNOLOGÍAS SINERGIA SAS</v>
      </c>
      <c r="D500" s="20" t="str">
        <f>VLOOKUP(C500,'[1]terceros cto'!B$1:F$65536,5,0)</f>
        <v>contador@sinergiaonline.com</v>
      </c>
      <c r="E500" s="21" t="s">
        <v>2252</v>
      </c>
      <c r="F500" s="9" t="str">
        <f>VLOOKUP(C500,'[1]terceros cto'!B$1:D$65536,3,0)</f>
        <v>Paipa</v>
      </c>
      <c r="G500" s="21">
        <v>15516</v>
      </c>
      <c r="H500" s="9">
        <v>212</v>
      </c>
      <c r="I500" s="30">
        <v>188580</v>
      </c>
      <c r="J500" s="31">
        <v>0</v>
      </c>
      <c r="K500" s="22">
        <v>0</v>
      </c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D500" s="9"/>
      <c r="CE500" s="9"/>
      <c r="CF500" s="9"/>
      <c r="CG500" s="9"/>
      <c r="CH500" s="9"/>
      <c r="CI500" s="9"/>
      <c r="CJ500" s="9"/>
      <c r="CK500" s="9"/>
      <c r="CL500" s="9"/>
      <c r="CM500" s="9"/>
      <c r="CN500" s="9"/>
      <c r="CO500" s="9"/>
      <c r="CP500" s="9"/>
      <c r="CQ500" s="9"/>
      <c r="CR500" s="9"/>
      <c r="CS500" s="9"/>
      <c r="CT500" s="9"/>
      <c r="CU500" s="9"/>
      <c r="CV500" s="9"/>
      <c r="CW500" s="9"/>
      <c r="CX500" s="9"/>
      <c r="CY500" s="9"/>
      <c r="CZ500" s="9"/>
      <c r="DA500" s="9"/>
      <c r="DB500" s="9"/>
      <c r="DC500" s="9"/>
      <c r="DD500" s="9"/>
      <c r="DE500" s="9"/>
      <c r="DF500" s="9"/>
      <c r="DG500" s="9"/>
      <c r="DH500" s="9"/>
      <c r="DI500" s="9"/>
      <c r="DJ500" s="9"/>
      <c r="DK500" s="9"/>
      <c r="DL500" s="9"/>
      <c r="DM500" s="9"/>
      <c r="DN500" s="9"/>
      <c r="DO500" s="9"/>
      <c r="DP500" s="9"/>
      <c r="DQ500" s="9"/>
      <c r="DR500" s="9"/>
      <c r="DS500" s="9"/>
      <c r="DT500" s="9"/>
      <c r="DU500" s="9"/>
      <c r="DV500" s="9"/>
      <c r="DW500" s="9"/>
      <c r="DX500" s="9"/>
      <c r="DY500" s="9"/>
      <c r="DZ500" s="9"/>
      <c r="EA500" s="9"/>
      <c r="EB500" s="9"/>
      <c r="EC500" s="9"/>
      <c r="ED500" s="9"/>
      <c r="EE500" s="9"/>
      <c r="EF500" s="9"/>
      <c r="EG500" s="9"/>
      <c r="EH500" s="9"/>
      <c r="EI500" s="9"/>
      <c r="EJ500" s="9"/>
      <c r="EK500" s="9"/>
      <c r="EL500" s="9"/>
    </row>
    <row r="501" spans="1:142" x14ac:dyDescent="0.35">
      <c r="A501" s="9">
        <v>900354036</v>
      </c>
      <c r="B501" s="19">
        <v>9</v>
      </c>
      <c r="C501" s="9" t="str">
        <f>VLOOKUP(A501,'[1]terceros cto'!A$1:B$65536,2,0)</f>
        <v>AXIONLOG SAS</v>
      </c>
      <c r="D501" s="20" t="str">
        <f>VLOOKUP(C501,'[1]terceros cto'!B$1:F$65536,5,0)</f>
        <v>john.orjuela@axionlog.com</v>
      </c>
      <c r="E501" s="21" t="s">
        <v>2252</v>
      </c>
      <c r="F501" s="9" t="str">
        <f>VLOOKUP(C501,'[1]terceros cto'!B$1:D$65536,3,0)</f>
        <v>Medellin KL 13 Siberia</v>
      </c>
      <c r="G501" s="21">
        <v>15516</v>
      </c>
      <c r="H501" s="9">
        <v>212</v>
      </c>
      <c r="I501" s="28">
        <v>170040</v>
      </c>
      <c r="J501" s="29">
        <v>0</v>
      </c>
      <c r="K501" s="22">
        <v>0</v>
      </c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  <c r="CJ501" s="9"/>
      <c r="CK501" s="9"/>
      <c r="CL501" s="9"/>
      <c r="CM501" s="9"/>
      <c r="CN501" s="9"/>
      <c r="CO501" s="9"/>
      <c r="CP501" s="9"/>
      <c r="CQ501" s="9"/>
      <c r="CR501" s="9"/>
      <c r="CS501" s="9"/>
      <c r="CT501" s="9"/>
      <c r="CU501" s="9"/>
      <c r="CV501" s="9"/>
      <c r="CW501" s="9"/>
      <c r="CX501" s="9"/>
      <c r="CY501" s="9"/>
      <c r="CZ501" s="9"/>
      <c r="DA501" s="9"/>
      <c r="DB501" s="9"/>
      <c r="DC501" s="9"/>
      <c r="DD501" s="9"/>
      <c r="DE501" s="9"/>
      <c r="DF501" s="9"/>
      <c r="DG501" s="9"/>
      <c r="DH501" s="9"/>
      <c r="DI501" s="9"/>
      <c r="DJ501" s="9"/>
      <c r="DK501" s="9"/>
      <c r="DL501" s="9"/>
      <c r="DM501" s="9"/>
      <c r="DN501" s="9"/>
      <c r="DO501" s="9"/>
      <c r="DP501" s="9"/>
      <c r="DQ501" s="9"/>
      <c r="DR501" s="9"/>
      <c r="DS501" s="9"/>
      <c r="DT501" s="9"/>
      <c r="DU501" s="9"/>
      <c r="DV501" s="9"/>
      <c r="DW501" s="9"/>
      <c r="DX501" s="9"/>
      <c r="DY501" s="9"/>
      <c r="DZ501" s="9"/>
      <c r="EA501" s="9"/>
      <c r="EB501" s="9"/>
      <c r="EC501" s="9"/>
      <c r="ED501" s="9"/>
      <c r="EE501" s="9"/>
      <c r="EF501" s="9"/>
      <c r="EG501" s="9"/>
      <c r="EH501" s="9"/>
      <c r="EI501" s="9"/>
      <c r="EJ501" s="9"/>
      <c r="EK501" s="9"/>
      <c r="EL501" s="9"/>
    </row>
    <row r="502" spans="1:142" x14ac:dyDescent="0.35">
      <c r="A502" s="9">
        <v>900355491</v>
      </c>
      <c r="B502" s="19">
        <v>1</v>
      </c>
      <c r="C502" s="9" t="str">
        <f>VLOOKUP(A502,'[1]terceros cto'!A$1:B$65536,2,0)</f>
        <v>LIMEQ SAS</v>
      </c>
      <c r="D502" s="20" t="str">
        <f>VLOOKUP(C502,'[1]terceros cto'!B$1:F$65536,5,0)</f>
        <v>gerencia@limeq.com.co</v>
      </c>
      <c r="E502" s="21" t="s">
        <v>2252</v>
      </c>
      <c r="F502" s="9" t="str">
        <f>VLOOKUP(C502,'[1]terceros cto'!B$1:D$65536,3,0)</f>
        <v>Paipa</v>
      </c>
      <c r="G502" s="21">
        <v>15516</v>
      </c>
      <c r="H502" s="9">
        <v>212</v>
      </c>
      <c r="I502" s="30">
        <v>160033</v>
      </c>
      <c r="J502" s="31">
        <v>0</v>
      </c>
      <c r="K502" s="22">
        <v>0</v>
      </c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D502" s="9"/>
      <c r="CE502" s="9"/>
      <c r="CF502" s="9"/>
      <c r="CG502" s="9"/>
      <c r="CH502" s="9"/>
      <c r="CI502" s="9"/>
      <c r="CJ502" s="9"/>
      <c r="CK502" s="9"/>
      <c r="CL502" s="9"/>
      <c r="CM502" s="9"/>
      <c r="CN502" s="9"/>
      <c r="CO502" s="9"/>
      <c r="CP502" s="9"/>
      <c r="CQ502" s="9"/>
      <c r="CR502" s="9"/>
      <c r="CS502" s="9"/>
      <c r="CT502" s="9"/>
      <c r="CU502" s="9"/>
      <c r="CV502" s="9"/>
      <c r="CW502" s="9"/>
      <c r="CX502" s="9"/>
      <c r="CY502" s="9"/>
      <c r="CZ502" s="9"/>
      <c r="DA502" s="9"/>
      <c r="DB502" s="9"/>
      <c r="DC502" s="9"/>
      <c r="DD502" s="9"/>
      <c r="DE502" s="9"/>
      <c r="DF502" s="9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x14ac:dyDescent="0.35">
      <c r="A503" s="9">
        <v>900360228</v>
      </c>
      <c r="B503" s="19">
        <v>0</v>
      </c>
      <c r="C503" s="9" t="str">
        <f>VLOOKUP(A503,'[1]terceros cto'!A$1:B$65536,2,0)</f>
        <v>MANOA PARQUE</v>
      </c>
      <c r="D503" s="20" t="str">
        <f>VLOOKUP(C503,'[1]terceros cto'!B$1:F$65536,5,0)</f>
        <v>manoaparque@gmail.com</v>
      </c>
      <c r="E503" s="21" t="s">
        <v>2252</v>
      </c>
      <c r="F503" s="9" t="str">
        <f>VLOOKUP(C503,'[1]terceros cto'!B$1:D$65536,3,0)</f>
        <v>Vereda el Hato Tuta</v>
      </c>
      <c r="G503" s="21">
        <v>15516</v>
      </c>
      <c r="H503" s="9">
        <v>212</v>
      </c>
      <c r="I503" s="28">
        <v>1940238</v>
      </c>
      <c r="J503" s="29">
        <v>0</v>
      </c>
      <c r="K503" s="22">
        <v>0</v>
      </c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  <c r="CL503" s="9"/>
      <c r="CM503" s="9"/>
      <c r="CN503" s="9"/>
      <c r="CO503" s="9"/>
      <c r="CP503" s="9"/>
      <c r="CQ503" s="9"/>
      <c r="CR503" s="9"/>
      <c r="CS503" s="9"/>
      <c r="CT503" s="9"/>
      <c r="CU503" s="9"/>
      <c r="CV503" s="9"/>
      <c r="CW503" s="9"/>
      <c r="CX503" s="9"/>
      <c r="CY503" s="9"/>
      <c r="CZ503" s="9"/>
      <c r="DA503" s="9"/>
      <c r="DB503" s="9"/>
      <c r="DC503" s="9"/>
      <c r="DD503" s="9"/>
      <c r="DE503" s="9"/>
      <c r="DF503" s="9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x14ac:dyDescent="0.35">
      <c r="A504" s="9">
        <v>900374721</v>
      </c>
      <c r="B504" s="19">
        <v>1</v>
      </c>
      <c r="C504" s="9" t="str">
        <f>VLOOKUP(A504,'[1]terceros cto'!A$1:B$65536,2,0)</f>
        <v>MDC MOVILES DE CARGA SAS</v>
      </c>
      <c r="D504" s="20" t="str">
        <f>VLOOKUP(C504,'[1]terceros cto'!B$1:F$65536,5,0)</f>
        <v>mdcmovilesdecarga@gmail.com</v>
      </c>
      <c r="E504" s="21" t="s">
        <v>2252</v>
      </c>
      <c r="F504" s="9" t="str">
        <f>VLOOKUP(C504,'[1]terceros cto'!B$1:D$65536,3,0)</f>
        <v>Paipa</v>
      </c>
      <c r="G504" s="21">
        <v>15516</v>
      </c>
      <c r="H504" s="9">
        <v>212</v>
      </c>
      <c r="I504" s="30">
        <v>124030</v>
      </c>
      <c r="J504" s="31">
        <v>0</v>
      </c>
      <c r="K504" s="22">
        <v>0</v>
      </c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D504" s="9"/>
      <c r="CE504" s="9"/>
      <c r="CF504" s="9"/>
      <c r="CG504" s="9"/>
      <c r="CH504" s="9"/>
      <c r="CI504" s="9"/>
      <c r="CJ504" s="9"/>
      <c r="CK504" s="9"/>
      <c r="CL504" s="9"/>
      <c r="CM504" s="9"/>
      <c r="CN504" s="9"/>
      <c r="CO504" s="9"/>
      <c r="CP504" s="9"/>
      <c r="CQ504" s="9"/>
      <c r="CR504" s="9"/>
      <c r="CS504" s="9"/>
      <c r="CT504" s="9"/>
      <c r="CU504" s="9"/>
      <c r="CV504" s="9"/>
      <c r="CW504" s="9"/>
      <c r="CX504" s="9"/>
      <c r="CY504" s="9"/>
      <c r="CZ504" s="9"/>
      <c r="DA504" s="9"/>
      <c r="DB504" s="9"/>
      <c r="DC504" s="9"/>
      <c r="DD504" s="9"/>
      <c r="DE504" s="9"/>
      <c r="DF504" s="9"/>
      <c r="DG504" s="9"/>
      <c r="DH504" s="9"/>
      <c r="DI504" s="9"/>
      <c r="DJ504" s="9"/>
      <c r="DK504" s="9"/>
      <c r="DL504" s="9"/>
      <c r="DM504" s="9"/>
      <c r="DN504" s="9"/>
      <c r="DO504" s="9"/>
      <c r="DP504" s="9"/>
      <c r="DQ504" s="9"/>
      <c r="DR504" s="9"/>
      <c r="DS504" s="9"/>
      <c r="DT504" s="9"/>
      <c r="DU504" s="9"/>
      <c r="DV504" s="9"/>
      <c r="DW504" s="9"/>
      <c r="DX504" s="9"/>
      <c r="DY504" s="9"/>
      <c r="DZ504" s="9"/>
      <c r="EA504" s="9"/>
      <c r="EB504" s="9"/>
      <c r="EC504" s="9"/>
      <c r="ED504" s="9"/>
      <c r="EE504" s="9"/>
      <c r="EF504" s="9"/>
      <c r="EG504" s="9"/>
      <c r="EH504" s="9"/>
      <c r="EI504" s="9"/>
      <c r="EJ504" s="9"/>
      <c r="EK504" s="9"/>
      <c r="EL504" s="9"/>
    </row>
    <row r="505" spans="1:142" x14ac:dyDescent="0.35">
      <c r="A505" s="9">
        <v>900374951</v>
      </c>
      <c r="B505" s="19">
        <v>9</v>
      </c>
      <c r="C505" s="9" t="str">
        <f>VLOOKUP(A505,'[1]terceros cto'!A$1:B$65536,2,0)</f>
        <v>REFRASING SAS</v>
      </c>
      <c r="D505" s="20" t="str">
        <f>VLOOKUP(C505,'[1]terceros cto'!B$1:F$65536,5,0)</f>
        <v>refrasingsas@refrasing.com</v>
      </c>
      <c r="E505" s="21" t="s">
        <v>2252</v>
      </c>
      <c r="F505" s="9" t="str">
        <f>VLOOKUP(C505,'[1]terceros cto'!B$1:D$65536,3,0)</f>
        <v>: CALLE 21 B N 40 88 BARRIO CAMILO TORRES</v>
      </c>
      <c r="G505" s="21">
        <v>15516</v>
      </c>
      <c r="H505" s="9">
        <v>212</v>
      </c>
      <c r="I505" s="28">
        <v>190097</v>
      </c>
      <c r="J505" s="29">
        <v>0</v>
      </c>
      <c r="K505" s="22">
        <v>0</v>
      </c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  <c r="CQ505" s="9"/>
      <c r="CR505" s="9"/>
      <c r="CS505" s="9"/>
      <c r="CT505" s="9"/>
      <c r="CU505" s="9"/>
      <c r="CV505" s="9"/>
      <c r="CW505" s="9"/>
      <c r="CX505" s="9"/>
      <c r="CY505" s="9"/>
      <c r="CZ505" s="9"/>
      <c r="DA505" s="9"/>
      <c r="DB505" s="9"/>
      <c r="DC505" s="9"/>
      <c r="DD505" s="9"/>
      <c r="DE505" s="9"/>
      <c r="DF505" s="9"/>
      <c r="DG505" s="9"/>
      <c r="DH505" s="9"/>
      <c r="DI505" s="9"/>
      <c r="DJ505" s="9"/>
      <c r="DK505" s="9"/>
      <c r="DL505" s="9"/>
      <c r="DM505" s="9"/>
      <c r="DN505" s="9"/>
      <c r="DO505" s="9"/>
      <c r="DP505" s="9"/>
      <c r="DQ505" s="9"/>
      <c r="DR505" s="9"/>
      <c r="DS505" s="9"/>
      <c r="DT505" s="9"/>
      <c r="DU505" s="9"/>
      <c r="DV505" s="9"/>
      <c r="DW505" s="9"/>
      <c r="DX505" s="9"/>
      <c r="DY505" s="9"/>
      <c r="DZ505" s="9"/>
      <c r="EA505" s="9"/>
      <c r="EB505" s="9"/>
      <c r="EC505" s="9"/>
      <c r="ED505" s="9"/>
      <c r="EE505" s="9"/>
      <c r="EF505" s="9"/>
      <c r="EG505" s="9"/>
      <c r="EH505" s="9"/>
      <c r="EI505" s="9"/>
      <c r="EJ505" s="9"/>
      <c r="EK505" s="9"/>
      <c r="EL505" s="9"/>
    </row>
    <row r="506" spans="1:142" x14ac:dyDescent="0.35">
      <c r="A506" s="9">
        <v>900375325</v>
      </c>
      <c r="B506" s="19">
        <v>2</v>
      </c>
      <c r="C506" s="9" t="str">
        <f>VLOOKUP(A506,'[1]terceros cto'!A$1:B$65536,2,0)</f>
        <v>TABASCO OC LLC SUUSAL DE COLOMBIA</v>
      </c>
      <c r="D506" s="20" t="str">
        <f>VLOOKUP(C506,'[1]terceros cto'!B$1:F$65536,5,0)</f>
        <v>j.roaparra@tabascooc.com</v>
      </c>
      <c r="E506" s="21">
        <f>VLOOKUP(C506,'[1]terceros cto'!B$1:E$65536,4,0)</f>
        <v>3204782855</v>
      </c>
      <c r="F506" s="9" t="str">
        <f>VLOOKUP(C506,'[1]terceros cto'!B$1:D$65536,3,0)</f>
        <v>CALLE4 19 69F 45</v>
      </c>
      <c r="G506" s="21">
        <v>15516</v>
      </c>
      <c r="H506" s="9">
        <v>212</v>
      </c>
      <c r="I506" s="30">
        <v>130013</v>
      </c>
      <c r="J506" s="31">
        <v>0</v>
      </c>
      <c r="K506" s="22">
        <v>0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  <c r="CJ506" s="9"/>
      <c r="CK506" s="9"/>
      <c r="CL506" s="9"/>
      <c r="CM506" s="9"/>
      <c r="CN506" s="9"/>
      <c r="CO506" s="9"/>
      <c r="CP506" s="9"/>
      <c r="CQ506" s="9"/>
      <c r="CR506" s="9"/>
      <c r="CS506" s="9"/>
      <c r="CT506" s="9"/>
      <c r="CU506" s="9"/>
      <c r="CV506" s="9"/>
      <c r="CW506" s="9"/>
      <c r="CX506" s="9"/>
      <c r="CY506" s="9"/>
      <c r="CZ506" s="9"/>
      <c r="DA506" s="9"/>
      <c r="DB506" s="9"/>
      <c r="DC506" s="9"/>
      <c r="DD506" s="9"/>
      <c r="DE506" s="9"/>
      <c r="DF506" s="9"/>
      <c r="DG506" s="9"/>
      <c r="DH506" s="9"/>
      <c r="DI506" s="9"/>
      <c r="DJ506" s="9"/>
      <c r="DK506" s="9"/>
      <c r="DL506" s="9"/>
      <c r="DM506" s="9"/>
      <c r="DN506" s="9"/>
      <c r="DO506" s="9"/>
      <c r="DP506" s="9"/>
      <c r="DQ506" s="9"/>
      <c r="DR506" s="9"/>
      <c r="DS506" s="9"/>
      <c r="DT506" s="9"/>
      <c r="DU506" s="9"/>
      <c r="DV506" s="9"/>
      <c r="DW506" s="9"/>
      <c r="DX506" s="9"/>
      <c r="DY506" s="9"/>
      <c r="DZ506" s="9"/>
      <c r="EA506" s="9"/>
      <c r="EB506" s="9"/>
      <c r="EC506" s="9"/>
      <c r="ED506" s="9"/>
      <c r="EE506" s="9"/>
      <c r="EF506" s="9"/>
      <c r="EG506" s="9"/>
      <c r="EH506" s="9"/>
      <c r="EI506" s="9"/>
      <c r="EJ506" s="9"/>
      <c r="EK506" s="9"/>
      <c r="EL506" s="9"/>
    </row>
    <row r="507" spans="1:142" x14ac:dyDescent="0.35">
      <c r="A507" s="9">
        <v>900377177</v>
      </c>
      <c r="B507" s="19">
        <v>8</v>
      </c>
      <c r="C507" s="9" t="str">
        <f>VLOOKUP(A507,'[1]terceros cto'!A$1:B$65536,2,0)</f>
        <v>ADMINISTRADORA ZUHE</v>
      </c>
      <c r="D507" s="20" t="str">
        <f>VLOOKUP(C507,'[1]terceros cto'!B$1:F$65536,5,0)</f>
        <v>hotel.zuhe@yahoo.com</v>
      </c>
      <c r="E507" s="21" t="s">
        <v>2252</v>
      </c>
      <c r="F507" s="9" t="str">
        <f>VLOOKUP(C507,'[1]terceros cto'!B$1:D$65536,3,0)</f>
        <v>Paipa</v>
      </c>
      <c r="G507" s="21">
        <v>15516</v>
      </c>
      <c r="H507" s="9">
        <v>212</v>
      </c>
      <c r="I507" s="28">
        <v>210071</v>
      </c>
      <c r="J507" s="29">
        <v>0</v>
      </c>
      <c r="K507" s="22">
        <v>0</v>
      </c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  <c r="CJ507" s="9"/>
      <c r="CK507" s="9"/>
      <c r="CL507" s="9"/>
      <c r="CM507" s="9"/>
      <c r="CN507" s="9"/>
      <c r="CO507" s="9"/>
      <c r="CP507" s="9"/>
      <c r="CQ507" s="9"/>
      <c r="CR507" s="9"/>
      <c r="CS507" s="9"/>
      <c r="CT507" s="9"/>
      <c r="CU507" s="9"/>
      <c r="CV507" s="9"/>
      <c r="CW507" s="9"/>
      <c r="CX507" s="9"/>
      <c r="CY507" s="9"/>
      <c r="CZ507" s="9"/>
      <c r="DA507" s="9"/>
      <c r="DB507" s="9"/>
      <c r="DC507" s="9"/>
      <c r="DD507" s="9"/>
      <c r="DE507" s="9"/>
      <c r="DF507" s="9"/>
      <c r="DG507" s="9"/>
      <c r="DH507" s="9"/>
      <c r="DI507" s="9"/>
      <c r="DJ507" s="9"/>
      <c r="DK507" s="9"/>
      <c r="DL507" s="9"/>
      <c r="DM507" s="9"/>
      <c r="DN507" s="9"/>
      <c r="DO507" s="9"/>
      <c r="DP507" s="9"/>
      <c r="DQ507" s="9"/>
      <c r="DR507" s="9"/>
      <c r="DS507" s="9"/>
      <c r="DT507" s="9"/>
      <c r="DU507" s="9"/>
      <c r="DV507" s="9"/>
      <c r="DW507" s="9"/>
      <c r="DX507" s="9"/>
      <c r="DY507" s="9"/>
      <c r="DZ507" s="9"/>
      <c r="EA507" s="9"/>
      <c r="EB507" s="9"/>
      <c r="EC507" s="9"/>
      <c r="ED507" s="9"/>
      <c r="EE507" s="9"/>
      <c r="EF507" s="9"/>
      <c r="EG507" s="9"/>
      <c r="EH507" s="9"/>
      <c r="EI507" s="9"/>
      <c r="EJ507" s="9"/>
      <c r="EK507" s="9"/>
      <c r="EL507" s="9"/>
    </row>
    <row r="508" spans="1:142" x14ac:dyDescent="0.35">
      <c r="A508" s="9">
        <v>900388277</v>
      </c>
      <c r="B508" s="19">
        <v>3</v>
      </c>
      <c r="C508" s="9" t="str">
        <f>VLOOKUP(A508,'[1]terceros cto'!A$1:B$65536,2,0)</f>
        <v>COMERCIALIZADORA MGS SION SAS</v>
      </c>
      <c r="D508" s="20" t="str">
        <f>VLOOKUP(C508,'[1]terceros cto'!B$1:F$65536,5,0)</f>
        <v>comercializadorasionsas21@gmail.com</v>
      </c>
      <c r="E508" s="21" t="s">
        <v>2252</v>
      </c>
      <c r="F508" s="9" t="str">
        <f>VLOOKUP(C508,'[1]terceros cto'!B$1:D$65536,3,0)</f>
        <v>PAIPA</v>
      </c>
      <c r="G508" s="21">
        <v>15516</v>
      </c>
      <c r="H508" s="9">
        <v>212</v>
      </c>
      <c r="I508" s="30">
        <v>597651</v>
      </c>
      <c r="J508" s="31">
        <v>0</v>
      </c>
      <c r="K508" s="22">
        <v>0</v>
      </c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  <c r="CJ508" s="9"/>
      <c r="CK508" s="9"/>
      <c r="CL508" s="9"/>
      <c r="CM508" s="9"/>
      <c r="CN508" s="9"/>
      <c r="CO508" s="9"/>
      <c r="CP508" s="9"/>
      <c r="CQ508" s="9"/>
      <c r="CR508" s="9"/>
      <c r="CS508" s="9"/>
      <c r="CT508" s="9"/>
      <c r="CU508" s="9"/>
      <c r="CV508" s="9"/>
      <c r="CW508" s="9"/>
      <c r="CX508" s="9"/>
      <c r="CY508" s="9"/>
      <c r="CZ508" s="9"/>
      <c r="DA508" s="9"/>
      <c r="DB508" s="9"/>
      <c r="DC508" s="9"/>
      <c r="DD508" s="9"/>
      <c r="DE508" s="9"/>
      <c r="DF508" s="9"/>
      <c r="DG508" s="9"/>
      <c r="DH508" s="9"/>
      <c r="DI508" s="9"/>
      <c r="DJ508" s="9"/>
      <c r="DK508" s="9"/>
      <c r="DL508" s="9"/>
      <c r="DM508" s="9"/>
      <c r="DN508" s="9"/>
      <c r="DO508" s="9"/>
      <c r="DP508" s="9"/>
      <c r="DQ508" s="9"/>
      <c r="DR508" s="9"/>
      <c r="DS508" s="9"/>
      <c r="DT508" s="9"/>
      <c r="DU508" s="9"/>
      <c r="DV508" s="9"/>
      <c r="DW508" s="9"/>
      <c r="DX508" s="9"/>
      <c r="DY508" s="9"/>
      <c r="DZ508" s="9"/>
      <c r="EA508" s="9"/>
      <c r="EB508" s="9"/>
      <c r="EC508" s="9"/>
      <c r="ED508" s="9"/>
      <c r="EE508" s="9"/>
      <c r="EF508" s="9"/>
      <c r="EG508" s="9"/>
      <c r="EH508" s="9"/>
      <c r="EI508" s="9"/>
      <c r="EJ508" s="9"/>
      <c r="EK508" s="9"/>
      <c r="EL508" s="9"/>
    </row>
    <row r="509" spans="1:142" x14ac:dyDescent="0.35">
      <c r="A509" s="9">
        <v>900396575</v>
      </c>
      <c r="B509" s="19">
        <v>7</v>
      </c>
      <c r="C509" s="9" t="str">
        <f>VLOOKUP(A509,'[1]terceros cto'!A$1:B$65536,2,0)</f>
        <v>SERVICIOS DE REHABILITACIÓN</v>
      </c>
      <c r="D509" s="20" t="str">
        <f>VLOOKUP(C509,'[1]terceros cto'!B$1:F$65536,5,0)</f>
        <v>cedinsosas@hotmail.com</v>
      </c>
      <c r="E509" s="21" t="s">
        <v>2252</v>
      </c>
      <c r="F509" s="9" t="str">
        <f>VLOOKUP(C509,'[1]terceros cto'!B$1:D$65536,3,0)</f>
        <v>Paipa</v>
      </c>
      <c r="G509" s="21">
        <v>15516</v>
      </c>
      <c r="H509" s="9">
        <v>212</v>
      </c>
      <c r="I509" s="28">
        <v>109170</v>
      </c>
      <c r="J509" s="29">
        <v>0</v>
      </c>
      <c r="K509" s="22">
        <v>0</v>
      </c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  <c r="CJ509" s="9"/>
      <c r="CK509" s="9"/>
      <c r="CL509" s="9"/>
      <c r="CM509" s="9"/>
      <c r="CN509" s="9"/>
      <c r="CO509" s="9"/>
      <c r="CP509" s="9"/>
      <c r="CQ509" s="9"/>
      <c r="CR509" s="9"/>
      <c r="CS509" s="9"/>
      <c r="CT509" s="9"/>
      <c r="CU509" s="9"/>
      <c r="CV509" s="9"/>
      <c r="CW509" s="9"/>
      <c r="CX509" s="9"/>
      <c r="CY509" s="9"/>
      <c r="CZ509" s="9"/>
      <c r="DA509" s="9"/>
      <c r="DB509" s="9"/>
      <c r="DC509" s="9"/>
      <c r="DD509" s="9"/>
      <c r="DE509" s="9"/>
      <c r="DF509" s="9"/>
      <c r="DG509" s="9"/>
      <c r="DH509" s="9"/>
      <c r="DI509" s="9"/>
      <c r="DJ509" s="9"/>
      <c r="DK509" s="9"/>
      <c r="DL509" s="9"/>
      <c r="DM509" s="9"/>
      <c r="DN509" s="9"/>
      <c r="DO509" s="9"/>
      <c r="DP509" s="9"/>
      <c r="DQ509" s="9"/>
      <c r="DR509" s="9"/>
      <c r="DS509" s="9"/>
      <c r="DT509" s="9"/>
      <c r="DU509" s="9"/>
      <c r="DV509" s="9"/>
      <c r="DW509" s="9"/>
      <c r="DX509" s="9"/>
      <c r="DY509" s="9"/>
      <c r="DZ509" s="9"/>
      <c r="EA509" s="9"/>
      <c r="EB509" s="9"/>
      <c r="EC509" s="9"/>
      <c r="ED509" s="9"/>
      <c r="EE509" s="9"/>
      <c r="EF509" s="9"/>
      <c r="EG509" s="9"/>
      <c r="EH509" s="9"/>
      <c r="EI509" s="9"/>
      <c r="EJ509" s="9"/>
      <c r="EK509" s="9"/>
      <c r="EL509" s="9"/>
    </row>
    <row r="510" spans="1:142" x14ac:dyDescent="0.35">
      <c r="A510" s="9">
        <v>900404109</v>
      </c>
      <c r="B510" s="19">
        <v>3</v>
      </c>
      <c r="C510" s="9" t="str">
        <f>VLOOKUP(A510,'[1]terceros cto'!A$1:B$65536,2,0)</f>
        <v>WPP COLOMBIA S.A.S</v>
      </c>
      <c r="D510" s="20" t="str">
        <f>VLOOKUP(C510,'[1]terceros cto'!B$1:F$65536,5,0)</f>
        <v>paola.ceballos@wundermanthompson.com</v>
      </c>
      <c r="E510" s="21" t="s">
        <v>2252</v>
      </c>
      <c r="F510" s="9" t="str">
        <f>VLOOKUP(C510,'[1]terceros cto'!B$1:D$65536,3,0)</f>
        <v>paipa</v>
      </c>
      <c r="G510" s="21">
        <v>15516</v>
      </c>
      <c r="H510" s="9">
        <v>212</v>
      </c>
      <c r="I510" s="30">
        <v>18113</v>
      </c>
      <c r="J510" s="31">
        <v>0</v>
      </c>
      <c r="K510" s="22">
        <v>0</v>
      </c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  <c r="CJ510" s="9"/>
      <c r="CK510" s="9"/>
      <c r="CL510" s="9"/>
      <c r="CM510" s="9"/>
      <c r="CN510" s="9"/>
      <c r="CO510" s="9"/>
      <c r="CP510" s="9"/>
      <c r="CQ510" s="9"/>
      <c r="CR510" s="9"/>
      <c r="CS510" s="9"/>
      <c r="CT510" s="9"/>
      <c r="CU510" s="9"/>
      <c r="CV510" s="9"/>
      <c r="CW510" s="9"/>
      <c r="CX510" s="9"/>
      <c r="CY510" s="9"/>
      <c r="CZ510" s="9"/>
      <c r="DA510" s="9"/>
      <c r="DB510" s="9"/>
      <c r="DC510" s="9"/>
      <c r="DD510" s="9"/>
      <c r="DE510" s="9"/>
      <c r="DF510" s="9"/>
      <c r="DG510" s="9"/>
      <c r="DH510" s="9"/>
      <c r="DI510" s="9"/>
      <c r="DJ510" s="9"/>
      <c r="DK510" s="9"/>
      <c r="DL510" s="9"/>
      <c r="DM510" s="9"/>
      <c r="DN510" s="9"/>
      <c r="DO510" s="9"/>
      <c r="DP510" s="9"/>
      <c r="DQ510" s="9"/>
      <c r="DR510" s="9"/>
      <c r="DS510" s="9"/>
      <c r="DT510" s="9"/>
      <c r="DU510" s="9"/>
      <c r="DV510" s="9"/>
      <c r="DW510" s="9"/>
      <c r="DX510" s="9"/>
      <c r="DY510" s="9"/>
      <c r="DZ510" s="9"/>
      <c r="EA510" s="9"/>
      <c r="EB510" s="9"/>
      <c r="EC510" s="9"/>
      <c r="ED510" s="9"/>
      <c r="EE510" s="9"/>
      <c r="EF510" s="9"/>
      <c r="EG510" s="9"/>
      <c r="EH510" s="9"/>
      <c r="EI510" s="9"/>
      <c r="EJ510" s="9"/>
      <c r="EK510" s="9"/>
      <c r="EL510" s="9"/>
    </row>
    <row r="511" spans="1:142" x14ac:dyDescent="0.35">
      <c r="A511" s="9">
        <v>900408392</v>
      </c>
      <c r="B511" s="19">
        <v>1</v>
      </c>
      <c r="C511" s="9" t="str">
        <f>VLOOKUP(A511,'[1]terceros cto'!A$1:B$65536,2,0)</f>
        <v>PAISAJES Y  DISEÑOS SAS</v>
      </c>
      <c r="D511" s="20" t="str">
        <f>VLOOKUP(C511,'[1]terceros cto'!B$1:F$65536,5,0)</f>
        <v>nelsonperez1978@hotmail.com</v>
      </c>
      <c r="E511" s="21" t="s">
        <v>2252</v>
      </c>
      <c r="F511" s="9" t="str">
        <f>VLOOKUP(C511,'[1]terceros cto'!B$1:D$65536,3,0)</f>
        <v>CALLE 25  69D 80</v>
      </c>
      <c r="G511" s="21">
        <v>15516</v>
      </c>
      <c r="H511" s="9">
        <v>212</v>
      </c>
      <c r="I511" s="28">
        <v>1575804</v>
      </c>
      <c r="J511" s="29">
        <v>0</v>
      </c>
      <c r="K511" s="22">
        <v>0</v>
      </c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  <c r="CJ511" s="9"/>
      <c r="CK511" s="9"/>
      <c r="CL511" s="9"/>
      <c r="CM511" s="9"/>
      <c r="CN511" s="9"/>
      <c r="CO511" s="9"/>
      <c r="CP511" s="9"/>
      <c r="CQ511" s="9"/>
      <c r="CR511" s="9"/>
      <c r="CS511" s="9"/>
      <c r="CT511" s="9"/>
      <c r="CU511" s="9"/>
      <c r="CV511" s="9"/>
      <c r="CW511" s="9"/>
      <c r="CX511" s="9"/>
      <c r="CY511" s="9"/>
      <c r="CZ511" s="9"/>
      <c r="DA511" s="9"/>
      <c r="DB511" s="9"/>
      <c r="DC511" s="9"/>
      <c r="DD511" s="9"/>
      <c r="DE511" s="9"/>
      <c r="DF511" s="9"/>
      <c r="DG511" s="9"/>
      <c r="DH511" s="9"/>
      <c r="DI511" s="9"/>
      <c r="DJ511" s="9"/>
      <c r="DK511" s="9"/>
      <c r="DL511" s="9"/>
      <c r="DM511" s="9"/>
      <c r="DN511" s="9"/>
      <c r="DO511" s="9"/>
      <c r="DP511" s="9"/>
      <c r="DQ511" s="9"/>
      <c r="DR511" s="9"/>
      <c r="DS511" s="9"/>
      <c r="DT511" s="9"/>
      <c r="DU511" s="9"/>
      <c r="DV511" s="9"/>
      <c r="DW511" s="9"/>
      <c r="DX511" s="9"/>
      <c r="DY511" s="9"/>
      <c r="DZ511" s="9"/>
      <c r="EA511" s="9"/>
      <c r="EB511" s="9"/>
      <c r="EC511" s="9"/>
      <c r="ED511" s="9"/>
      <c r="EE511" s="9"/>
      <c r="EF511" s="9"/>
      <c r="EG511" s="9"/>
      <c r="EH511" s="9"/>
      <c r="EI511" s="9"/>
      <c r="EJ511" s="9"/>
      <c r="EK511" s="9"/>
      <c r="EL511" s="9"/>
    </row>
    <row r="512" spans="1:142" x14ac:dyDescent="0.35">
      <c r="A512" s="9">
        <v>900409576</v>
      </c>
      <c r="B512" s="19">
        <v>2</v>
      </c>
      <c r="C512" s="9" t="str">
        <f>VLOOKUP(A512,'[1]terceros cto'!A$1:B$65536,2,0)</f>
        <v>ZUCCO SAS</v>
      </c>
      <c r="D512" s="20" t="str">
        <f>VLOOKUP(C512,'[1]terceros cto'!B$1:F$65536,5,0)</f>
        <v>mariaacopello@gmail.com</v>
      </c>
      <c r="E512" s="21" t="s">
        <v>2252</v>
      </c>
      <c r="F512" s="9" t="str">
        <f>VLOOKUP(C512,'[1]terceros cto'!B$1:D$65536,3,0)</f>
        <v>Cra 78 # 128-99</v>
      </c>
      <c r="G512" s="21">
        <v>15516</v>
      </c>
      <c r="H512" s="9">
        <v>212</v>
      </c>
      <c r="I512" s="30">
        <v>226049</v>
      </c>
      <c r="J512" s="31">
        <v>0</v>
      </c>
      <c r="K512" s="22">
        <v>0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  <c r="CJ512" s="9"/>
      <c r="CK512" s="9"/>
      <c r="CL512" s="9"/>
      <c r="CM512" s="9"/>
      <c r="CN512" s="9"/>
      <c r="CO512" s="9"/>
      <c r="CP512" s="9"/>
      <c r="CQ512" s="9"/>
      <c r="CR512" s="9"/>
      <c r="CS512" s="9"/>
      <c r="CT512" s="9"/>
      <c r="CU512" s="9"/>
      <c r="CV512" s="9"/>
      <c r="CW512" s="9"/>
      <c r="CX512" s="9"/>
      <c r="CY512" s="9"/>
      <c r="CZ512" s="9"/>
      <c r="DA512" s="9"/>
      <c r="DB512" s="9"/>
      <c r="DC512" s="9"/>
      <c r="DD512" s="9"/>
      <c r="DE512" s="9"/>
      <c r="DF512" s="9"/>
      <c r="DG512" s="9"/>
      <c r="DH512" s="9"/>
      <c r="DI512" s="9"/>
      <c r="DJ512" s="9"/>
      <c r="DK512" s="9"/>
      <c r="DL512" s="9"/>
      <c r="DM512" s="9"/>
      <c r="DN512" s="9"/>
      <c r="DO512" s="9"/>
      <c r="DP512" s="9"/>
      <c r="DQ512" s="9"/>
      <c r="DR512" s="9"/>
      <c r="DS512" s="9"/>
      <c r="DT512" s="9"/>
      <c r="DU512" s="9"/>
      <c r="DV512" s="9"/>
      <c r="DW512" s="9"/>
      <c r="DX512" s="9"/>
      <c r="DY512" s="9"/>
      <c r="DZ512" s="9"/>
      <c r="EA512" s="9"/>
      <c r="EB512" s="9"/>
      <c r="EC512" s="9"/>
      <c r="ED512" s="9"/>
      <c r="EE512" s="9"/>
      <c r="EF512" s="9"/>
      <c r="EG512" s="9"/>
      <c r="EH512" s="9"/>
      <c r="EI512" s="9"/>
      <c r="EJ512" s="9"/>
      <c r="EK512" s="9"/>
      <c r="EL512" s="9"/>
    </row>
    <row r="513" spans="1:142" x14ac:dyDescent="0.35">
      <c r="A513" s="9">
        <v>900436116</v>
      </c>
      <c r="B513" s="19">
        <v>2</v>
      </c>
      <c r="C513" s="9" t="str">
        <f>VLOOKUP(A513,'[1]terceros cto'!A$1:B$65536,2,0)</f>
        <v>TECNOLOGIA EN CONTROL DE VECTORES Y FUMIGACIONES LIMITADA</v>
      </c>
      <c r="D513" s="20" t="str">
        <f>VLOOKUP(C513,'[1]terceros cto'!B$1:F$65536,5,0)</f>
        <v>tcvfumigaciones@gmail.com</v>
      </c>
      <c r="E513" s="21" t="s">
        <v>2252</v>
      </c>
      <c r="F513" s="9" t="str">
        <f>VLOOKUP(C513,'[1]terceros cto'!B$1:D$65536,3,0)</f>
        <v>CL 27 19A 70</v>
      </c>
      <c r="G513" s="21">
        <v>15516</v>
      </c>
      <c r="H513" s="9">
        <v>212</v>
      </c>
      <c r="I513" s="28">
        <v>120041</v>
      </c>
      <c r="J513" s="29">
        <v>0</v>
      </c>
      <c r="K513" s="22">
        <v>0</v>
      </c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  <c r="CJ513" s="9"/>
      <c r="CK513" s="9"/>
      <c r="CL513" s="9"/>
      <c r="CM513" s="9"/>
      <c r="CN513" s="9"/>
      <c r="CO513" s="9"/>
      <c r="CP513" s="9"/>
      <c r="CQ513" s="9"/>
      <c r="CR513" s="9"/>
      <c r="CS513" s="9"/>
      <c r="CT513" s="9"/>
      <c r="CU513" s="9"/>
      <c r="CV513" s="9"/>
      <c r="CW513" s="9"/>
      <c r="CX513" s="9"/>
      <c r="CY513" s="9"/>
      <c r="CZ513" s="9"/>
      <c r="DA513" s="9"/>
      <c r="DB513" s="9"/>
      <c r="DC513" s="9"/>
      <c r="DD513" s="9"/>
      <c r="DE513" s="9"/>
      <c r="DF513" s="9"/>
      <c r="DG513" s="9"/>
      <c r="DH513" s="9"/>
      <c r="DI513" s="9"/>
      <c r="DJ513" s="9"/>
      <c r="DK513" s="9"/>
      <c r="DL513" s="9"/>
      <c r="DM513" s="9"/>
      <c r="DN513" s="9"/>
      <c r="DO513" s="9"/>
      <c r="DP513" s="9"/>
      <c r="DQ513" s="9"/>
      <c r="DR513" s="9"/>
      <c r="DS513" s="9"/>
      <c r="DT513" s="9"/>
      <c r="DU513" s="9"/>
      <c r="DV513" s="9"/>
      <c r="DW513" s="9"/>
      <c r="DX513" s="9"/>
      <c r="DY513" s="9"/>
      <c r="DZ513" s="9"/>
      <c r="EA513" s="9"/>
      <c r="EB513" s="9"/>
      <c r="EC513" s="9"/>
      <c r="ED513" s="9"/>
      <c r="EE513" s="9"/>
      <c r="EF513" s="9"/>
      <c r="EG513" s="9"/>
      <c r="EH513" s="9"/>
      <c r="EI513" s="9"/>
      <c r="EJ513" s="9"/>
      <c r="EK513" s="9"/>
      <c r="EL513" s="9"/>
    </row>
    <row r="514" spans="1:142" x14ac:dyDescent="0.35">
      <c r="A514" s="9">
        <v>900436515</v>
      </c>
      <c r="B514" s="19">
        <v>8</v>
      </c>
      <c r="C514" s="9" t="str">
        <f>VLOOKUP(A514,'[1]terceros cto'!A$1:B$65536,2,0)</f>
        <v>GESTION INTEGRAL DEL SUELO S L COLO</v>
      </c>
      <c r="D514" s="20" t="str">
        <f>VLOOKUP(C514,'[1]terceros cto'!B$1:F$65536,5,0)</f>
        <v>aux.contable1@grupogiscolombia.com</v>
      </c>
      <c r="E514" s="21" t="s">
        <v>2252</v>
      </c>
      <c r="F514" s="9" t="str">
        <f>VLOOKUP(C514,'[1]terceros cto'!B$1:D$65536,3,0)</f>
        <v>CL 23 66 39 TO 3 OF 801</v>
      </c>
      <c r="G514" s="21">
        <v>15516</v>
      </c>
      <c r="H514" s="9">
        <v>212</v>
      </c>
      <c r="I514" s="30">
        <v>260033</v>
      </c>
      <c r="J514" s="31">
        <v>0</v>
      </c>
      <c r="K514" s="22">
        <v>0</v>
      </c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D514" s="9"/>
      <c r="CE514" s="9"/>
      <c r="CF514" s="9"/>
      <c r="CG514" s="9"/>
      <c r="CH514" s="9"/>
      <c r="CI514" s="9"/>
      <c r="CJ514" s="9"/>
      <c r="CK514" s="9"/>
      <c r="CL514" s="9"/>
      <c r="CM514" s="9"/>
      <c r="CN514" s="9"/>
      <c r="CO514" s="9"/>
      <c r="CP514" s="9"/>
      <c r="CQ514" s="9"/>
      <c r="CR514" s="9"/>
      <c r="CS514" s="9"/>
      <c r="CT514" s="9"/>
      <c r="CU514" s="9"/>
      <c r="CV514" s="9"/>
      <c r="CW514" s="9"/>
      <c r="CX514" s="9"/>
      <c r="CY514" s="9"/>
      <c r="CZ514" s="9"/>
      <c r="DA514" s="9"/>
      <c r="DB514" s="9"/>
      <c r="DC514" s="9"/>
      <c r="DD514" s="9"/>
      <c r="DE514" s="9"/>
      <c r="DF514" s="9"/>
      <c r="DG514" s="9"/>
      <c r="DH514" s="9"/>
      <c r="DI514" s="9"/>
      <c r="DJ514" s="9"/>
      <c r="DK514" s="9"/>
      <c r="DL514" s="9"/>
      <c r="DM514" s="9"/>
      <c r="DN514" s="9"/>
      <c r="DO514" s="9"/>
      <c r="DP514" s="9"/>
      <c r="DQ514" s="9"/>
      <c r="DR514" s="9"/>
      <c r="DS514" s="9"/>
      <c r="DT514" s="9"/>
      <c r="DU514" s="9"/>
      <c r="DV514" s="9"/>
      <c r="DW514" s="9"/>
      <c r="DX514" s="9"/>
      <c r="DY514" s="9"/>
      <c r="DZ514" s="9"/>
      <c r="EA514" s="9"/>
      <c r="EB514" s="9"/>
      <c r="EC514" s="9"/>
      <c r="ED514" s="9"/>
      <c r="EE514" s="9"/>
      <c r="EF514" s="9"/>
      <c r="EG514" s="9"/>
      <c r="EH514" s="9"/>
      <c r="EI514" s="9"/>
      <c r="EJ514" s="9"/>
      <c r="EK514" s="9"/>
      <c r="EL514" s="9"/>
    </row>
    <row r="515" spans="1:142" x14ac:dyDescent="0.35">
      <c r="A515" s="9">
        <v>900444953</v>
      </c>
      <c r="B515" s="19">
        <v>4</v>
      </c>
      <c r="C515" s="9" t="str">
        <f>VLOOKUP(A515,'[1]terceros cto'!A$1:B$65536,2,0)</f>
        <v>INGENIERÍA Y GESTIÓN DE CALIDAD Y M</v>
      </c>
      <c r="D515" s="20" t="str">
        <f>VLOOKUP(C515,'[1]terceros cto'!B$1:F$65536,5,0)</f>
        <v>contabilidad.ingeqma@gmail.com</v>
      </c>
      <c r="E515" s="21" t="s">
        <v>2252</v>
      </c>
      <c r="F515" s="9" t="str">
        <f>VLOOKUP(C515,'[1]terceros cto'!B$1:D$65536,3,0)</f>
        <v>paipa</v>
      </c>
      <c r="G515" s="21">
        <v>15516</v>
      </c>
      <c r="H515" s="9">
        <v>212</v>
      </c>
      <c r="I515" s="28">
        <v>375005</v>
      </c>
      <c r="J515" s="29">
        <v>0</v>
      </c>
      <c r="K515" s="22">
        <v>0</v>
      </c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  <c r="CF515" s="9"/>
      <c r="CG515" s="9"/>
      <c r="CH515" s="9"/>
      <c r="CI515" s="9"/>
      <c r="CJ515" s="9"/>
      <c r="CK515" s="9"/>
      <c r="CL515" s="9"/>
      <c r="CM515" s="9"/>
      <c r="CN515" s="9"/>
      <c r="CO515" s="9"/>
      <c r="CP515" s="9"/>
      <c r="CQ515" s="9"/>
      <c r="CR515" s="9"/>
      <c r="CS515" s="9"/>
      <c r="CT515" s="9"/>
      <c r="CU515" s="9"/>
      <c r="CV515" s="9"/>
      <c r="CW515" s="9"/>
      <c r="CX515" s="9"/>
      <c r="CY515" s="9"/>
      <c r="CZ515" s="9"/>
      <c r="DA515" s="9"/>
      <c r="DB515" s="9"/>
      <c r="DC515" s="9"/>
      <c r="DD515" s="9"/>
      <c r="DE515" s="9"/>
      <c r="DF515" s="9"/>
      <c r="DG515" s="9"/>
      <c r="DH515" s="9"/>
      <c r="DI515" s="9"/>
      <c r="DJ515" s="9"/>
      <c r="DK515" s="9"/>
      <c r="DL515" s="9"/>
      <c r="DM515" s="9"/>
      <c r="DN515" s="9"/>
      <c r="DO515" s="9"/>
      <c r="DP515" s="9"/>
      <c r="DQ515" s="9"/>
      <c r="DR515" s="9"/>
      <c r="DS515" s="9"/>
      <c r="DT515" s="9"/>
      <c r="DU515" s="9"/>
      <c r="DV515" s="9"/>
      <c r="DW515" s="9"/>
      <c r="DX515" s="9"/>
      <c r="DY515" s="9"/>
      <c r="DZ515" s="9"/>
      <c r="EA515" s="9"/>
      <c r="EB515" s="9"/>
      <c r="EC515" s="9"/>
      <c r="ED515" s="9"/>
      <c r="EE515" s="9"/>
      <c r="EF515" s="9"/>
      <c r="EG515" s="9"/>
      <c r="EH515" s="9"/>
      <c r="EI515" s="9"/>
      <c r="EJ515" s="9"/>
      <c r="EK515" s="9"/>
      <c r="EL515" s="9"/>
    </row>
    <row r="516" spans="1:142" x14ac:dyDescent="0.35">
      <c r="A516" s="9">
        <v>900449016</v>
      </c>
      <c r="B516" s="19">
        <v>0</v>
      </c>
      <c r="C516" s="9" t="str">
        <f>VLOOKUP(A516,'[1]terceros cto'!A$1:B$65536,2,0)</f>
        <v>PLUMA BLANCA CE</v>
      </c>
      <c r="D516" s="20" t="str">
        <f>VLOOKUP(C516,'[1]terceros cto'!B$1:F$65536,5,0)</f>
        <v>comercialycompras@plumablancace.com</v>
      </c>
      <c r="E516" s="21" t="s">
        <v>2252</v>
      </c>
      <c r="F516" s="9" t="str">
        <f>VLOOKUP(C516,'[1]terceros cto'!B$1:D$65536,3,0)</f>
        <v>Paipa</v>
      </c>
      <c r="G516" s="21">
        <v>15516</v>
      </c>
      <c r="H516" s="9">
        <v>212</v>
      </c>
      <c r="I516" s="30">
        <v>158176</v>
      </c>
      <c r="J516" s="31">
        <v>0</v>
      </c>
      <c r="K516" s="22">
        <v>0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D516" s="9"/>
      <c r="CE516" s="9"/>
      <c r="CF516" s="9"/>
      <c r="CG516" s="9"/>
      <c r="CH516" s="9"/>
      <c r="CI516" s="9"/>
      <c r="CJ516" s="9"/>
      <c r="CK516" s="9"/>
      <c r="CL516" s="9"/>
      <c r="CM516" s="9"/>
      <c r="CN516" s="9"/>
      <c r="CO516" s="9"/>
      <c r="CP516" s="9"/>
      <c r="CQ516" s="9"/>
      <c r="CR516" s="9"/>
      <c r="CS516" s="9"/>
      <c r="CT516" s="9"/>
      <c r="CU516" s="9"/>
      <c r="CV516" s="9"/>
      <c r="CW516" s="9"/>
      <c r="CX516" s="9"/>
      <c r="CY516" s="9"/>
      <c r="CZ516" s="9"/>
      <c r="DA516" s="9"/>
      <c r="DB516" s="9"/>
      <c r="DC516" s="9"/>
      <c r="DD516" s="9"/>
      <c r="DE516" s="9"/>
      <c r="DF516" s="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x14ac:dyDescent="0.35">
      <c r="A517" s="9">
        <v>900449430</v>
      </c>
      <c r="B517" s="19">
        <v>7</v>
      </c>
      <c r="C517" s="9" t="str">
        <f>VLOOKUP(A517,'[1]terceros cto'!A$1:B$65536,2,0)</f>
        <v>VEDECO SAS</v>
      </c>
      <c r="D517" s="20" t="str">
        <f>VLOOKUP(C517,'[1]terceros cto'!B$1:F$65536,5,0)</f>
        <v>almacen@vedeco.com.co</v>
      </c>
      <c r="E517" s="21" t="s">
        <v>2252</v>
      </c>
      <c r="F517" s="9" t="str">
        <f>VLOOKUP(C517,'[1]terceros cto'!B$1:D$65536,3,0)</f>
        <v>Paipa</v>
      </c>
      <c r="G517" s="21">
        <v>15516</v>
      </c>
      <c r="H517" s="9">
        <v>212</v>
      </c>
      <c r="I517" s="28">
        <v>271805</v>
      </c>
      <c r="J517" s="29">
        <v>0</v>
      </c>
      <c r="K517" s="22">
        <v>0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  <c r="CJ517" s="9"/>
      <c r="CK517" s="9"/>
      <c r="CL517" s="9"/>
      <c r="CM517" s="9"/>
      <c r="CN517" s="9"/>
      <c r="CO517" s="9"/>
      <c r="CP517" s="9"/>
      <c r="CQ517" s="9"/>
      <c r="CR517" s="9"/>
      <c r="CS517" s="9"/>
      <c r="CT517" s="9"/>
      <c r="CU517" s="9"/>
      <c r="CV517" s="9"/>
      <c r="CW517" s="9"/>
      <c r="CX517" s="9"/>
      <c r="CY517" s="9"/>
      <c r="CZ517" s="9"/>
      <c r="DA517" s="9"/>
      <c r="DB517" s="9"/>
      <c r="DC517" s="9"/>
      <c r="DD517" s="9"/>
      <c r="DE517" s="9"/>
      <c r="DF517" s="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x14ac:dyDescent="0.35">
      <c r="A518" s="9">
        <v>900453256</v>
      </c>
      <c r="B518" s="19">
        <v>7</v>
      </c>
      <c r="C518" s="9" t="str">
        <f>VLOOKUP(A518,'[1]terceros cto'!A$1:B$65536,2,0)</f>
        <v>PIXEL M E</v>
      </c>
      <c r="D518" s="20" t="str">
        <f>VLOOKUP(C518,'[1]terceros cto'!B$1:F$65536,5,0)</f>
        <v>facturacionpixel@gmail.com</v>
      </c>
      <c r="E518" s="21" t="s">
        <v>2252</v>
      </c>
      <c r="F518" s="9" t="str">
        <f>VLOOKUP(C518,'[1]terceros cto'!B$1:D$65536,3,0)</f>
        <v>Paipa</v>
      </c>
      <c r="G518" s="21">
        <v>15516</v>
      </c>
      <c r="H518" s="9">
        <v>212</v>
      </c>
      <c r="I518" s="30">
        <v>175062</v>
      </c>
      <c r="J518" s="31">
        <v>0</v>
      </c>
      <c r="K518" s="22">
        <v>0</v>
      </c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  <c r="CJ518" s="9"/>
      <c r="CK518" s="9"/>
      <c r="CL518" s="9"/>
      <c r="CM518" s="9"/>
      <c r="CN518" s="9"/>
      <c r="CO518" s="9"/>
      <c r="CP518" s="9"/>
      <c r="CQ518" s="9"/>
      <c r="CR518" s="9"/>
      <c r="CS518" s="9"/>
      <c r="CT518" s="9"/>
      <c r="CU518" s="9"/>
      <c r="CV518" s="9"/>
      <c r="CW518" s="9"/>
      <c r="CX518" s="9"/>
      <c r="CY518" s="9"/>
      <c r="CZ518" s="9"/>
      <c r="DA518" s="9"/>
      <c r="DB518" s="9"/>
      <c r="DC518" s="9"/>
      <c r="DD518" s="9"/>
      <c r="DE518" s="9"/>
      <c r="DF518" s="9"/>
      <c r="DG518" s="9"/>
      <c r="DH518" s="9"/>
      <c r="DI518" s="9"/>
      <c r="DJ518" s="9"/>
      <c r="DK518" s="9"/>
      <c r="DL518" s="9"/>
      <c r="DM518" s="9"/>
      <c r="DN518" s="9"/>
      <c r="DO518" s="9"/>
      <c r="DP518" s="9"/>
      <c r="DQ518" s="9"/>
      <c r="DR518" s="9"/>
      <c r="DS518" s="9"/>
      <c r="DT518" s="9"/>
      <c r="DU518" s="9"/>
      <c r="DV518" s="9"/>
      <c r="DW518" s="9"/>
      <c r="DX518" s="9"/>
      <c r="DY518" s="9"/>
      <c r="DZ518" s="9"/>
      <c r="EA518" s="9"/>
      <c r="EB518" s="9"/>
      <c r="EC518" s="9"/>
      <c r="ED518" s="9"/>
      <c r="EE518" s="9"/>
      <c r="EF518" s="9"/>
      <c r="EG518" s="9"/>
      <c r="EH518" s="9"/>
      <c r="EI518" s="9"/>
      <c r="EJ518" s="9"/>
      <c r="EK518" s="9"/>
      <c r="EL518" s="9"/>
    </row>
    <row r="519" spans="1:142" x14ac:dyDescent="0.35">
      <c r="A519" s="9">
        <v>900453454</v>
      </c>
      <c r="B519" s="19">
        <v>9</v>
      </c>
      <c r="C519" s="9" t="str">
        <f>VLOOKUP(A519,'[1]terceros cto'!A$1:B$65536,2,0)</f>
        <v>GMC REFRIGERACIÓN SAS</v>
      </c>
      <c r="D519" s="20" t="str">
        <f>VLOOKUP(C519,'[1]terceros cto'!B$1:F$65536,5,0)</f>
        <v>javiererneysanchezrodriguez@gmail.com</v>
      </c>
      <c r="E519" s="21" t="s">
        <v>2252</v>
      </c>
      <c r="F519" s="9" t="str">
        <f>VLOOKUP(C519,'[1]terceros cto'!B$1:D$65536,3,0)</f>
        <v>PAIPA</v>
      </c>
      <c r="G519" s="21">
        <v>15516</v>
      </c>
      <c r="H519" s="9">
        <v>212</v>
      </c>
      <c r="I519" s="28">
        <v>150000</v>
      </c>
      <c r="J519" s="29">
        <v>0</v>
      </c>
      <c r="K519" s="22">
        <v>0</v>
      </c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9"/>
      <c r="CG519" s="9"/>
      <c r="CH519" s="9"/>
      <c r="CI519" s="9"/>
      <c r="CJ519" s="9"/>
      <c r="CK519" s="9"/>
      <c r="CL519" s="9"/>
      <c r="CM519" s="9"/>
      <c r="CN519" s="9"/>
      <c r="CO519" s="9"/>
      <c r="CP519" s="9"/>
      <c r="CQ519" s="9"/>
      <c r="CR519" s="9"/>
      <c r="CS519" s="9"/>
      <c r="CT519" s="9"/>
      <c r="CU519" s="9"/>
      <c r="CV519" s="9"/>
      <c r="CW519" s="9"/>
      <c r="CX519" s="9"/>
      <c r="CY519" s="9"/>
      <c r="CZ519" s="9"/>
      <c r="DA519" s="9"/>
      <c r="DB519" s="9"/>
      <c r="DC519" s="9"/>
      <c r="DD519" s="9"/>
      <c r="DE519" s="9"/>
      <c r="DF519" s="9"/>
      <c r="DG519" s="9"/>
      <c r="DH519" s="9"/>
      <c r="DI519" s="9"/>
      <c r="DJ519" s="9"/>
      <c r="DK519" s="9"/>
      <c r="DL519" s="9"/>
      <c r="DM519" s="9"/>
      <c r="DN519" s="9"/>
      <c r="DO519" s="9"/>
      <c r="DP519" s="9"/>
      <c r="DQ519" s="9"/>
      <c r="DR519" s="9"/>
      <c r="DS519" s="9"/>
      <c r="DT519" s="9"/>
      <c r="DU519" s="9"/>
      <c r="DV519" s="9"/>
      <c r="DW519" s="9"/>
      <c r="DX519" s="9"/>
      <c r="DY519" s="9"/>
      <c r="DZ519" s="9"/>
      <c r="EA519" s="9"/>
      <c r="EB519" s="9"/>
      <c r="EC519" s="9"/>
      <c r="ED519" s="9"/>
      <c r="EE519" s="9"/>
      <c r="EF519" s="9"/>
      <c r="EG519" s="9"/>
      <c r="EH519" s="9"/>
      <c r="EI519" s="9"/>
      <c r="EJ519" s="9"/>
      <c r="EK519" s="9"/>
      <c r="EL519" s="9"/>
    </row>
    <row r="520" spans="1:142" x14ac:dyDescent="0.35">
      <c r="A520" s="9">
        <v>900455493</v>
      </c>
      <c r="B520" s="19">
        <v>5</v>
      </c>
      <c r="C520" s="9" t="str">
        <f>VLOOKUP(A520,'[1]terceros cto'!A$1:B$65536,2,0)</f>
        <v>EGONET SAS</v>
      </c>
      <c r="D520" s="20" t="str">
        <f>VLOOKUP(C520,'[1]terceros cto'!B$1:F$65536,5,0)</f>
        <v>contabilidad@egonet.co</v>
      </c>
      <c r="E520" s="21" t="s">
        <v>2252</v>
      </c>
      <c r="F520" s="9" t="str">
        <f>VLOOKUP(C520,'[1]terceros cto'!B$1:D$65536,3,0)</f>
        <v>CARRERA 23 N 24 03</v>
      </c>
      <c r="G520" s="21">
        <v>15516</v>
      </c>
      <c r="H520" s="9">
        <v>212</v>
      </c>
      <c r="I520" s="30">
        <v>6718620</v>
      </c>
      <c r="J520" s="31">
        <v>0</v>
      </c>
      <c r="K520" s="22">
        <v>0</v>
      </c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  <c r="CJ520" s="9"/>
      <c r="CK520" s="9"/>
      <c r="CL520" s="9"/>
      <c r="CM520" s="9"/>
      <c r="CN520" s="9"/>
      <c r="CO520" s="9"/>
      <c r="CP520" s="9"/>
      <c r="CQ520" s="9"/>
      <c r="CR520" s="9"/>
      <c r="CS520" s="9"/>
      <c r="CT520" s="9"/>
      <c r="CU520" s="9"/>
      <c r="CV520" s="9"/>
      <c r="CW520" s="9"/>
      <c r="CX520" s="9"/>
      <c r="CY520" s="9"/>
      <c r="CZ520" s="9"/>
      <c r="DA520" s="9"/>
      <c r="DB520" s="9"/>
      <c r="DC520" s="9"/>
      <c r="DD520" s="9"/>
      <c r="DE520" s="9"/>
      <c r="DF520" s="9"/>
      <c r="DG520" s="9"/>
      <c r="DH520" s="9"/>
      <c r="DI520" s="9"/>
      <c r="DJ520" s="9"/>
      <c r="DK520" s="9"/>
      <c r="DL520" s="9"/>
      <c r="DM520" s="9"/>
      <c r="DN520" s="9"/>
      <c r="DO520" s="9"/>
      <c r="DP520" s="9"/>
      <c r="DQ520" s="9"/>
      <c r="DR520" s="9"/>
      <c r="DS520" s="9"/>
      <c r="DT520" s="9"/>
      <c r="DU520" s="9"/>
      <c r="DV520" s="9"/>
      <c r="DW520" s="9"/>
      <c r="DX520" s="9"/>
      <c r="DY520" s="9"/>
      <c r="DZ520" s="9"/>
      <c r="EA520" s="9"/>
      <c r="EB520" s="9"/>
      <c r="EC520" s="9"/>
      <c r="ED520" s="9"/>
      <c r="EE520" s="9"/>
      <c r="EF520" s="9"/>
      <c r="EG520" s="9"/>
      <c r="EH520" s="9"/>
      <c r="EI520" s="9"/>
      <c r="EJ520" s="9"/>
      <c r="EK520" s="9"/>
      <c r="EL520" s="9"/>
    </row>
    <row r="521" spans="1:142" x14ac:dyDescent="0.35">
      <c r="A521" s="9">
        <v>900461405</v>
      </c>
      <c r="B521" s="19">
        <v>1</v>
      </c>
      <c r="C521" s="9" t="str">
        <f>VLOOKUP(A521,'[1]terceros cto'!A$1:B$65536,2,0)</f>
        <v>INVERSIONES CARVAZUL SAS</v>
      </c>
      <c r="D521" s="20" t="str">
        <f>VLOOKUP(C521,'[1]terceros cto'!B$1:F$65536,5,0)</f>
        <v>sancayetano-paipa@hotmail.com</v>
      </c>
      <c r="E521" s="21" t="s">
        <v>2252</v>
      </c>
      <c r="F521" s="9" t="str">
        <f>VLOOKUP(C521,'[1]terceros cto'!B$1:D$65536,3,0)</f>
        <v>PAIPA</v>
      </c>
      <c r="G521" s="21">
        <v>15516</v>
      </c>
      <c r="H521" s="9">
        <v>212</v>
      </c>
      <c r="I521" s="28">
        <v>1103962</v>
      </c>
      <c r="J521" s="29">
        <v>0</v>
      </c>
      <c r="K521" s="22">
        <v>0</v>
      </c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  <c r="CJ521" s="9"/>
      <c r="CK521" s="9"/>
      <c r="CL521" s="9"/>
      <c r="CM521" s="9"/>
      <c r="CN521" s="9"/>
      <c r="CO521" s="9"/>
      <c r="CP521" s="9"/>
      <c r="CQ521" s="9"/>
      <c r="CR521" s="9"/>
      <c r="CS521" s="9"/>
      <c r="CT521" s="9"/>
      <c r="CU521" s="9"/>
      <c r="CV521" s="9"/>
      <c r="CW521" s="9"/>
      <c r="CX521" s="9"/>
      <c r="CY521" s="9"/>
      <c r="CZ521" s="9"/>
      <c r="DA521" s="9"/>
      <c r="DB521" s="9"/>
      <c r="DC521" s="9"/>
      <c r="DD521" s="9"/>
      <c r="DE521" s="9"/>
      <c r="DF521" s="9"/>
      <c r="DG521" s="9"/>
      <c r="DH521" s="9"/>
      <c r="DI521" s="9"/>
      <c r="DJ521" s="9"/>
      <c r="DK521" s="9"/>
      <c r="DL521" s="9"/>
      <c r="DM521" s="9"/>
      <c r="DN521" s="9"/>
      <c r="DO521" s="9"/>
      <c r="DP521" s="9"/>
      <c r="DQ521" s="9"/>
      <c r="DR521" s="9"/>
      <c r="DS521" s="9"/>
      <c r="DT521" s="9"/>
      <c r="DU521" s="9"/>
      <c r="DV521" s="9"/>
      <c r="DW521" s="9"/>
      <c r="DX521" s="9"/>
      <c r="DY521" s="9"/>
      <c r="DZ521" s="9"/>
      <c r="EA521" s="9"/>
      <c r="EB521" s="9"/>
      <c r="EC521" s="9"/>
      <c r="ED521" s="9"/>
      <c r="EE521" s="9"/>
      <c r="EF521" s="9"/>
      <c r="EG521" s="9"/>
      <c r="EH521" s="9"/>
      <c r="EI521" s="9"/>
      <c r="EJ521" s="9"/>
      <c r="EK521" s="9"/>
      <c r="EL521" s="9"/>
    </row>
    <row r="522" spans="1:142" x14ac:dyDescent="0.35">
      <c r="A522" s="9">
        <v>900474727</v>
      </c>
      <c r="B522" s="19">
        <v>4</v>
      </c>
      <c r="C522" s="9" t="str">
        <f>VLOOKUP(A522,'[1]terceros cto'!A$1:B$65536,2,0)</f>
        <v>MINISTERIO DE SALUD Y PROTECCION SO</v>
      </c>
      <c r="D522" s="20" t="str">
        <f>VLOOKUP(C522,'[1]terceros cto'!B$1:F$65536,5,0)</f>
        <v>cascencio@minsalud.gov.co</v>
      </c>
      <c r="E522" s="21" t="s">
        <v>2252</v>
      </c>
      <c r="F522" s="9" t="str">
        <f>VLOOKUP(C522,'[1]terceros cto'!B$1:D$65536,3,0)</f>
        <v>PAIPA</v>
      </c>
      <c r="G522" s="21">
        <v>15516</v>
      </c>
      <c r="H522" s="9">
        <v>212</v>
      </c>
      <c r="I522" s="30">
        <v>100000</v>
      </c>
      <c r="J522" s="31">
        <v>0</v>
      </c>
      <c r="K522" s="22">
        <v>0</v>
      </c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  <c r="CJ522" s="9"/>
      <c r="CK522" s="9"/>
      <c r="CL522" s="9"/>
      <c r="CM522" s="9"/>
      <c r="CN522" s="9"/>
      <c r="CO522" s="9"/>
      <c r="CP522" s="9"/>
      <c r="CQ522" s="9"/>
      <c r="CR522" s="9"/>
      <c r="CS522" s="9"/>
      <c r="CT522" s="9"/>
      <c r="CU522" s="9"/>
      <c r="CV522" s="9"/>
      <c r="CW522" s="9"/>
      <c r="CX522" s="9"/>
      <c r="CY522" s="9"/>
      <c r="CZ522" s="9"/>
      <c r="DA522" s="9"/>
      <c r="DB522" s="9"/>
      <c r="DC522" s="9"/>
      <c r="DD522" s="9"/>
      <c r="DE522" s="9"/>
      <c r="DF522" s="9"/>
      <c r="DG522" s="9"/>
      <c r="DH522" s="9"/>
      <c r="DI522" s="9"/>
      <c r="DJ522" s="9"/>
      <c r="DK522" s="9"/>
      <c r="DL522" s="9"/>
      <c r="DM522" s="9"/>
      <c r="DN522" s="9"/>
      <c r="DO522" s="9"/>
      <c r="DP522" s="9"/>
      <c r="DQ522" s="9"/>
      <c r="DR522" s="9"/>
      <c r="DS522" s="9"/>
      <c r="DT522" s="9"/>
      <c r="DU522" s="9"/>
      <c r="DV522" s="9"/>
      <c r="DW522" s="9"/>
      <c r="DX522" s="9"/>
      <c r="DY522" s="9"/>
      <c r="DZ522" s="9"/>
      <c r="EA522" s="9"/>
      <c r="EB522" s="9"/>
      <c r="EC522" s="9"/>
      <c r="ED522" s="9"/>
      <c r="EE522" s="9"/>
      <c r="EF522" s="9"/>
      <c r="EG522" s="9"/>
      <c r="EH522" s="9"/>
      <c r="EI522" s="9"/>
      <c r="EJ522" s="9"/>
      <c r="EK522" s="9"/>
      <c r="EL522" s="9"/>
    </row>
    <row r="523" spans="1:142" x14ac:dyDescent="0.35">
      <c r="A523" s="9">
        <v>900476443</v>
      </c>
      <c r="B523" s="19">
        <v>7</v>
      </c>
      <c r="C523" s="9" t="str">
        <f>VLOOKUP(A523,'[1]terceros cto'!A$1:B$65536,2,0)</f>
        <v>IMPORTADORA GONZALEZ OSUNA SAS</v>
      </c>
      <c r="D523" s="20" t="str">
        <f>VLOOKUP(C523,'[1]terceros cto'!B$1:F$65536,5,0)</f>
        <v>amparo.osuna@imgona.com</v>
      </c>
      <c r="E523" s="21" t="s">
        <v>2252</v>
      </c>
      <c r="F523" s="9" t="str">
        <f>VLOOKUP(C523,'[1]terceros cto'!B$1:D$65536,3,0)</f>
        <v>PAIPA</v>
      </c>
      <c r="G523" s="21">
        <v>15516</v>
      </c>
      <c r="H523" s="9">
        <v>212</v>
      </c>
      <c r="I523" s="28">
        <v>179015</v>
      </c>
      <c r="J523" s="29">
        <v>0</v>
      </c>
      <c r="K523" s="22">
        <v>0</v>
      </c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  <c r="CJ523" s="9"/>
      <c r="CK523" s="9"/>
      <c r="CL523" s="9"/>
      <c r="CM523" s="9"/>
      <c r="CN523" s="9"/>
      <c r="CO523" s="9"/>
      <c r="CP523" s="9"/>
      <c r="CQ523" s="9"/>
      <c r="CR523" s="9"/>
      <c r="CS523" s="9"/>
      <c r="CT523" s="9"/>
      <c r="CU523" s="9"/>
      <c r="CV523" s="9"/>
      <c r="CW523" s="9"/>
      <c r="CX523" s="9"/>
      <c r="CY523" s="9"/>
      <c r="CZ523" s="9"/>
      <c r="DA523" s="9"/>
      <c r="DB523" s="9"/>
      <c r="DC523" s="9"/>
      <c r="DD523" s="9"/>
      <c r="DE523" s="9"/>
      <c r="DF523" s="9"/>
      <c r="DG523" s="9"/>
      <c r="DH523" s="9"/>
      <c r="DI523" s="9"/>
      <c r="DJ523" s="9"/>
      <c r="DK523" s="9"/>
      <c r="DL523" s="9"/>
      <c r="DM523" s="9"/>
      <c r="DN523" s="9"/>
      <c r="DO523" s="9"/>
      <c r="DP523" s="9"/>
      <c r="DQ523" s="9"/>
      <c r="DR523" s="9"/>
      <c r="DS523" s="9"/>
      <c r="DT523" s="9"/>
      <c r="DU523" s="9"/>
      <c r="DV523" s="9"/>
      <c r="DW523" s="9"/>
      <c r="DX523" s="9"/>
      <c r="DY523" s="9"/>
      <c r="DZ523" s="9"/>
      <c r="EA523" s="9"/>
      <c r="EB523" s="9"/>
      <c r="EC523" s="9"/>
      <c r="ED523" s="9"/>
      <c r="EE523" s="9"/>
      <c r="EF523" s="9"/>
      <c r="EG523" s="9"/>
      <c r="EH523" s="9"/>
      <c r="EI523" s="9"/>
      <c r="EJ523" s="9"/>
      <c r="EK523" s="9"/>
      <c r="EL523" s="9"/>
    </row>
    <row r="524" spans="1:142" x14ac:dyDescent="0.35">
      <c r="A524" s="9">
        <v>900483339</v>
      </c>
      <c r="B524" s="19">
        <v>8</v>
      </c>
      <c r="C524" s="9" t="str">
        <f>VLOOKUP(A524,'[1]terceros cto'!A$1:B$65536,2,0)</f>
        <v>PROCESOS Y SERVICIOS INTEGRALES SAS</v>
      </c>
      <c r="D524" s="20" t="str">
        <f>VLOOKUP(C524,'[1]terceros cto'!B$1:F$65536,5,0)</f>
        <v>procervisas2011@gmail.com</v>
      </c>
      <c r="E524" s="21" t="s">
        <v>2252</v>
      </c>
      <c r="F524" s="9" t="str">
        <f>VLOOKUP(C524,'[1]terceros cto'!B$1:D$65536,3,0)</f>
        <v>PAIPA</v>
      </c>
      <c r="G524" s="21">
        <v>15516</v>
      </c>
      <c r="H524" s="9">
        <v>212</v>
      </c>
      <c r="I524" s="30">
        <v>40000</v>
      </c>
      <c r="J524" s="31">
        <v>0</v>
      </c>
      <c r="K524" s="22">
        <v>0</v>
      </c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  <c r="CL524" s="9"/>
      <c r="CM524" s="9"/>
      <c r="CN524" s="9"/>
      <c r="CO524" s="9"/>
      <c r="CP524" s="9"/>
      <c r="CQ524" s="9"/>
      <c r="CR524" s="9"/>
      <c r="CS524" s="9"/>
      <c r="CT524" s="9"/>
      <c r="CU524" s="9"/>
      <c r="CV524" s="9"/>
      <c r="CW524" s="9"/>
      <c r="CX524" s="9"/>
      <c r="CY524" s="9"/>
      <c r="CZ524" s="9"/>
      <c r="DA524" s="9"/>
      <c r="DB524" s="9"/>
      <c r="DC524" s="9"/>
      <c r="DD524" s="9"/>
      <c r="DE524" s="9"/>
      <c r="DF524" s="9"/>
      <c r="DG524" s="9"/>
      <c r="DH524" s="9"/>
      <c r="DI524" s="9"/>
      <c r="DJ524" s="9"/>
      <c r="DK524" s="9"/>
      <c r="DL524" s="9"/>
      <c r="DM524" s="9"/>
      <c r="DN524" s="9"/>
      <c r="DO524" s="9"/>
      <c r="DP524" s="9"/>
      <c r="DQ524" s="9"/>
      <c r="DR524" s="9"/>
      <c r="DS524" s="9"/>
      <c r="DT524" s="9"/>
      <c r="DU524" s="9"/>
      <c r="DV524" s="9"/>
      <c r="DW524" s="9"/>
      <c r="DX524" s="9"/>
      <c r="DY524" s="9"/>
      <c r="DZ524" s="9"/>
      <c r="EA524" s="9"/>
      <c r="EB524" s="9"/>
      <c r="EC524" s="9"/>
      <c r="ED524" s="9"/>
      <c r="EE524" s="9"/>
      <c r="EF524" s="9"/>
      <c r="EG524" s="9"/>
      <c r="EH524" s="9"/>
      <c r="EI524" s="9"/>
      <c r="EJ524" s="9"/>
      <c r="EK524" s="9"/>
      <c r="EL524" s="9"/>
    </row>
    <row r="525" spans="1:142" x14ac:dyDescent="0.35">
      <c r="A525" s="9">
        <v>900488424</v>
      </c>
      <c r="B525" s="19">
        <v>9</v>
      </c>
      <c r="C525" s="9" t="str">
        <f>VLOOKUP(A525,'[1]terceros cto'!A$1:B$65536,2,0)</f>
        <v>OLIMPO SERVICIOS SAS</v>
      </c>
      <c r="D525" s="20" t="str">
        <f>VLOOKUP(C525,'[1]terceros cto'!B$1:F$65536,5,0)</f>
        <v>olimposervicios2016@gmail.com</v>
      </c>
      <c r="E525" s="21" t="s">
        <v>2252</v>
      </c>
      <c r="F525" s="9" t="str">
        <f>VLOOKUP(C525,'[1]terceros cto'!B$1:D$65536,3,0)</f>
        <v>Paipa</v>
      </c>
      <c r="G525" s="21">
        <v>15516</v>
      </c>
      <c r="H525" s="9">
        <v>212</v>
      </c>
      <c r="I525" s="28">
        <v>173856</v>
      </c>
      <c r="J525" s="29">
        <v>0</v>
      </c>
      <c r="K525" s="22">
        <v>0</v>
      </c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  <c r="CJ525" s="9"/>
      <c r="CK525" s="9"/>
      <c r="CL525" s="9"/>
      <c r="CM525" s="9"/>
      <c r="CN525" s="9"/>
      <c r="CO525" s="9"/>
      <c r="CP525" s="9"/>
      <c r="CQ525" s="9"/>
      <c r="CR525" s="9"/>
      <c r="CS525" s="9"/>
      <c r="CT525" s="9"/>
      <c r="CU525" s="9"/>
      <c r="CV525" s="9"/>
      <c r="CW525" s="9"/>
      <c r="CX525" s="9"/>
      <c r="CY525" s="9"/>
      <c r="CZ525" s="9"/>
      <c r="DA525" s="9"/>
      <c r="DB525" s="9"/>
      <c r="DC525" s="9"/>
      <c r="DD525" s="9"/>
      <c r="DE525" s="9"/>
      <c r="DF525" s="9"/>
      <c r="DG525" s="9"/>
      <c r="DH525" s="9"/>
      <c r="DI525" s="9"/>
      <c r="DJ525" s="9"/>
      <c r="DK525" s="9"/>
      <c r="DL525" s="9"/>
      <c r="DM525" s="9"/>
      <c r="DN525" s="9"/>
      <c r="DO525" s="9"/>
      <c r="DP525" s="9"/>
      <c r="DQ525" s="9"/>
      <c r="DR525" s="9"/>
      <c r="DS525" s="9"/>
      <c r="DT525" s="9"/>
      <c r="DU525" s="9"/>
      <c r="DV525" s="9"/>
      <c r="DW525" s="9"/>
      <c r="DX525" s="9"/>
      <c r="DY525" s="9"/>
      <c r="DZ525" s="9"/>
      <c r="EA525" s="9"/>
      <c r="EB525" s="9"/>
      <c r="EC525" s="9"/>
      <c r="ED525" s="9"/>
      <c r="EE525" s="9"/>
      <c r="EF525" s="9"/>
      <c r="EG525" s="9"/>
      <c r="EH525" s="9"/>
      <c r="EI525" s="9"/>
      <c r="EJ525" s="9"/>
      <c r="EK525" s="9"/>
      <c r="EL525" s="9"/>
    </row>
    <row r="526" spans="1:142" x14ac:dyDescent="0.35">
      <c r="A526" s="9">
        <v>900491537</v>
      </c>
      <c r="B526" s="19">
        <v>3</v>
      </c>
      <c r="C526" s="9" t="str">
        <f>VLOOKUP(A526,'[1]terceros cto'!A$1:B$65536,2,0)</f>
        <v>ARQUITECTURA LOTUS SAS</v>
      </c>
      <c r="D526" s="20" t="str">
        <f>VLOOKUP(C526,'[1]terceros cto'!B$1:F$65536,5,0)</f>
        <v>arquitecturalotus@gmail.com</v>
      </c>
      <c r="E526" s="21">
        <f>VLOOKUP(C526,'[1]terceros cto'!B$1:E$65536,4,0)</f>
        <v>3203446759</v>
      </c>
      <c r="F526" s="9" t="str">
        <f>VLOOKUP(C526,'[1]terceros cto'!B$1:D$65536,3,0)</f>
        <v>CALLE 25 A 18 CA 2</v>
      </c>
      <c r="G526" s="21">
        <v>15516</v>
      </c>
      <c r="H526" s="9">
        <v>212</v>
      </c>
      <c r="I526" s="30">
        <v>19986873</v>
      </c>
      <c r="J526" s="31">
        <v>0</v>
      </c>
      <c r="K526" s="22">
        <v>0</v>
      </c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  <c r="CL526" s="9"/>
      <c r="CM526" s="9"/>
      <c r="CN526" s="9"/>
      <c r="CO526" s="9"/>
      <c r="CP526" s="9"/>
      <c r="CQ526" s="9"/>
      <c r="CR526" s="9"/>
      <c r="CS526" s="9"/>
      <c r="CT526" s="9"/>
      <c r="CU526" s="9"/>
      <c r="CV526" s="9"/>
      <c r="CW526" s="9"/>
      <c r="CX526" s="9"/>
      <c r="CY526" s="9"/>
      <c r="CZ526" s="9"/>
      <c r="DA526" s="9"/>
      <c r="DB526" s="9"/>
      <c r="DC526" s="9"/>
      <c r="DD526" s="9"/>
      <c r="DE526" s="9"/>
      <c r="DF526" s="9"/>
      <c r="DG526" s="9"/>
      <c r="DH526" s="9"/>
      <c r="DI526" s="9"/>
      <c r="DJ526" s="9"/>
      <c r="DK526" s="9"/>
      <c r="DL526" s="9"/>
      <c r="DM526" s="9"/>
      <c r="DN526" s="9"/>
      <c r="DO526" s="9"/>
      <c r="DP526" s="9"/>
      <c r="DQ526" s="9"/>
      <c r="DR526" s="9"/>
      <c r="DS526" s="9"/>
      <c r="DT526" s="9"/>
      <c r="DU526" s="9"/>
      <c r="DV526" s="9"/>
      <c r="DW526" s="9"/>
      <c r="DX526" s="9"/>
      <c r="DY526" s="9"/>
      <c r="DZ526" s="9"/>
      <c r="EA526" s="9"/>
      <c r="EB526" s="9"/>
      <c r="EC526" s="9"/>
      <c r="ED526" s="9"/>
      <c r="EE526" s="9"/>
      <c r="EF526" s="9"/>
      <c r="EG526" s="9"/>
      <c r="EH526" s="9"/>
      <c r="EI526" s="9"/>
      <c r="EJ526" s="9"/>
      <c r="EK526" s="9"/>
      <c r="EL526" s="9"/>
    </row>
    <row r="527" spans="1:142" x14ac:dyDescent="0.35">
      <c r="A527" s="9">
        <v>900520697</v>
      </c>
      <c r="B527" s="19">
        <v>9</v>
      </c>
      <c r="C527" s="9" t="str">
        <f>VLOOKUP(A527,'[1]terceros cto'!A$1:B$65536,2,0)</f>
        <v>ELPO SAS</v>
      </c>
      <c r="D527" s="20" t="str">
        <f>VLOOKUP(C527,'[1]terceros cto'!B$1:F$65536,5,0)</f>
        <v>elposas@gmail.com</v>
      </c>
      <c r="E527" s="21" t="s">
        <v>2252</v>
      </c>
      <c r="F527" s="9" t="str">
        <f>VLOOKUP(C527,'[1]terceros cto'!B$1:D$65536,3,0)</f>
        <v>CL 24 SUR 19 B 45</v>
      </c>
      <c r="G527" s="21">
        <v>15516</v>
      </c>
      <c r="H527" s="9">
        <v>212</v>
      </c>
      <c r="I527" s="28">
        <v>170000</v>
      </c>
      <c r="J527" s="29">
        <v>0</v>
      </c>
      <c r="K527" s="22">
        <v>0</v>
      </c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  <c r="CJ527" s="9"/>
      <c r="CK527" s="9"/>
      <c r="CL527" s="9"/>
      <c r="CM527" s="9"/>
      <c r="CN527" s="9"/>
      <c r="CO527" s="9"/>
      <c r="CP527" s="9"/>
      <c r="CQ527" s="9"/>
      <c r="CR527" s="9"/>
      <c r="CS527" s="9"/>
      <c r="CT527" s="9"/>
      <c r="CU527" s="9"/>
      <c r="CV527" s="9"/>
      <c r="CW527" s="9"/>
      <c r="CX527" s="9"/>
      <c r="CY527" s="9"/>
      <c r="CZ527" s="9"/>
      <c r="DA527" s="9"/>
      <c r="DB527" s="9"/>
      <c r="DC527" s="9"/>
      <c r="DD527" s="9"/>
      <c r="DE527" s="9"/>
      <c r="DF527" s="9"/>
      <c r="DG527" s="9"/>
      <c r="DH527" s="9"/>
      <c r="DI527" s="9"/>
      <c r="DJ527" s="9"/>
      <c r="DK527" s="9"/>
      <c r="DL527" s="9"/>
      <c r="DM527" s="9"/>
      <c r="DN527" s="9"/>
      <c r="DO527" s="9"/>
      <c r="DP527" s="9"/>
      <c r="DQ527" s="9"/>
      <c r="DR527" s="9"/>
      <c r="DS527" s="9"/>
      <c r="DT527" s="9"/>
      <c r="DU527" s="9"/>
      <c r="DV527" s="9"/>
      <c r="DW527" s="9"/>
      <c r="DX527" s="9"/>
      <c r="DY527" s="9"/>
      <c r="DZ527" s="9"/>
      <c r="EA527" s="9"/>
      <c r="EB527" s="9"/>
      <c r="EC527" s="9"/>
      <c r="ED527" s="9"/>
      <c r="EE527" s="9"/>
      <c r="EF527" s="9"/>
      <c r="EG527" s="9"/>
      <c r="EH527" s="9"/>
      <c r="EI527" s="9"/>
      <c r="EJ527" s="9"/>
      <c r="EK527" s="9"/>
      <c r="EL527" s="9"/>
    </row>
    <row r="528" spans="1:142" x14ac:dyDescent="0.35">
      <c r="A528" s="9">
        <v>900527827</v>
      </c>
      <c r="B528" s="19">
        <v>1</v>
      </c>
      <c r="C528" s="9" t="str">
        <f>VLOOKUP(A528,'[1]terceros cto'!A$1:B$65536,2,0)</f>
        <v>SIMMO INGENIEROS SAS</v>
      </c>
      <c r="D528" s="20" t="str">
        <f>VLOOKUP(C528,'[1]terceros cto'!B$1:F$65536,5,0)</f>
        <v>johanamacana@hotmail.com</v>
      </c>
      <c r="E528" s="21" t="s">
        <v>2252</v>
      </c>
      <c r="F528" s="9" t="str">
        <f>VLOOKUP(C528,'[1]terceros cto'!B$1:D$65536,3,0)</f>
        <v>Paipa</v>
      </c>
      <c r="G528" s="21">
        <v>15516</v>
      </c>
      <c r="H528" s="9">
        <v>212</v>
      </c>
      <c r="I528" s="30">
        <v>100000</v>
      </c>
      <c r="J528" s="31">
        <v>0</v>
      </c>
      <c r="K528" s="22">
        <v>0</v>
      </c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D528" s="9"/>
      <c r="CE528" s="9"/>
      <c r="CF528" s="9"/>
      <c r="CG528" s="9"/>
      <c r="CH528" s="9"/>
      <c r="CI528" s="9"/>
      <c r="CJ528" s="9"/>
      <c r="CK528" s="9"/>
      <c r="CL528" s="9"/>
      <c r="CM528" s="9"/>
      <c r="CN528" s="9"/>
      <c r="CO528" s="9"/>
      <c r="CP528" s="9"/>
      <c r="CQ528" s="9"/>
      <c r="CR528" s="9"/>
      <c r="CS528" s="9"/>
      <c r="CT528" s="9"/>
      <c r="CU528" s="9"/>
      <c r="CV528" s="9"/>
      <c r="CW528" s="9"/>
      <c r="CX528" s="9"/>
      <c r="CY528" s="9"/>
      <c r="CZ528" s="9"/>
      <c r="DA528" s="9"/>
      <c r="DB528" s="9"/>
      <c r="DC528" s="9"/>
      <c r="DD528" s="9"/>
      <c r="DE528" s="9"/>
      <c r="DF528" s="9"/>
      <c r="DG528" s="9"/>
      <c r="DH528" s="9"/>
      <c r="DI528" s="9"/>
      <c r="DJ528" s="9"/>
      <c r="DK528" s="9"/>
      <c r="DL528" s="9"/>
      <c r="DM528" s="9"/>
      <c r="DN528" s="9"/>
      <c r="DO528" s="9"/>
      <c r="DP528" s="9"/>
      <c r="DQ528" s="9"/>
      <c r="DR528" s="9"/>
      <c r="DS528" s="9"/>
      <c r="DT528" s="9"/>
      <c r="DU528" s="9"/>
      <c r="DV528" s="9"/>
      <c r="DW528" s="9"/>
      <c r="DX528" s="9"/>
      <c r="DY528" s="9"/>
      <c r="DZ528" s="9"/>
      <c r="EA528" s="9"/>
      <c r="EB528" s="9"/>
      <c r="EC528" s="9"/>
      <c r="ED528" s="9"/>
      <c r="EE528" s="9"/>
      <c r="EF528" s="9"/>
      <c r="EG528" s="9"/>
      <c r="EH528" s="9"/>
      <c r="EI528" s="9"/>
      <c r="EJ528" s="9"/>
      <c r="EK528" s="9"/>
      <c r="EL528" s="9"/>
    </row>
    <row r="529" spans="1:142" x14ac:dyDescent="0.35">
      <c r="A529" s="9">
        <v>900547364</v>
      </c>
      <c r="B529" s="19">
        <v>9</v>
      </c>
      <c r="C529" s="9" t="str">
        <f>VLOOKUP(A529,'[1]terceros cto'!A$1:B$65536,2,0)</f>
        <v>CALOXVET COLOMBIA S.A.S.</v>
      </c>
      <c r="D529" s="20" t="str">
        <f>VLOOKUP(C529,'[1]terceros cto'!B$1:F$65536,5,0)</f>
        <v>auxiliarcontable@calox.com</v>
      </c>
      <c r="E529" s="21" t="s">
        <v>2252</v>
      </c>
      <c r="F529" s="9" t="str">
        <f>VLOOKUP(C529,'[1]terceros cto'!B$1:D$65536,3,0)</f>
        <v>CR 67 100 20 OF 403</v>
      </c>
      <c r="G529" s="21">
        <v>15516</v>
      </c>
      <c r="H529" s="9">
        <v>212</v>
      </c>
      <c r="I529" s="28">
        <v>42415</v>
      </c>
      <c r="J529" s="29">
        <v>0</v>
      </c>
      <c r="K529" s="22">
        <v>0</v>
      </c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  <c r="CJ529" s="9"/>
      <c r="CK529" s="9"/>
      <c r="CL529" s="9"/>
      <c r="CM529" s="9"/>
      <c r="CN529" s="9"/>
      <c r="CO529" s="9"/>
      <c r="CP529" s="9"/>
      <c r="CQ529" s="9"/>
      <c r="CR529" s="9"/>
      <c r="CS529" s="9"/>
      <c r="CT529" s="9"/>
      <c r="CU529" s="9"/>
      <c r="CV529" s="9"/>
      <c r="CW529" s="9"/>
      <c r="CX529" s="9"/>
      <c r="CY529" s="9"/>
      <c r="CZ529" s="9"/>
      <c r="DA529" s="9"/>
      <c r="DB529" s="9"/>
      <c r="DC529" s="9"/>
      <c r="DD529" s="9"/>
      <c r="DE529" s="9"/>
      <c r="DF529" s="9"/>
      <c r="DG529" s="9"/>
      <c r="DH529" s="9"/>
      <c r="DI529" s="9"/>
      <c r="DJ529" s="9"/>
      <c r="DK529" s="9"/>
      <c r="DL529" s="9"/>
      <c r="DM529" s="9"/>
      <c r="DN529" s="9"/>
      <c r="DO529" s="9"/>
      <c r="DP529" s="9"/>
      <c r="DQ529" s="9"/>
      <c r="DR529" s="9"/>
      <c r="DS529" s="9"/>
      <c r="DT529" s="9"/>
      <c r="DU529" s="9"/>
      <c r="DV529" s="9"/>
      <c r="DW529" s="9"/>
      <c r="DX529" s="9"/>
      <c r="DY529" s="9"/>
      <c r="DZ529" s="9"/>
      <c r="EA529" s="9"/>
      <c r="EB529" s="9"/>
      <c r="EC529" s="9"/>
      <c r="ED529" s="9"/>
      <c r="EE529" s="9"/>
      <c r="EF529" s="9"/>
      <c r="EG529" s="9"/>
      <c r="EH529" s="9"/>
      <c r="EI529" s="9"/>
      <c r="EJ529" s="9"/>
      <c r="EK529" s="9"/>
      <c r="EL529" s="9"/>
    </row>
    <row r="530" spans="1:142" x14ac:dyDescent="0.35">
      <c r="A530" s="9">
        <v>900549951</v>
      </c>
      <c r="B530" s="19">
        <v>1</v>
      </c>
      <c r="C530" s="9" t="str">
        <f>VLOOKUP(A530,'[1]terceros cto'!A$1:B$65536,2,0)</f>
        <v>COMERCIALIZADORA HORTIPAIPA SAS</v>
      </c>
      <c r="D530" s="20" t="str">
        <f>VLOOKUP(C530,'[1]terceros cto'!B$1:F$65536,5,0)</f>
        <v>hortipaipa@hotmail.com</v>
      </c>
      <c r="E530" s="21" t="s">
        <v>2252</v>
      </c>
      <c r="F530" s="9" t="str">
        <f>VLOOKUP(C530,'[1]terceros cto'!B$1:D$65536,3,0)</f>
        <v>CARRERA 24A N 30-06</v>
      </c>
      <c r="G530" s="21">
        <v>15516</v>
      </c>
      <c r="H530" s="9">
        <v>212</v>
      </c>
      <c r="I530" s="30">
        <v>15966969</v>
      </c>
      <c r="J530" s="31">
        <v>0</v>
      </c>
      <c r="K530" s="22">
        <v>0</v>
      </c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  <c r="CJ530" s="9"/>
      <c r="CK530" s="9"/>
      <c r="CL530" s="9"/>
      <c r="CM530" s="9"/>
      <c r="CN530" s="9"/>
      <c r="CO530" s="9"/>
      <c r="CP530" s="9"/>
      <c r="CQ530" s="9"/>
      <c r="CR530" s="9"/>
      <c r="CS530" s="9"/>
      <c r="CT530" s="9"/>
      <c r="CU530" s="9"/>
      <c r="CV530" s="9"/>
      <c r="CW530" s="9"/>
      <c r="CX530" s="9"/>
      <c r="CY530" s="9"/>
      <c r="CZ530" s="9"/>
      <c r="DA530" s="9"/>
      <c r="DB530" s="9"/>
      <c r="DC530" s="9"/>
      <c r="DD530" s="9"/>
      <c r="DE530" s="9"/>
      <c r="DF530" s="9"/>
      <c r="DG530" s="9"/>
      <c r="DH530" s="9"/>
      <c r="DI530" s="9"/>
      <c r="DJ530" s="9"/>
      <c r="DK530" s="9"/>
      <c r="DL530" s="9"/>
      <c r="DM530" s="9"/>
      <c r="DN530" s="9"/>
      <c r="DO530" s="9"/>
      <c r="DP530" s="9"/>
      <c r="DQ530" s="9"/>
      <c r="DR530" s="9"/>
      <c r="DS530" s="9"/>
      <c r="DT530" s="9"/>
      <c r="DU530" s="9"/>
      <c r="DV530" s="9"/>
      <c r="DW530" s="9"/>
      <c r="DX530" s="9"/>
      <c r="DY530" s="9"/>
      <c r="DZ530" s="9"/>
      <c r="EA530" s="9"/>
      <c r="EB530" s="9"/>
      <c r="EC530" s="9"/>
      <c r="ED530" s="9"/>
      <c r="EE530" s="9"/>
      <c r="EF530" s="9"/>
      <c r="EG530" s="9"/>
      <c r="EH530" s="9"/>
      <c r="EI530" s="9"/>
      <c r="EJ530" s="9"/>
      <c r="EK530" s="9"/>
      <c r="EL530" s="9"/>
    </row>
    <row r="531" spans="1:142" x14ac:dyDescent="0.35">
      <c r="A531" s="9">
        <v>900555970</v>
      </c>
      <c r="B531" s="19">
        <v>6</v>
      </c>
      <c r="C531" s="9" t="str">
        <f>VLOOKUP(A531,'[1]terceros cto'!A$1:B$65536,2,0)</f>
        <v>BRIGADA DE BOMBEROS Y SEGURIDAD EMP</v>
      </c>
      <c r="D531" s="20" t="str">
        <f>VLOOKUP(C531,'[1]terceros cto'!B$1:F$65536,5,0)</f>
        <v>contabilidad@brisincol.com</v>
      </c>
      <c r="E531" s="21" t="s">
        <v>2252</v>
      </c>
      <c r="F531" s="9" t="str">
        <f>VLOOKUP(C531,'[1]terceros cto'!B$1:D$65536,3,0)</f>
        <v>CL 36 H SUR 7 33 ESTE</v>
      </c>
      <c r="G531" s="21">
        <v>15516</v>
      </c>
      <c r="H531" s="9">
        <v>212</v>
      </c>
      <c r="I531" s="28">
        <v>297508</v>
      </c>
      <c r="J531" s="29">
        <v>0</v>
      </c>
      <c r="K531" s="22">
        <v>0</v>
      </c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  <c r="CJ531" s="9"/>
      <c r="CK531" s="9"/>
      <c r="CL531" s="9"/>
      <c r="CM531" s="9"/>
      <c r="CN531" s="9"/>
      <c r="CO531" s="9"/>
      <c r="CP531" s="9"/>
      <c r="CQ531" s="9"/>
      <c r="CR531" s="9"/>
      <c r="CS531" s="9"/>
      <c r="CT531" s="9"/>
      <c r="CU531" s="9"/>
      <c r="CV531" s="9"/>
      <c r="CW531" s="9"/>
      <c r="CX531" s="9"/>
      <c r="CY531" s="9"/>
      <c r="CZ531" s="9"/>
      <c r="DA531" s="9"/>
      <c r="DB531" s="9"/>
      <c r="DC531" s="9"/>
      <c r="DD531" s="9"/>
      <c r="DE531" s="9"/>
      <c r="DF531" s="9"/>
      <c r="DG531" s="9"/>
      <c r="DH531" s="9"/>
      <c r="DI531" s="9"/>
      <c r="DJ531" s="9"/>
      <c r="DK531" s="9"/>
      <c r="DL531" s="9"/>
      <c r="DM531" s="9"/>
      <c r="DN531" s="9"/>
      <c r="DO531" s="9"/>
      <c r="DP531" s="9"/>
      <c r="DQ531" s="9"/>
      <c r="DR531" s="9"/>
      <c r="DS531" s="9"/>
      <c r="DT531" s="9"/>
      <c r="DU531" s="9"/>
      <c r="DV531" s="9"/>
      <c r="DW531" s="9"/>
      <c r="DX531" s="9"/>
      <c r="DY531" s="9"/>
      <c r="DZ531" s="9"/>
      <c r="EA531" s="9"/>
      <c r="EB531" s="9"/>
      <c r="EC531" s="9"/>
      <c r="ED531" s="9"/>
      <c r="EE531" s="9"/>
      <c r="EF531" s="9"/>
      <c r="EG531" s="9"/>
      <c r="EH531" s="9"/>
      <c r="EI531" s="9"/>
      <c r="EJ531" s="9"/>
      <c r="EK531" s="9"/>
      <c r="EL531" s="9"/>
    </row>
    <row r="532" spans="1:142" x14ac:dyDescent="0.35">
      <c r="A532" s="9">
        <v>900559782</v>
      </c>
      <c r="B532" s="19">
        <v>6</v>
      </c>
      <c r="C532" s="9" t="str">
        <f>VLOOKUP(A532,'[1]terceros cto'!A$1:B$65536,2,0)</f>
        <v>INVERSIONES NEW OLEANS INTERNATIONA</v>
      </c>
      <c r="D532" s="20" t="str">
        <f>VLOOKUP(C532,'[1]terceros cto'!B$1:F$65536,5,0)</f>
        <v>trigoscontabilidad@gmail.com</v>
      </c>
      <c r="E532" s="21" t="s">
        <v>2252</v>
      </c>
      <c r="F532" s="9" t="str">
        <f>VLOOKUP(C532,'[1]terceros cto'!B$1:D$65536,3,0)</f>
        <v>Paipa</v>
      </c>
      <c r="G532" s="21">
        <v>15516</v>
      </c>
      <c r="H532" s="9">
        <v>212</v>
      </c>
      <c r="I532" s="30">
        <v>1370091</v>
      </c>
      <c r="J532" s="31">
        <v>0</v>
      </c>
      <c r="K532" s="22">
        <v>0</v>
      </c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  <c r="CF532" s="9"/>
      <c r="CG532" s="9"/>
      <c r="CH532" s="9"/>
      <c r="CI532" s="9"/>
      <c r="CJ532" s="9"/>
      <c r="CK532" s="9"/>
      <c r="CL532" s="9"/>
      <c r="CM532" s="9"/>
      <c r="CN532" s="9"/>
      <c r="CO532" s="9"/>
      <c r="CP532" s="9"/>
      <c r="CQ532" s="9"/>
      <c r="CR532" s="9"/>
      <c r="CS532" s="9"/>
      <c r="CT532" s="9"/>
      <c r="CU532" s="9"/>
      <c r="CV532" s="9"/>
      <c r="CW532" s="9"/>
      <c r="CX532" s="9"/>
      <c r="CY532" s="9"/>
      <c r="CZ532" s="9"/>
      <c r="DA532" s="9"/>
      <c r="DB532" s="9"/>
      <c r="DC532" s="9"/>
      <c r="DD532" s="9"/>
      <c r="DE532" s="9"/>
      <c r="DF532" s="9"/>
      <c r="DG532" s="9"/>
      <c r="DH532" s="9"/>
      <c r="DI532" s="9"/>
      <c r="DJ532" s="9"/>
      <c r="DK532" s="9"/>
      <c r="DL532" s="9"/>
      <c r="DM532" s="9"/>
      <c r="DN532" s="9"/>
      <c r="DO532" s="9"/>
      <c r="DP532" s="9"/>
      <c r="DQ532" s="9"/>
      <c r="DR532" s="9"/>
      <c r="DS532" s="9"/>
      <c r="DT532" s="9"/>
      <c r="DU532" s="9"/>
      <c r="DV532" s="9"/>
      <c r="DW532" s="9"/>
      <c r="DX532" s="9"/>
      <c r="DY532" s="9"/>
      <c r="DZ532" s="9"/>
      <c r="EA532" s="9"/>
      <c r="EB532" s="9"/>
      <c r="EC532" s="9"/>
      <c r="ED532" s="9"/>
      <c r="EE532" s="9"/>
      <c r="EF532" s="9"/>
      <c r="EG532" s="9"/>
      <c r="EH532" s="9"/>
      <c r="EI532" s="9"/>
      <c r="EJ532" s="9"/>
      <c r="EK532" s="9"/>
      <c r="EL532" s="9"/>
    </row>
    <row r="533" spans="1:142" x14ac:dyDescent="0.35">
      <c r="A533" s="9">
        <v>900565420</v>
      </c>
      <c r="B533" s="19">
        <v>1</v>
      </c>
      <c r="C533" s="9" t="str">
        <f>VLOOKUP(A533,'[1]terceros cto'!A$1:B$65536,2,0)</f>
        <v>NUTRIR AGENTE COMERCIAL SAS BIC</v>
      </c>
      <c r="D533" s="20" t="str">
        <f>VLOOKUP(C533,'[1]terceros cto'!B$1:F$65536,5,0)</f>
        <v>nutrirac@hotmail.com</v>
      </c>
      <c r="E533" s="21" t="s">
        <v>2252</v>
      </c>
      <c r="F533" s="9" t="str">
        <f>VLOOKUP(C533,'[1]terceros cto'!B$1:D$65536,3,0)</f>
        <v>Paipa</v>
      </c>
      <c r="G533" s="21">
        <v>15516</v>
      </c>
      <c r="H533" s="9">
        <v>212</v>
      </c>
      <c r="I533" s="28">
        <v>367137</v>
      </c>
      <c r="J533" s="29">
        <v>0</v>
      </c>
      <c r="K533" s="22">
        <v>0</v>
      </c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  <c r="CJ533" s="9"/>
      <c r="CK533" s="9"/>
      <c r="CL533" s="9"/>
      <c r="CM533" s="9"/>
      <c r="CN533" s="9"/>
      <c r="CO533" s="9"/>
      <c r="CP533" s="9"/>
      <c r="CQ533" s="9"/>
      <c r="CR533" s="9"/>
      <c r="CS533" s="9"/>
      <c r="CT533" s="9"/>
      <c r="CU533" s="9"/>
      <c r="CV533" s="9"/>
      <c r="CW533" s="9"/>
      <c r="CX533" s="9"/>
      <c r="CY533" s="9"/>
      <c r="CZ533" s="9"/>
      <c r="DA533" s="9"/>
      <c r="DB533" s="9"/>
      <c r="DC533" s="9"/>
      <c r="DD533" s="9"/>
      <c r="DE533" s="9"/>
      <c r="DF533" s="9"/>
      <c r="DG533" s="9"/>
      <c r="DH533" s="9"/>
      <c r="DI533" s="9"/>
      <c r="DJ533" s="9"/>
      <c r="DK533" s="9"/>
      <c r="DL533" s="9"/>
      <c r="DM533" s="9"/>
      <c r="DN533" s="9"/>
      <c r="DO533" s="9"/>
      <c r="DP533" s="9"/>
      <c r="DQ533" s="9"/>
      <c r="DR533" s="9"/>
      <c r="DS533" s="9"/>
      <c r="DT533" s="9"/>
      <c r="DU533" s="9"/>
      <c r="DV533" s="9"/>
      <c r="DW533" s="9"/>
      <c r="DX533" s="9"/>
      <c r="DY533" s="9"/>
      <c r="DZ533" s="9"/>
      <c r="EA533" s="9"/>
      <c r="EB533" s="9"/>
      <c r="EC533" s="9"/>
      <c r="ED533" s="9"/>
      <c r="EE533" s="9"/>
      <c r="EF533" s="9"/>
      <c r="EG533" s="9"/>
      <c r="EH533" s="9"/>
      <c r="EI533" s="9"/>
      <c r="EJ533" s="9"/>
      <c r="EK533" s="9"/>
      <c r="EL533" s="9"/>
    </row>
    <row r="534" spans="1:142" x14ac:dyDescent="0.35">
      <c r="A534" s="9">
        <v>900571824</v>
      </c>
      <c r="B534" s="19">
        <v>6</v>
      </c>
      <c r="C534" s="9" t="str">
        <f>VLOOKUP(A534,'[1]terceros cto'!A$1:B$65536,2,0)</f>
        <v>INGENOVA ING SAS</v>
      </c>
      <c r="D534" s="20" t="str">
        <f>VLOOKUP(C534,'[1]terceros cto'!B$1:F$65536,5,0)</f>
        <v>contabilidad@ingenova.co</v>
      </c>
      <c r="E534" s="21" t="s">
        <v>2252</v>
      </c>
      <c r="F534" s="9" t="str">
        <f>VLOOKUP(C534,'[1]terceros cto'!B$1:D$65536,3,0)</f>
        <v>CALLE 98 N 70-61</v>
      </c>
      <c r="G534" s="21">
        <v>15516</v>
      </c>
      <c r="H534" s="9">
        <v>212</v>
      </c>
      <c r="I534" s="30">
        <v>4683309</v>
      </c>
      <c r="J534" s="31">
        <v>0</v>
      </c>
      <c r="K534" s="22">
        <v>0</v>
      </c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  <c r="CD534" s="9"/>
      <c r="CE534" s="9"/>
      <c r="CF534" s="9"/>
      <c r="CG534" s="9"/>
      <c r="CH534" s="9"/>
      <c r="CI534" s="9"/>
      <c r="CJ534" s="9"/>
      <c r="CK534" s="9"/>
      <c r="CL534" s="9"/>
      <c r="CM534" s="9"/>
      <c r="CN534" s="9"/>
      <c r="CO534" s="9"/>
      <c r="CP534" s="9"/>
      <c r="CQ534" s="9"/>
      <c r="CR534" s="9"/>
      <c r="CS534" s="9"/>
      <c r="CT534" s="9"/>
      <c r="CU534" s="9"/>
      <c r="CV534" s="9"/>
      <c r="CW534" s="9"/>
      <c r="CX534" s="9"/>
      <c r="CY534" s="9"/>
      <c r="CZ534" s="9"/>
      <c r="DA534" s="9"/>
      <c r="DB534" s="9"/>
      <c r="DC534" s="9"/>
      <c r="DD534" s="9"/>
      <c r="DE534" s="9"/>
      <c r="DF534" s="9"/>
      <c r="DG534" s="9"/>
      <c r="DH534" s="9"/>
      <c r="DI534" s="9"/>
      <c r="DJ534" s="9"/>
      <c r="DK534" s="9"/>
      <c r="DL534" s="9"/>
      <c r="DM534" s="9"/>
      <c r="DN534" s="9"/>
      <c r="DO534" s="9"/>
      <c r="DP534" s="9"/>
      <c r="DQ534" s="9"/>
      <c r="DR534" s="9"/>
      <c r="DS534" s="9"/>
      <c r="DT534" s="9"/>
      <c r="DU534" s="9"/>
      <c r="DV534" s="9"/>
      <c r="DW534" s="9"/>
      <c r="DX534" s="9"/>
      <c r="DY534" s="9"/>
      <c r="DZ534" s="9"/>
      <c r="EA534" s="9"/>
      <c r="EB534" s="9"/>
      <c r="EC534" s="9"/>
      <c r="ED534" s="9"/>
      <c r="EE534" s="9"/>
      <c r="EF534" s="9"/>
      <c r="EG534" s="9"/>
      <c r="EH534" s="9"/>
      <c r="EI534" s="9"/>
      <c r="EJ534" s="9"/>
      <c r="EK534" s="9"/>
      <c r="EL534" s="9"/>
    </row>
    <row r="535" spans="1:142" x14ac:dyDescent="0.35">
      <c r="A535" s="9">
        <v>900582485</v>
      </c>
      <c r="B535" s="19">
        <v>1</v>
      </c>
      <c r="C535" s="9" t="str">
        <f>VLOOKUP(A535,'[1]terceros cto'!A$1:B$65536,2,0)</f>
        <v>DISEA SAS</v>
      </c>
      <c r="D535" s="20" t="str">
        <f>VLOOKUP(C535,'[1]terceros cto'!B$1:F$65536,5,0)</f>
        <v>diseasas@gmail.com</v>
      </c>
      <c r="E535" s="21" t="s">
        <v>2252</v>
      </c>
      <c r="F535" s="9" t="str">
        <f>VLOOKUP(C535,'[1]terceros cto'!B$1:D$65536,3,0)</f>
        <v>No informada</v>
      </c>
      <c r="G535" s="21">
        <v>15516</v>
      </c>
      <c r="H535" s="9">
        <v>212</v>
      </c>
      <c r="I535" s="28">
        <v>60005</v>
      </c>
      <c r="J535" s="29">
        <v>0</v>
      </c>
      <c r="K535" s="22">
        <v>0</v>
      </c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  <c r="CJ535" s="9"/>
      <c r="CK535" s="9"/>
      <c r="CL535" s="9"/>
      <c r="CM535" s="9"/>
      <c r="CN535" s="9"/>
      <c r="CO535" s="9"/>
      <c r="CP535" s="9"/>
      <c r="CQ535" s="9"/>
      <c r="CR535" s="9"/>
      <c r="CS535" s="9"/>
      <c r="CT535" s="9"/>
      <c r="CU535" s="9"/>
      <c r="CV535" s="9"/>
      <c r="CW535" s="9"/>
      <c r="CX535" s="9"/>
      <c r="CY535" s="9"/>
      <c r="CZ535" s="9"/>
      <c r="DA535" s="9"/>
      <c r="DB535" s="9"/>
      <c r="DC535" s="9"/>
      <c r="DD535" s="9"/>
      <c r="DE535" s="9"/>
      <c r="DF535" s="9"/>
      <c r="DG535" s="9"/>
      <c r="DH535" s="9"/>
      <c r="DI535" s="9"/>
      <c r="DJ535" s="9"/>
      <c r="DK535" s="9"/>
      <c r="DL535" s="9"/>
      <c r="DM535" s="9"/>
      <c r="DN535" s="9"/>
      <c r="DO535" s="9"/>
      <c r="DP535" s="9"/>
      <c r="DQ535" s="9"/>
      <c r="DR535" s="9"/>
      <c r="DS535" s="9"/>
      <c r="DT535" s="9"/>
      <c r="DU535" s="9"/>
      <c r="DV535" s="9"/>
      <c r="DW535" s="9"/>
      <c r="DX535" s="9"/>
      <c r="DY535" s="9"/>
      <c r="DZ535" s="9"/>
      <c r="EA535" s="9"/>
      <c r="EB535" s="9"/>
      <c r="EC535" s="9"/>
      <c r="ED535" s="9"/>
      <c r="EE535" s="9"/>
      <c r="EF535" s="9"/>
      <c r="EG535" s="9"/>
      <c r="EH535" s="9"/>
      <c r="EI535" s="9"/>
      <c r="EJ535" s="9"/>
      <c r="EK535" s="9"/>
      <c r="EL535" s="9"/>
    </row>
    <row r="536" spans="1:142" x14ac:dyDescent="0.35">
      <c r="A536" s="9">
        <v>900589244</v>
      </c>
      <c r="B536" s="19">
        <v>3</v>
      </c>
      <c r="C536" s="9" t="str">
        <f>VLOOKUP(A536,'[1]terceros cto'!A$1:B$65536,2,0)</f>
        <v>MATEUS FUQUEN ASOCIADOS SAS</v>
      </c>
      <c r="D536" s="20" t="str">
        <f>VLOOKUP(C536,'[1]terceros cto'!B$1:F$65536,5,0)</f>
        <v>nidialuzmateus@yahoo.com</v>
      </c>
      <c r="E536" s="21" t="s">
        <v>2252</v>
      </c>
      <c r="F536" s="9" t="str">
        <f>VLOOKUP(C536,'[1]terceros cto'!B$1:D$65536,3,0)</f>
        <v>Paipa</v>
      </c>
      <c r="G536" s="21">
        <v>15516</v>
      </c>
      <c r="H536" s="9">
        <v>212</v>
      </c>
      <c r="I536" s="30">
        <v>50000</v>
      </c>
      <c r="J536" s="31">
        <v>0</v>
      </c>
      <c r="K536" s="22">
        <v>0</v>
      </c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  <c r="CJ536" s="9"/>
      <c r="CK536" s="9"/>
      <c r="CL536" s="9"/>
      <c r="CM536" s="9"/>
      <c r="CN536" s="9"/>
      <c r="CO536" s="9"/>
      <c r="CP536" s="9"/>
      <c r="CQ536" s="9"/>
      <c r="CR536" s="9"/>
      <c r="CS536" s="9"/>
      <c r="CT536" s="9"/>
      <c r="CU536" s="9"/>
      <c r="CV536" s="9"/>
      <c r="CW536" s="9"/>
      <c r="CX536" s="9"/>
      <c r="CY536" s="9"/>
      <c r="CZ536" s="9"/>
      <c r="DA536" s="9"/>
      <c r="DB536" s="9"/>
      <c r="DC536" s="9"/>
      <c r="DD536" s="9"/>
      <c r="DE536" s="9"/>
      <c r="DF536" s="9"/>
      <c r="DG536" s="9"/>
      <c r="DH536" s="9"/>
      <c r="DI536" s="9"/>
      <c r="DJ536" s="9"/>
      <c r="DK536" s="9"/>
      <c r="DL536" s="9"/>
      <c r="DM536" s="9"/>
      <c r="DN536" s="9"/>
      <c r="DO536" s="9"/>
      <c r="DP536" s="9"/>
      <c r="DQ536" s="9"/>
      <c r="DR536" s="9"/>
      <c r="DS536" s="9"/>
      <c r="DT536" s="9"/>
      <c r="DU536" s="9"/>
      <c r="DV536" s="9"/>
      <c r="DW536" s="9"/>
      <c r="DX536" s="9"/>
      <c r="DY536" s="9"/>
      <c r="DZ536" s="9"/>
      <c r="EA536" s="9"/>
      <c r="EB536" s="9"/>
      <c r="EC536" s="9"/>
      <c r="ED536" s="9"/>
      <c r="EE536" s="9"/>
      <c r="EF536" s="9"/>
      <c r="EG536" s="9"/>
      <c r="EH536" s="9"/>
      <c r="EI536" s="9"/>
      <c r="EJ536" s="9"/>
      <c r="EK536" s="9"/>
      <c r="EL536" s="9"/>
    </row>
    <row r="537" spans="1:142" x14ac:dyDescent="0.35">
      <c r="A537" s="9">
        <v>900602468</v>
      </c>
      <c r="B537" s="19">
        <v>1</v>
      </c>
      <c r="C537" s="9" t="str">
        <f>VLOOKUP(A537,'[1]terceros cto'!A$1:B$65536,2,0)</f>
        <v>VYG ASESORES SAS</v>
      </c>
      <c r="D537" s="20" t="str">
        <f>VLOOKUP(C537,'[1]terceros cto'!B$1:F$65536,5,0)</f>
        <v>vyg.asesores.sas@gmail.com</v>
      </c>
      <c r="E537" s="21" t="s">
        <v>2252</v>
      </c>
      <c r="F537" s="9" t="str">
        <f>VLOOKUP(C537,'[1]terceros cto'!B$1:D$65536,3,0)</f>
        <v>Paipa</v>
      </c>
      <c r="G537" s="21">
        <v>15516</v>
      </c>
      <c r="H537" s="9">
        <v>212</v>
      </c>
      <c r="I537" s="28">
        <v>50000</v>
      </c>
      <c r="J537" s="29">
        <v>0</v>
      </c>
      <c r="K537" s="22">
        <v>0</v>
      </c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  <c r="CJ537" s="9"/>
      <c r="CK537" s="9"/>
      <c r="CL537" s="9"/>
      <c r="CM537" s="9"/>
      <c r="CN537" s="9"/>
      <c r="CO537" s="9"/>
      <c r="CP537" s="9"/>
      <c r="CQ537" s="9"/>
      <c r="CR537" s="9"/>
      <c r="CS537" s="9"/>
      <c r="CT537" s="9"/>
      <c r="CU537" s="9"/>
      <c r="CV537" s="9"/>
      <c r="CW537" s="9"/>
      <c r="CX537" s="9"/>
      <c r="CY537" s="9"/>
      <c r="CZ537" s="9"/>
      <c r="DA537" s="9"/>
      <c r="DB537" s="9"/>
      <c r="DC537" s="9"/>
      <c r="DD537" s="9"/>
      <c r="DE537" s="9"/>
      <c r="DF537" s="9"/>
      <c r="DG537" s="9"/>
      <c r="DH537" s="9"/>
      <c r="DI537" s="9"/>
      <c r="DJ537" s="9"/>
      <c r="DK537" s="9"/>
      <c r="DL537" s="9"/>
      <c r="DM537" s="9"/>
      <c r="DN537" s="9"/>
      <c r="DO537" s="9"/>
      <c r="DP537" s="9"/>
      <c r="DQ537" s="9"/>
      <c r="DR537" s="9"/>
      <c r="DS537" s="9"/>
      <c r="DT537" s="9"/>
      <c r="DU537" s="9"/>
      <c r="DV537" s="9"/>
      <c r="DW537" s="9"/>
      <c r="DX537" s="9"/>
      <c r="DY537" s="9"/>
      <c r="DZ537" s="9"/>
      <c r="EA537" s="9"/>
      <c r="EB537" s="9"/>
      <c r="EC537" s="9"/>
      <c r="ED537" s="9"/>
      <c r="EE537" s="9"/>
      <c r="EF537" s="9"/>
      <c r="EG537" s="9"/>
      <c r="EH537" s="9"/>
      <c r="EI537" s="9"/>
      <c r="EJ537" s="9"/>
      <c r="EK537" s="9"/>
      <c r="EL537" s="9"/>
    </row>
    <row r="538" spans="1:142" x14ac:dyDescent="0.35">
      <c r="A538" s="9">
        <v>900604997</v>
      </c>
      <c r="B538" s="19">
        <v>5</v>
      </c>
      <c r="C538" s="9" t="str">
        <f>VLOOKUP(A538,'[1]terceros cto'!A$1:B$65536,2,0)</f>
        <v>DIVINIDESIGN SAS</v>
      </c>
      <c r="D538" s="20" t="str">
        <f>VLOOKUP(C538,'[1]terceros cto'!B$1:F$65536,5,0)</f>
        <v>gerencia@mueblesdivini.com</v>
      </c>
      <c r="E538" s="21" t="s">
        <v>2252</v>
      </c>
      <c r="F538" s="9" t="str">
        <f>VLOOKUP(C538,'[1]terceros cto'!B$1:D$65536,3,0)</f>
        <v>CALLE 74#53-14</v>
      </c>
      <c r="G538" s="21">
        <v>15516</v>
      </c>
      <c r="H538" s="9">
        <v>212</v>
      </c>
      <c r="I538" s="30">
        <v>130413</v>
      </c>
      <c r="J538" s="31">
        <v>0</v>
      </c>
      <c r="K538" s="22">
        <v>0</v>
      </c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  <c r="CD538" s="9"/>
      <c r="CE538" s="9"/>
      <c r="CF538" s="9"/>
      <c r="CG538" s="9"/>
      <c r="CH538" s="9"/>
      <c r="CI538" s="9"/>
      <c r="CJ538" s="9"/>
      <c r="CK538" s="9"/>
      <c r="CL538" s="9"/>
      <c r="CM538" s="9"/>
      <c r="CN538" s="9"/>
      <c r="CO538" s="9"/>
      <c r="CP538" s="9"/>
      <c r="CQ538" s="9"/>
      <c r="CR538" s="9"/>
      <c r="CS538" s="9"/>
      <c r="CT538" s="9"/>
      <c r="CU538" s="9"/>
      <c r="CV538" s="9"/>
      <c r="CW538" s="9"/>
      <c r="CX538" s="9"/>
      <c r="CY538" s="9"/>
      <c r="CZ538" s="9"/>
      <c r="DA538" s="9"/>
      <c r="DB538" s="9"/>
      <c r="DC538" s="9"/>
      <c r="DD538" s="9"/>
      <c r="DE538" s="9"/>
      <c r="DF538" s="9"/>
      <c r="DG538" s="9"/>
      <c r="DH538" s="9"/>
      <c r="DI538" s="9"/>
      <c r="DJ538" s="9"/>
      <c r="DK538" s="9"/>
      <c r="DL538" s="9"/>
      <c r="DM538" s="9"/>
      <c r="DN538" s="9"/>
      <c r="DO538" s="9"/>
      <c r="DP538" s="9"/>
      <c r="DQ538" s="9"/>
      <c r="DR538" s="9"/>
      <c r="DS538" s="9"/>
      <c r="DT538" s="9"/>
      <c r="DU538" s="9"/>
      <c r="DV538" s="9"/>
      <c r="DW538" s="9"/>
      <c r="DX538" s="9"/>
      <c r="DY538" s="9"/>
      <c r="DZ538" s="9"/>
      <c r="EA538" s="9"/>
      <c r="EB538" s="9"/>
      <c r="EC538" s="9"/>
      <c r="ED538" s="9"/>
      <c r="EE538" s="9"/>
      <c r="EF538" s="9"/>
      <c r="EG538" s="9"/>
      <c r="EH538" s="9"/>
      <c r="EI538" s="9"/>
      <c r="EJ538" s="9"/>
      <c r="EK538" s="9"/>
      <c r="EL538" s="9"/>
    </row>
    <row r="539" spans="1:142" x14ac:dyDescent="0.35">
      <c r="A539" s="9">
        <v>900622551</v>
      </c>
      <c r="B539" s="19">
        <v>0</v>
      </c>
      <c r="C539" s="9" t="str">
        <f>VLOOKUP(A539,'[1]terceros cto'!A$1:B$65536,2,0)</f>
        <v>SALUD</v>
      </c>
      <c r="D539" s="20" t="str">
        <f>VLOOKUP(C539,'[1]terceros cto'!B$1:F$65536,5,0)</f>
        <v>recepcionfacturacionelectronica@jersalud.com</v>
      </c>
      <c r="E539" s="21" t="s">
        <v>2252</v>
      </c>
      <c r="F539" s="9" t="str">
        <f>VLOOKUP(C539,'[1]terceros cto'!B$1:D$65536,3,0)</f>
        <v>Paipa</v>
      </c>
      <c r="G539" s="21">
        <v>15516</v>
      </c>
      <c r="H539" s="9">
        <v>212</v>
      </c>
      <c r="I539" s="28">
        <v>100000</v>
      </c>
      <c r="J539" s="29">
        <v>0</v>
      </c>
      <c r="K539" s="22">
        <v>0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  <c r="CJ539" s="9"/>
      <c r="CK539" s="9"/>
      <c r="CL539" s="9"/>
      <c r="CM539" s="9"/>
      <c r="CN539" s="9"/>
      <c r="CO539" s="9"/>
      <c r="CP539" s="9"/>
      <c r="CQ539" s="9"/>
      <c r="CR539" s="9"/>
      <c r="CS539" s="9"/>
      <c r="CT539" s="9"/>
      <c r="CU539" s="9"/>
      <c r="CV539" s="9"/>
      <c r="CW539" s="9"/>
      <c r="CX539" s="9"/>
      <c r="CY539" s="9"/>
      <c r="CZ539" s="9"/>
      <c r="DA539" s="9"/>
      <c r="DB539" s="9"/>
      <c r="DC539" s="9"/>
      <c r="DD539" s="9"/>
      <c r="DE539" s="9"/>
      <c r="DF539" s="9"/>
      <c r="DG539" s="9"/>
      <c r="DH539" s="9"/>
      <c r="DI539" s="9"/>
      <c r="DJ539" s="9"/>
      <c r="DK539" s="9"/>
      <c r="DL539" s="9"/>
      <c r="DM539" s="9"/>
      <c r="DN539" s="9"/>
      <c r="DO539" s="9"/>
      <c r="DP539" s="9"/>
      <c r="DQ539" s="9"/>
      <c r="DR539" s="9"/>
      <c r="DS539" s="9"/>
      <c r="DT539" s="9"/>
      <c r="DU539" s="9"/>
      <c r="DV539" s="9"/>
      <c r="DW539" s="9"/>
      <c r="DX539" s="9"/>
      <c r="DY539" s="9"/>
      <c r="DZ539" s="9"/>
      <c r="EA539" s="9"/>
      <c r="EB539" s="9"/>
      <c r="EC539" s="9"/>
      <c r="ED539" s="9"/>
      <c r="EE539" s="9"/>
      <c r="EF539" s="9"/>
      <c r="EG539" s="9"/>
      <c r="EH539" s="9"/>
      <c r="EI539" s="9"/>
      <c r="EJ539" s="9"/>
      <c r="EK539" s="9"/>
      <c r="EL539" s="9"/>
    </row>
    <row r="540" spans="1:142" x14ac:dyDescent="0.35">
      <c r="A540" s="9">
        <v>900624096</v>
      </c>
      <c r="B540" s="19">
        <v>1</v>
      </c>
      <c r="C540" s="9" t="str">
        <f>VLOOKUP(A540,'[1]terceros cto'!A$1:B$65536,2,0)</f>
        <v>TRADECORP COLOMBIA SAS</v>
      </c>
      <c r="D540" s="20" t="str">
        <f>VLOOKUP(C540,'[1]terceros cto'!B$1:F$65536,5,0)</f>
        <v>karen.martinez@rovensanext.com</v>
      </c>
      <c r="E540" s="21" t="s">
        <v>2252</v>
      </c>
      <c r="F540" s="9" t="str">
        <f>VLOOKUP(C540,'[1]terceros cto'!B$1:D$65536,3,0)</f>
        <v>Paipa</v>
      </c>
      <c r="G540" s="21">
        <v>15516</v>
      </c>
      <c r="H540" s="9">
        <v>212</v>
      </c>
      <c r="I540" s="30">
        <v>163302</v>
      </c>
      <c r="J540" s="31">
        <v>0</v>
      </c>
      <c r="K540" s="22">
        <v>0</v>
      </c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  <c r="CJ540" s="9"/>
      <c r="CK540" s="9"/>
      <c r="CL540" s="9"/>
      <c r="CM540" s="9"/>
      <c r="CN540" s="9"/>
      <c r="CO540" s="9"/>
      <c r="CP540" s="9"/>
      <c r="CQ540" s="9"/>
      <c r="CR540" s="9"/>
      <c r="CS540" s="9"/>
      <c r="CT540" s="9"/>
      <c r="CU540" s="9"/>
      <c r="CV540" s="9"/>
      <c r="CW540" s="9"/>
      <c r="CX540" s="9"/>
      <c r="CY540" s="9"/>
      <c r="CZ540" s="9"/>
      <c r="DA540" s="9"/>
      <c r="DB540" s="9"/>
      <c r="DC540" s="9"/>
      <c r="DD540" s="9"/>
      <c r="DE540" s="9"/>
      <c r="DF540" s="9"/>
      <c r="DG540" s="9"/>
      <c r="DH540" s="9"/>
      <c r="DI540" s="9"/>
      <c r="DJ540" s="9"/>
      <c r="DK540" s="9"/>
      <c r="DL540" s="9"/>
      <c r="DM540" s="9"/>
      <c r="DN540" s="9"/>
      <c r="DO540" s="9"/>
      <c r="DP540" s="9"/>
      <c r="DQ540" s="9"/>
      <c r="DR540" s="9"/>
      <c r="DS540" s="9"/>
      <c r="DT540" s="9"/>
      <c r="DU540" s="9"/>
      <c r="DV540" s="9"/>
      <c r="DW540" s="9"/>
      <c r="DX540" s="9"/>
      <c r="DY540" s="9"/>
      <c r="DZ540" s="9"/>
      <c r="EA540" s="9"/>
      <c r="EB540" s="9"/>
      <c r="EC540" s="9"/>
      <c r="ED540" s="9"/>
      <c r="EE540" s="9"/>
      <c r="EF540" s="9"/>
      <c r="EG540" s="9"/>
      <c r="EH540" s="9"/>
      <c r="EI540" s="9"/>
      <c r="EJ540" s="9"/>
      <c r="EK540" s="9"/>
      <c r="EL540" s="9"/>
    </row>
    <row r="541" spans="1:142" x14ac:dyDescent="0.35">
      <c r="A541" s="9">
        <v>900624919</v>
      </c>
      <c r="B541" s="19">
        <v>6</v>
      </c>
      <c r="C541" s="9" t="str">
        <f>VLOOKUP(A541,'[1]terceros cto'!A$1:B$65536,2,0)</f>
        <v>INVERSIONES PALUAN SAS</v>
      </c>
      <c r="D541" s="20" t="str">
        <f>VLOOKUP(C541,'[1]terceros cto'!B$1:F$65536,5,0)</f>
        <v>masdescuentosdrogueria@hotmail.com</v>
      </c>
      <c r="E541" s="21">
        <f>VLOOKUP(C541,'[1]terceros cto'!B$1:E$65536,4,0)</f>
        <v>3137169135</v>
      </c>
      <c r="F541" s="9" t="str">
        <f>VLOOKUP(C541,'[1]terceros cto'!B$1:D$65536,3,0)</f>
        <v>CARRERA 22 N 25-05</v>
      </c>
      <c r="G541" s="21">
        <v>15516</v>
      </c>
      <c r="H541" s="9">
        <v>212</v>
      </c>
      <c r="I541" s="28">
        <v>9539319</v>
      </c>
      <c r="J541" s="29">
        <v>0</v>
      </c>
      <c r="K541" s="22">
        <v>0</v>
      </c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  <c r="CJ541" s="9"/>
      <c r="CK541" s="9"/>
      <c r="CL541" s="9"/>
      <c r="CM541" s="9"/>
      <c r="CN541" s="9"/>
      <c r="CO541" s="9"/>
      <c r="CP541" s="9"/>
      <c r="CQ541" s="9"/>
      <c r="CR541" s="9"/>
      <c r="CS541" s="9"/>
      <c r="CT541" s="9"/>
      <c r="CU541" s="9"/>
      <c r="CV541" s="9"/>
      <c r="CW541" s="9"/>
      <c r="CX541" s="9"/>
      <c r="CY541" s="9"/>
      <c r="CZ541" s="9"/>
      <c r="DA541" s="9"/>
      <c r="DB541" s="9"/>
      <c r="DC541" s="9"/>
      <c r="DD541" s="9"/>
      <c r="DE541" s="9"/>
      <c r="DF541" s="9"/>
      <c r="DG541" s="9"/>
      <c r="DH541" s="9"/>
      <c r="DI541" s="9"/>
      <c r="DJ541" s="9"/>
      <c r="DK541" s="9"/>
      <c r="DL541" s="9"/>
      <c r="DM541" s="9"/>
      <c r="DN541" s="9"/>
      <c r="DO541" s="9"/>
      <c r="DP541" s="9"/>
      <c r="DQ541" s="9"/>
      <c r="DR541" s="9"/>
      <c r="DS541" s="9"/>
      <c r="DT541" s="9"/>
      <c r="DU541" s="9"/>
      <c r="DV541" s="9"/>
      <c r="DW541" s="9"/>
      <c r="DX541" s="9"/>
      <c r="DY541" s="9"/>
      <c r="DZ541" s="9"/>
      <c r="EA541" s="9"/>
      <c r="EB541" s="9"/>
      <c r="EC541" s="9"/>
      <c r="ED541" s="9"/>
      <c r="EE541" s="9"/>
      <c r="EF541" s="9"/>
      <c r="EG541" s="9"/>
      <c r="EH541" s="9"/>
      <c r="EI541" s="9"/>
      <c r="EJ541" s="9"/>
      <c r="EK541" s="9"/>
      <c r="EL541" s="9"/>
    </row>
    <row r="542" spans="1:142" x14ac:dyDescent="0.35">
      <c r="A542" s="9">
        <v>900655088</v>
      </c>
      <c r="B542" s="19">
        <v>3</v>
      </c>
      <c r="C542" s="9" t="str">
        <f>VLOOKUP(A542,'[1]terceros cto'!A$1:B$65536,2,0)</f>
        <v>COEMAGRO SOCIEDAD POR ACCIONES SIMPLIFICADA</v>
      </c>
      <c r="D542" s="20" t="str">
        <f>VLOOKUP(C542,'[1]terceros cto'!B$1:F$65536,5,0)</f>
        <v>coemagrosas@gmail.com</v>
      </c>
      <c r="E542" s="21">
        <f>VLOOKUP(C542,'[1]terceros cto'!B$1:E$65536,4,0)</f>
        <v>3133746400</v>
      </c>
      <c r="F542" s="9" t="str">
        <f>VLOOKUP(C542,'[1]terceros cto'!B$1:D$65536,3,0)</f>
        <v>AVENIDA LIBERTADORES 31-50</v>
      </c>
      <c r="G542" s="21">
        <v>15516</v>
      </c>
      <c r="H542" s="9">
        <v>212</v>
      </c>
      <c r="I542" s="30">
        <v>17755777</v>
      </c>
      <c r="J542" s="31">
        <v>0</v>
      </c>
      <c r="K542" s="22">
        <v>0</v>
      </c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  <c r="CD542" s="9"/>
      <c r="CE542" s="9"/>
      <c r="CF542" s="9"/>
      <c r="CG542" s="9"/>
      <c r="CH542" s="9"/>
      <c r="CI542" s="9"/>
      <c r="CJ542" s="9"/>
      <c r="CK542" s="9"/>
      <c r="CL542" s="9"/>
      <c r="CM542" s="9"/>
      <c r="CN542" s="9"/>
      <c r="CO542" s="9"/>
      <c r="CP542" s="9"/>
      <c r="CQ542" s="9"/>
      <c r="CR542" s="9"/>
      <c r="CS542" s="9"/>
      <c r="CT542" s="9"/>
      <c r="CU542" s="9"/>
      <c r="CV542" s="9"/>
      <c r="CW542" s="9"/>
      <c r="CX542" s="9"/>
      <c r="CY542" s="9"/>
      <c r="CZ542" s="9"/>
      <c r="DA542" s="9"/>
      <c r="DB542" s="9"/>
      <c r="DC542" s="9"/>
      <c r="DD542" s="9"/>
      <c r="DE542" s="9"/>
      <c r="DF542" s="9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x14ac:dyDescent="0.35">
      <c r="A543" s="9">
        <v>900664206</v>
      </c>
      <c r="B543" s="19">
        <v>4</v>
      </c>
      <c r="C543" s="9" t="str">
        <f>VLOOKUP(A543,'[1]terceros cto'!A$1:B$65536,2,0)</f>
        <v>COMPAÑIA DE ALIMENTOS SHALOM SAS</v>
      </c>
      <c r="D543" s="20" t="str">
        <f>VLOOKUP(C543,'[1]terceros cto'!B$1:F$65536,5,0)</f>
        <v>facturasshalomdos@gmail.com</v>
      </c>
      <c r="E543" s="21" t="s">
        <v>2252</v>
      </c>
      <c r="F543" s="9" t="str">
        <f>VLOOKUP(C543,'[1]terceros cto'!B$1:D$65536,3,0)</f>
        <v xml:space="preserve"> CL 11 17 40</v>
      </c>
      <c r="G543" s="21">
        <v>15516</v>
      </c>
      <c r="H543" s="9">
        <v>212</v>
      </c>
      <c r="I543" s="28">
        <v>30066</v>
      </c>
      <c r="J543" s="29">
        <v>0</v>
      </c>
      <c r="K543" s="22">
        <v>0</v>
      </c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  <c r="CJ543" s="9"/>
      <c r="CK543" s="9"/>
      <c r="CL543" s="9"/>
      <c r="CM543" s="9"/>
      <c r="CN543" s="9"/>
      <c r="CO543" s="9"/>
      <c r="CP543" s="9"/>
      <c r="CQ543" s="9"/>
      <c r="CR543" s="9"/>
      <c r="CS543" s="9"/>
      <c r="CT543" s="9"/>
      <c r="CU543" s="9"/>
      <c r="CV543" s="9"/>
      <c r="CW543" s="9"/>
      <c r="CX543" s="9"/>
      <c r="CY543" s="9"/>
      <c r="CZ543" s="9"/>
      <c r="DA543" s="9"/>
      <c r="DB543" s="9"/>
      <c r="DC543" s="9"/>
      <c r="DD543" s="9"/>
      <c r="DE543" s="9"/>
      <c r="DF543" s="9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x14ac:dyDescent="0.35">
      <c r="A544" s="9">
        <v>900667590</v>
      </c>
      <c r="B544" s="19">
        <v>1</v>
      </c>
      <c r="C544" s="9" t="str">
        <f>VLOOKUP(A544,'[1]terceros cto'!A$1:B$65536,2,0)</f>
        <v>ISA INTERCOLOMBIA SA</v>
      </c>
      <c r="D544" s="20" t="str">
        <f>VLOOKUP(C544,'[1]terceros cto'!B$1:F$65536,5,0)</f>
        <v>helmerleon33@gmail.com</v>
      </c>
      <c r="E544" s="21" t="s">
        <v>2252</v>
      </c>
      <c r="F544" s="9" t="str">
        <f>VLOOKUP(C544,'[1]terceros cto'!B$1:D$65536,3,0)</f>
        <v>CALLE 200 CARRERA 8</v>
      </c>
      <c r="G544" s="21">
        <v>15516</v>
      </c>
      <c r="H544" s="9">
        <v>212</v>
      </c>
      <c r="I544" s="30">
        <v>413043</v>
      </c>
      <c r="J544" s="31">
        <v>0</v>
      </c>
      <c r="K544" s="22">
        <v>0</v>
      </c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  <c r="CJ544" s="9"/>
      <c r="CK544" s="9"/>
      <c r="CL544" s="9"/>
      <c r="CM544" s="9"/>
      <c r="CN544" s="9"/>
      <c r="CO544" s="9"/>
      <c r="CP544" s="9"/>
      <c r="CQ544" s="9"/>
      <c r="CR544" s="9"/>
      <c r="CS544" s="9"/>
      <c r="CT544" s="9"/>
      <c r="CU544" s="9"/>
      <c r="CV544" s="9"/>
      <c r="CW544" s="9"/>
      <c r="CX544" s="9"/>
      <c r="CY544" s="9"/>
      <c r="CZ544" s="9"/>
      <c r="DA544" s="9"/>
      <c r="DB544" s="9"/>
      <c r="DC544" s="9"/>
      <c r="DD544" s="9"/>
      <c r="DE544" s="9"/>
      <c r="DF544" s="9"/>
      <c r="DG544" s="9"/>
      <c r="DH544" s="9"/>
      <c r="DI544" s="9"/>
      <c r="DJ544" s="9"/>
      <c r="DK544" s="9"/>
      <c r="DL544" s="9"/>
      <c r="DM544" s="9"/>
      <c r="DN544" s="9"/>
      <c r="DO544" s="9"/>
      <c r="DP544" s="9"/>
      <c r="DQ544" s="9"/>
      <c r="DR544" s="9"/>
      <c r="DS544" s="9"/>
      <c r="DT544" s="9"/>
      <c r="DU544" s="9"/>
      <c r="DV544" s="9"/>
      <c r="DW544" s="9"/>
      <c r="DX544" s="9"/>
      <c r="DY544" s="9"/>
      <c r="DZ544" s="9"/>
      <c r="EA544" s="9"/>
      <c r="EB544" s="9"/>
      <c r="EC544" s="9"/>
      <c r="ED544" s="9"/>
      <c r="EE544" s="9"/>
      <c r="EF544" s="9"/>
      <c r="EG544" s="9"/>
      <c r="EH544" s="9"/>
      <c r="EI544" s="9"/>
      <c r="EJ544" s="9"/>
      <c r="EK544" s="9"/>
      <c r="EL544" s="9"/>
    </row>
    <row r="545" spans="1:142" x14ac:dyDescent="0.35">
      <c r="A545" s="9">
        <v>900670330</v>
      </c>
      <c r="B545" s="19">
        <v>4</v>
      </c>
      <c r="C545" s="9" t="str">
        <f>VLOOKUP(A545,'[1]terceros cto'!A$1:B$65536,2,0)</f>
        <v>SOLZA EQUIPOS Y MINERALES SAS</v>
      </c>
      <c r="D545" s="20" t="str">
        <f>VLOOKUP(C545,'[1]terceros cto'!B$1:F$65536,5,0)</f>
        <v>facturas.proyectos74@yahoo.com</v>
      </c>
      <c r="E545" s="21" t="s">
        <v>2252</v>
      </c>
      <c r="F545" s="9" t="str">
        <f>VLOOKUP(C545,'[1]terceros cto'!B$1:D$65536,3,0)</f>
        <v>CALLE 24 N 25-52</v>
      </c>
      <c r="G545" s="21">
        <v>15516</v>
      </c>
      <c r="H545" s="9">
        <v>212</v>
      </c>
      <c r="I545" s="28">
        <v>79350</v>
      </c>
      <c r="J545" s="29">
        <v>0</v>
      </c>
      <c r="K545" s="22">
        <v>0</v>
      </c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  <c r="CD545" s="9"/>
      <c r="CE545" s="9"/>
      <c r="CF545" s="9"/>
      <c r="CG545" s="9"/>
      <c r="CH545" s="9"/>
      <c r="CI545" s="9"/>
      <c r="CJ545" s="9"/>
      <c r="CK545" s="9"/>
      <c r="CL545" s="9"/>
      <c r="CM545" s="9"/>
      <c r="CN545" s="9"/>
      <c r="CO545" s="9"/>
      <c r="CP545" s="9"/>
      <c r="CQ545" s="9"/>
      <c r="CR545" s="9"/>
      <c r="CS545" s="9"/>
      <c r="CT545" s="9"/>
      <c r="CU545" s="9"/>
      <c r="CV545" s="9"/>
      <c r="CW545" s="9"/>
      <c r="CX545" s="9"/>
      <c r="CY545" s="9"/>
      <c r="CZ545" s="9"/>
      <c r="DA545" s="9"/>
      <c r="DB545" s="9"/>
      <c r="DC545" s="9"/>
      <c r="DD545" s="9"/>
      <c r="DE545" s="9"/>
      <c r="DF545" s="9"/>
      <c r="DG545" s="9"/>
      <c r="DH545" s="9"/>
      <c r="DI545" s="9"/>
      <c r="DJ545" s="9"/>
      <c r="DK545" s="9"/>
      <c r="DL545" s="9"/>
      <c r="DM545" s="9"/>
      <c r="DN545" s="9"/>
      <c r="DO545" s="9"/>
      <c r="DP545" s="9"/>
      <c r="DQ545" s="9"/>
      <c r="DR545" s="9"/>
      <c r="DS545" s="9"/>
      <c r="DT545" s="9"/>
      <c r="DU545" s="9"/>
      <c r="DV545" s="9"/>
      <c r="DW545" s="9"/>
      <c r="DX545" s="9"/>
      <c r="DY545" s="9"/>
      <c r="DZ545" s="9"/>
      <c r="EA545" s="9"/>
      <c r="EB545" s="9"/>
      <c r="EC545" s="9"/>
      <c r="ED545" s="9"/>
      <c r="EE545" s="9"/>
      <c r="EF545" s="9"/>
      <c r="EG545" s="9"/>
      <c r="EH545" s="9"/>
      <c r="EI545" s="9"/>
      <c r="EJ545" s="9"/>
      <c r="EK545" s="9"/>
      <c r="EL545" s="9"/>
    </row>
    <row r="546" spans="1:142" x14ac:dyDescent="0.35">
      <c r="A546" s="9">
        <v>900670370</v>
      </c>
      <c r="B546" s="19">
        <v>9</v>
      </c>
      <c r="C546" s="9" t="str">
        <f>VLOOKUP(A546,'[1]terceros cto'!A$1:B$65536,2,0)</f>
        <v>ELEVAR INGENIERIA</v>
      </c>
      <c r="D546" s="20" t="str">
        <f>VLOOKUP(C546,'[1]terceros cto'!B$1:F$65536,5,0)</f>
        <v>facturacionelevar@gmail.com</v>
      </c>
      <c r="E546" s="21" t="s">
        <v>2252</v>
      </c>
      <c r="F546" s="9" t="str">
        <f>VLOOKUP(C546,'[1]terceros cto'!B$1:D$65536,3,0)</f>
        <v>No informada</v>
      </c>
      <c r="G546" s="21">
        <v>15516</v>
      </c>
      <c r="H546" s="9">
        <v>212</v>
      </c>
      <c r="I546" s="30">
        <v>100009</v>
      </c>
      <c r="J546" s="31">
        <v>0</v>
      </c>
      <c r="K546" s="22">
        <v>0</v>
      </c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  <c r="CJ546" s="9"/>
      <c r="CK546" s="9"/>
      <c r="CL546" s="9"/>
      <c r="CM546" s="9"/>
      <c r="CN546" s="9"/>
      <c r="CO546" s="9"/>
      <c r="CP546" s="9"/>
      <c r="CQ546" s="9"/>
      <c r="CR546" s="9"/>
      <c r="CS546" s="9"/>
      <c r="CT546" s="9"/>
      <c r="CU546" s="9"/>
      <c r="CV546" s="9"/>
      <c r="CW546" s="9"/>
      <c r="CX546" s="9"/>
      <c r="CY546" s="9"/>
      <c r="CZ546" s="9"/>
      <c r="DA546" s="9"/>
      <c r="DB546" s="9"/>
      <c r="DC546" s="9"/>
      <c r="DD546" s="9"/>
      <c r="DE546" s="9"/>
      <c r="DF546" s="9"/>
      <c r="DG546" s="9"/>
      <c r="DH546" s="9"/>
      <c r="DI546" s="9"/>
      <c r="DJ546" s="9"/>
      <c r="DK546" s="9"/>
      <c r="DL546" s="9"/>
      <c r="DM546" s="9"/>
      <c r="DN546" s="9"/>
      <c r="DO546" s="9"/>
      <c r="DP546" s="9"/>
      <c r="DQ546" s="9"/>
      <c r="DR546" s="9"/>
      <c r="DS546" s="9"/>
      <c r="DT546" s="9"/>
      <c r="DU546" s="9"/>
      <c r="DV546" s="9"/>
      <c r="DW546" s="9"/>
      <c r="DX546" s="9"/>
      <c r="DY546" s="9"/>
      <c r="DZ546" s="9"/>
      <c r="EA546" s="9"/>
      <c r="EB546" s="9"/>
      <c r="EC546" s="9"/>
      <c r="ED546" s="9"/>
      <c r="EE546" s="9"/>
      <c r="EF546" s="9"/>
      <c r="EG546" s="9"/>
      <c r="EH546" s="9"/>
      <c r="EI546" s="9"/>
      <c r="EJ546" s="9"/>
      <c r="EK546" s="9"/>
      <c r="EL546" s="9"/>
    </row>
    <row r="547" spans="1:142" x14ac:dyDescent="0.35">
      <c r="A547" s="9">
        <v>900687962</v>
      </c>
      <c r="B547" s="19">
        <v>3</v>
      </c>
      <c r="C547" s="9" t="str">
        <f>VLOOKUP(A547,'[1]terceros cto'!A$1:B$65536,2,0)</f>
        <v>CAS CASANARE SEGUROS LIMITADA</v>
      </c>
      <c r="D547" s="20" t="str">
        <f>VLOOKUP(C547,'[1]terceros cto'!B$1:F$65536,5,0)</f>
        <v>casseguroscontabilidad@gmail.com</v>
      </c>
      <c r="E547" s="21" t="s">
        <v>2252</v>
      </c>
      <c r="F547" s="9" t="str">
        <f>VLOOKUP(C547,'[1]terceros cto'!B$1:D$65536,3,0)</f>
        <v>CL 6 21 10 LC 102</v>
      </c>
      <c r="G547" s="21">
        <v>15516</v>
      </c>
      <c r="H547" s="9">
        <v>212</v>
      </c>
      <c r="I547" s="28">
        <v>150012</v>
      </c>
      <c r="J547" s="29">
        <v>0</v>
      </c>
      <c r="K547" s="22">
        <v>0</v>
      </c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  <c r="CL547" s="9"/>
      <c r="CM547" s="9"/>
      <c r="CN547" s="9"/>
      <c r="CO547" s="9"/>
      <c r="CP547" s="9"/>
      <c r="CQ547" s="9"/>
      <c r="CR547" s="9"/>
      <c r="CS547" s="9"/>
      <c r="CT547" s="9"/>
      <c r="CU547" s="9"/>
      <c r="CV547" s="9"/>
      <c r="CW547" s="9"/>
      <c r="CX547" s="9"/>
      <c r="CY547" s="9"/>
      <c r="CZ547" s="9"/>
      <c r="DA547" s="9"/>
      <c r="DB547" s="9"/>
      <c r="DC547" s="9"/>
      <c r="DD547" s="9"/>
      <c r="DE547" s="9"/>
      <c r="DF547" s="9"/>
      <c r="DG547" s="9"/>
      <c r="DH547" s="9"/>
      <c r="DI547" s="9"/>
      <c r="DJ547" s="9"/>
      <c r="DK547" s="9"/>
      <c r="DL547" s="9"/>
      <c r="DM547" s="9"/>
      <c r="DN547" s="9"/>
      <c r="DO547" s="9"/>
      <c r="DP547" s="9"/>
      <c r="DQ547" s="9"/>
      <c r="DR547" s="9"/>
      <c r="DS547" s="9"/>
      <c r="DT547" s="9"/>
      <c r="DU547" s="9"/>
      <c r="DV547" s="9"/>
      <c r="DW547" s="9"/>
      <c r="DX547" s="9"/>
      <c r="DY547" s="9"/>
      <c r="DZ547" s="9"/>
      <c r="EA547" s="9"/>
      <c r="EB547" s="9"/>
      <c r="EC547" s="9"/>
      <c r="ED547" s="9"/>
      <c r="EE547" s="9"/>
      <c r="EF547" s="9"/>
      <c r="EG547" s="9"/>
      <c r="EH547" s="9"/>
      <c r="EI547" s="9"/>
      <c r="EJ547" s="9"/>
      <c r="EK547" s="9"/>
      <c r="EL547" s="9"/>
    </row>
    <row r="548" spans="1:142" x14ac:dyDescent="0.35">
      <c r="A548" s="9">
        <v>900698034</v>
      </c>
      <c r="B548" s="19">
        <v>0</v>
      </c>
      <c r="C548" s="9" t="str">
        <f>VLOOKUP(A548,'[1]terceros cto'!A$1:B$65536,2,0)</f>
        <v>SEINTMA SAS</v>
      </c>
      <c r="D548" s="20" t="str">
        <f>VLOOKUP(C548,'[1]terceros cto'!B$1:F$65536,5,0)</f>
        <v>facturacion@seintma.com</v>
      </c>
      <c r="E548" s="21" t="s">
        <v>2252</v>
      </c>
      <c r="F548" s="9" t="str">
        <f>VLOOKUP(C548,'[1]terceros cto'!B$1:D$65536,3,0)</f>
        <v>Paipa</v>
      </c>
      <c r="G548" s="21">
        <v>15516</v>
      </c>
      <c r="H548" s="9">
        <v>212</v>
      </c>
      <c r="I548" s="30">
        <v>215039</v>
      </c>
      <c r="J548" s="31">
        <v>0</v>
      </c>
      <c r="K548" s="22">
        <v>0</v>
      </c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  <c r="CL548" s="9"/>
      <c r="CM548" s="9"/>
      <c r="CN548" s="9"/>
      <c r="CO548" s="9"/>
      <c r="CP548" s="9"/>
      <c r="CQ548" s="9"/>
      <c r="CR548" s="9"/>
      <c r="CS548" s="9"/>
      <c r="CT548" s="9"/>
      <c r="CU548" s="9"/>
      <c r="CV548" s="9"/>
      <c r="CW548" s="9"/>
      <c r="CX548" s="9"/>
      <c r="CY548" s="9"/>
      <c r="CZ548" s="9"/>
      <c r="DA548" s="9"/>
      <c r="DB548" s="9"/>
      <c r="DC548" s="9"/>
      <c r="DD548" s="9"/>
      <c r="DE548" s="9"/>
      <c r="DF548" s="9"/>
      <c r="DG548" s="9"/>
      <c r="DH548" s="9"/>
      <c r="DI548" s="9"/>
      <c r="DJ548" s="9"/>
      <c r="DK548" s="9"/>
      <c r="DL548" s="9"/>
      <c r="DM548" s="9"/>
      <c r="DN548" s="9"/>
      <c r="DO548" s="9"/>
      <c r="DP548" s="9"/>
      <c r="DQ548" s="9"/>
      <c r="DR548" s="9"/>
      <c r="DS548" s="9"/>
      <c r="DT548" s="9"/>
      <c r="DU548" s="9"/>
      <c r="DV548" s="9"/>
      <c r="DW548" s="9"/>
      <c r="DX548" s="9"/>
      <c r="DY548" s="9"/>
      <c r="DZ548" s="9"/>
      <c r="EA548" s="9"/>
      <c r="EB548" s="9"/>
      <c r="EC548" s="9"/>
      <c r="ED548" s="9"/>
      <c r="EE548" s="9"/>
      <c r="EF548" s="9"/>
      <c r="EG548" s="9"/>
      <c r="EH548" s="9"/>
      <c r="EI548" s="9"/>
      <c r="EJ548" s="9"/>
      <c r="EK548" s="9"/>
      <c r="EL548" s="9"/>
    </row>
    <row r="549" spans="1:142" x14ac:dyDescent="0.35">
      <c r="A549" s="9">
        <v>900701915</v>
      </c>
      <c r="B549" s="19">
        <v>7</v>
      </c>
      <c r="C549" s="9" t="str">
        <f>VLOOKUP(A549,'[1]terceros cto'!A$1:B$65536,2,0)</f>
        <v>EQUIPOS PARA CONSTRUCCIÓN</v>
      </c>
      <c r="D549" s="20" t="str">
        <f>VLOOKUP(C549,'[1]terceros cto'!B$1:F$65536,5,0)</f>
        <v>comercializadorahrsa@yahoo.com</v>
      </c>
      <c r="E549" s="21" t="s">
        <v>2252</v>
      </c>
      <c r="F549" s="9" t="str">
        <f>VLOOKUP(C549,'[1]terceros cto'!B$1:D$65536,3,0)</f>
        <v>Paipa</v>
      </c>
      <c r="G549" s="21">
        <v>15516</v>
      </c>
      <c r="H549" s="9">
        <v>212</v>
      </c>
      <c r="I549" s="28">
        <v>100000</v>
      </c>
      <c r="J549" s="29">
        <v>0</v>
      </c>
      <c r="K549" s="22">
        <v>0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  <c r="CD549" s="9"/>
      <c r="CE549" s="9"/>
      <c r="CF549" s="9"/>
      <c r="CG549" s="9"/>
      <c r="CH549" s="9"/>
      <c r="CI549" s="9"/>
      <c r="CJ549" s="9"/>
      <c r="CK549" s="9"/>
      <c r="CL549" s="9"/>
      <c r="CM549" s="9"/>
      <c r="CN549" s="9"/>
      <c r="CO549" s="9"/>
      <c r="CP549" s="9"/>
      <c r="CQ549" s="9"/>
      <c r="CR549" s="9"/>
      <c r="CS549" s="9"/>
      <c r="CT549" s="9"/>
      <c r="CU549" s="9"/>
      <c r="CV549" s="9"/>
      <c r="CW549" s="9"/>
      <c r="CX549" s="9"/>
      <c r="CY549" s="9"/>
      <c r="CZ549" s="9"/>
      <c r="DA549" s="9"/>
      <c r="DB549" s="9"/>
      <c r="DC549" s="9"/>
      <c r="DD549" s="9"/>
      <c r="DE549" s="9"/>
      <c r="DF549" s="9"/>
      <c r="DG549" s="9"/>
      <c r="DH549" s="9"/>
      <c r="DI549" s="9"/>
      <c r="DJ549" s="9"/>
      <c r="DK549" s="9"/>
      <c r="DL549" s="9"/>
      <c r="DM549" s="9"/>
      <c r="DN549" s="9"/>
      <c r="DO549" s="9"/>
      <c r="DP549" s="9"/>
      <c r="DQ549" s="9"/>
      <c r="DR549" s="9"/>
      <c r="DS549" s="9"/>
      <c r="DT549" s="9"/>
      <c r="DU549" s="9"/>
      <c r="DV549" s="9"/>
      <c r="DW549" s="9"/>
      <c r="DX549" s="9"/>
      <c r="DY549" s="9"/>
      <c r="DZ549" s="9"/>
      <c r="EA549" s="9"/>
      <c r="EB549" s="9"/>
      <c r="EC549" s="9"/>
      <c r="ED549" s="9"/>
      <c r="EE549" s="9"/>
      <c r="EF549" s="9"/>
      <c r="EG549" s="9"/>
      <c r="EH549" s="9"/>
      <c r="EI549" s="9"/>
      <c r="EJ549" s="9"/>
      <c r="EK549" s="9"/>
      <c r="EL549" s="9"/>
    </row>
    <row r="550" spans="1:142" x14ac:dyDescent="0.35">
      <c r="A550" s="9">
        <v>900718065</v>
      </c>
      <c r="B550" s="19">
        <v>6</v>
      </c>
      <c r="C550" s="9" t="str">
        <f>VLOOKUP(A550,'[1]terceros cto'!A$1:B$65536,2,0)</f>
        <v>INHCA SOCIEDAD POR ACCIONES SIMPLIFICADA</v>
      </c>
      <c r="D550" s="20" t="str">
        <f>VLOOKUP(C550,'[1]terceros cto'!B$1:F$65536,5,0)</f>
        <v>gerencia@inhca.com.co</v>
      </c>
      <c r="E550" s="21" t="s">
        <v>2252</v>
      </c>
      <c r="F550" s="9" t="str">
        <f>VLOOKUP(C550,'[1]terceros cto'!B$1:D$65536,3,0)</f>
        <v>CALLE 25 21-18</v>
      </c>
      <c r="G550" s="21">
        <v>15516</v>
      </c>
      <c r="H550" s="9">
        <v>212</v>
      </c>
      <c r="I550" s="30">
        <v>873998</v>
      </c>
      <c r="J550" s="31">
        <v>0</v>
      </c>
      <c r="K550" s="22">
        <v>0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  <c r="CD550" s="9"/>
      <c r="CE550" s="9"/>
      <c r="CF550" s="9"/>
      <c r="CG550" s="9"/>
      <c r="CH550" s="9"/>
      <c r="CI550" s="9"/>
      <c r="CJ550" s="9"/>
      <c r="CK550" s="9"/>
      <c r="CL550" s="9"/>
      <c r="CM550" s="9"/>
      <c r="CN550" s="9"/>
      <c r="CO550" s="9"/>
      <c r="CP550" s="9"/>
      <c r="CQ550" s="9"/>
      <c r="CR550" s="9"/>
      <c r="CS550" s="9"/>
      <c r="CT550" s="9"/>
      <c r="CU550" s="9"/>
      <c r="CV550" s="9"/>
      <c r="CW550" s="9"/>
      <c r="CX550" s="9"/>
      <c r="CY550" s="9"/>
      <c r="CZ550" s="9"/>
      <c r="DA550" s="9"/>
      <c r="DB550" s="9"/>
      <c r="DC550" s="9"/>
      <c r="DD550" s="9"/>
      <c r="DE550" s="9"/>
      <c r="DF550" s="9"/>
      <c r="DG550" s="9"/>
      <c r="DH550" s="9"/>
      <c r="DI550" s="9"/>
      <c r="DJ550" s="9"/>
      <c r="DK550" s="9"/>
      <c r="DL550" s="9"/>
      <c r="DM550" s="9"/>
      <c r="DN550" s="9"/>
      <c r="DO550" s="9"/>
      <c r="DP550" s="9"/>
      <c r="DQ550" s="9"/>
      <c r="DR550" s="9"/>
      <c r="DS550" s="9"/>
      <c r="DT550" s="9"/>
      <c r="DU550" s="9"/>
      <c r="DV550" s="9"/>
      <c r="DW550" s="9"/>
      <c r="DX550" s="9"/>
      <c r="DY550" s="9"/>
      <c r="DZ550" s="9"/>
      <c r="EA550" s="9"/>
      <c r="EB550" s="9"/>
      <c r="EC550" s="9"/>
      <c r="ED550" s="9"/>
      <c r="EE550" s="9"/>
      <c r="EF550" s="9"/>
      <c r="EG550" s="9"/>
      <c r="EH550" s="9"/>
      <c r="EI550" s="9"/>
      <c r="EJ550" s="9"/>
      <c r="EK550" s="9"/>
      <c r="EL550" s="9"/>
    </row>
    <row r="551" spans="1:142" x14ac:dyDescent="0.35">
      <c r="A551" s="9">
        <v>900724972</v>
      </c>
      <c r="B551" s="19">
        <v>6</v>
      </c>
      <c r="C551" s="9" t="str">
        <f>VLOOKUP(A551,'[1]terceros cto'!A$1:B$65536,2,0)</f>
        <v>ONTEAL SOLUCIONES S A S</v>
      </c>
      <c r="D551" s="20" t="str">
        <f>VLOOKUP(C551,'[1]terceros cto'!B$1:F$65536,5,0)</f>
        <v>yurani.duque@onteal.com.co</v>
      </c>
      <c r="E551" s="21" t="s">
        <v>2252</v>
      </c>
      <c r="F551" s="9" t="str">
        <f>VLOOKUP(C551,'[1]terceros cto'!B$1:D$65536,3,0)</f>
        <v>paipa</v>
      </c>
      <c r="G551" s="21">
        <v>15516</v>
      </c>
      <c r="H551" s="9">
        <v>212</v>
      </c>
      <c r="I551" s="28">
        <v>200000</v>
      </c>
      <c r="J551" s="29">
        <v>0</v>
      </c>
      <c r="K551" s="22">
        <v>0</v>
      </c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  <c r="CJ551" s="9"/>
      <c r="CK551" s="9"/>
      <c r="CL551" s="9"/>
      <c r="CM551" s="9"/>
      <c r="CN551" s="9"/>
      <c r="CO551" s="9"/>
      <c r="CP551" s="9"/>
      <c r="CQ551" s="9"/>
      <c r="CR551" s="9"/>
      <c r="CS551" s="9"/>
      <c r="CT551" s="9"/>
      <c r="CU551" s="9"/>
      <c r="CV551" s="9"/>
      <c r="CW551" s="9"/>
      <c r="CX551" s="9"/>
      <c r="CY551" s="9"/>
      <c r="CZ551" s="9"/>
      <c r="DA551" s="9"/>
      <c r="DB551" s="9"/>
      <c r="DC551" s="9"/>
      <c r="DD551" s="9"/>
      <c r="DE551" s="9"/>
      <c r="DF551" s="9"/>
      <c r="DG551" s="9"/>
      <c r="DH551" s="9"/>
      <c r="DI551" s="9"/>
      <c r="DJ551" s="9"/>
      <c r="DK551" s="9"/>
      <c r="DL551" s="9"/>
      <c r="DM551" s="9"/>
      <c r="DN551" s="9"/>
      <c r="DO551" s="9"/>
      <c r="DP551" s="9"/>
      <c r="DQ551" s="9"/>
      <c r="DR551" s="9"/>
      <c r="DS551" s="9"/>
      <c r="DT551" s="9"/>
      <c r="DU551" s="9"/>
      <c r="DV551" s="9"/>
      <c r="DW551" s="9"/>
      <c r="DX551" s="9"/>
      <c r="DY551" s="9"/>
      <c r="DZ551" s="9"/>
      <c r="EA551" s="9"/>
      <c r="EB551" s="9"/>
      <c r="EC551" s="9"/>
      <c r="ED551" s="9"/>
      <c r="EE551" s="9"/>
      <c r="EF551" s="9"/>
      <c r="EG551" s="9"/>
      <c r="EH551" s="9"/>
      <c r="EI551" s="9"/>
      <c r="EJ551" s="9"/>
      <c r="EK551" s="9"/>
      <c r="EL551" s="9"/>
    </row>
    <row r="552" spans="1:142" x14ac:dyDescent="0.35">
      <c r="A552" s="9">
        <v>900738768</v>
      </c>
      <c r="B552" s="19">
        <v>0</v>
      </c>
      <c r="C552" s="9" t="str">
        <f>VLOOKUP(A552,'[1]terceros cto'!A$1:B$65536,2,0)</f>
        <v>INVERSIONES CASTRO Y GAMERO SAS</v>
      </c>
      <c r="D552" s="20" t="str">
        <f>VLOOKUP(C552,'[1]terceros cto'!B$1:F$65536,5,0)</f>
        <v>facturacion@castroygamero.com</v>
      </c>
      <c r="E552" s="21" t="s">
        <v>2252</v>
      </c>
      <c r="F552" s="9" t="str">
        <f>VLOOKUP(C552,'[1]terceros cto'!B$1:D$65536,3,0)</f>
        <v>Paipa</v>
      </c>
      <c r="G552" s="21">
        <v>15516</v>
      </c>
      <c r="H552" s="9">
        <v>212</v>
      </c>
      <c r="I552" s="30">
        <v>60000</v>
      </c>
      <c r="J552" s="31">
        <v>0</v>
      </c>
      <c r="K552" s="22">
        <v>0</v>
      </c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  <c r="CJ552" s="9"/>
      <c r="CK552" s="9"/>
      <c r="CL552" s="9"/>
      <c r="CM552" s="9"/>
      <c r="CN552" s="9"/>
      <c r="CO552" s="9"/>
      <c r="CP552" s="9"/>
      <c r="CQ552" s="9"/>
      <c r="CR552" s="9"/>
      <c r="CS552" s="9"/>
      <c r="CT552" s="9"/>
      <c r="CU552" s="9"/>
      <c r="CV552" s="9"/>
      <c r="CW552" s="9"/>
      <c r="CX552" s="9"/>
      <c r="CY552" s="9"/>
      <c r="CZ552" s="9"/>
      <c r="DA552" s="9"/>
      <c r="DB552" s="9"/>
      <c r="DC552" s="9"/>
      <c r="DD552" s="9"/>
      <c r="DE552" s="9"/>
      <c r="DF552" s="9"/>
      <c r="DG552" s="9"/>
      <c r="DH552" s="9"/>
      <c r="DI552" s="9"/>
      <c r="DJ552" s="9"/>
      <c r="DK552" s="9"/>
      <c r="DL552" s="9"/>
      <c r="DM552" s="9"/>
      <c r="DN552" s="9"/>
      <c r="DO552" s="9"/>
      <c r="DP552" s="9"/>
      <c r="DQ552" s="9"/>
      <c r="DR552" s="9"/>
      <c r="DS552" s="9"/>
      <c r="DT552" s="9"/>
      <c r="DU552" s="9"/>
      <c r="DV552" s="9"/>
      <c r="DW552" s="9"/>
      <c r="DX552" s="9"/>
      <c r="DY552" s="9"/>
      <c r="DZ552" s="9"/>
      <c r="EA552" s="9"/>
      <c r="EB552" s="9"/>
      <c r="EC552" s="9"/>
      <c r="ED552" s="9"/>
      <c r="EE552" s="9"/>
      <c r="EF552" s="9"/>
      <c r="EG552" s="9"/>
      <c r="EH552" s="9"/>
      <c r="EI552" s="9"/>
      <c r="EJ552" s="9"/>
      <c r="EK552" s="9"/>
      <c r="EL552" s="9"/>
    </row>
    <row r="553" spans="1:142" x14ac:dyDescent="0.35">
      <c r="A553" s="9">
        <v>900748651</v>
      </c>
      <c r="B553" s="19">
        <v>0</v>
      </c>
      <c r="C553" s="9" t="str">
        <f>VLOOKUP(A553,'[1]terceros cto'!A$1:B$65536,2,0)</f>
        <v>RIUM SAS</v>
      </c>
      <c r="D553" s="20" t="str">
        <f>VLOOKUP(C553,'[1]terceros cto'!B$1:F$65536,5,0)</f>
        <v>facturacion@gorigogo.com</v>
      </c>
      <c r="E553" s="21" t="s">
        <v>2252</v>
      </c>
      <c r="F553" s="9" t="str">
        <f>VLOOKUP(C553,'[1]terceros cto'!B$1:D$65536,3,0)</f>
        <v>Cr 43B #18-145</v>
      </c>
      <c r="G553" s="21">
        <v>15516</v>
      </c>
      <c r="H553" s="9">
        <v>212</v>
      </c>
      <c r="I553" s="28">
        <v>112090</v>
      </c>
      <c r="J553" s="29">
        <v>0</v>
      </c>
      <c r="K553" s="22">
        <v>0</v>
      </c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  <c r="CD553" s="9"/>
      <c r="CE553" s="9"/>
      <c r="CF553" s="9"/>
      <c r="CG553" s="9"/>
      <c r="CH553" s="9"/>
      <c r="CI553" s="9"/>
      <c r="CJ553" s="9"/>
      <c r="CK553" s="9"/>
      <c r="CL553" s="9"/>
      <c r="CM553" s="9"/>
      <c r="CN553" s="9"/>
      <c r="CO553" s="9"/>
      <c r="CP553" s="9"/>
      <c r="CQ553" s="9"/>
      <c r="CR553" s="9"/>
      <c r="CS553" s="9"/>
      <c r="CT553" s="9"/>
      <c r="CU553" s="9"/>
      <c r="CV553" s="9"/>
      <c r="CW553" s="9"/>
      <c r="CX553" s="9"/>
      <c r="CY553" s="9"/>
      <c r="CZ553" s="9"/>
      <c r="DA553" s="9"/>
      <c r="DB553" s="9"/>
      <c r="DC553" s="9"/>
      <c r="DD553" s="9"/>
      <c r="DE553" s="9"/>
      <c r="DF553" s="9"/>
      <c r="DG553" s="9"/>
      <c r="DH553" s="9"/>
      <c r="DI553" s="9"/>
      <c r="DJ553" s="9"/>
      <c r="DK553" s="9"/>
      <c r="DL553" s="9"/>
      <c r="DM553" s="9"/>
      <c r="DN553" s="9"/>
      <c r="DO553" s="9"/>
      <c r="DP553" s="9"/>
      <c r="DQ553" s="9"/>
      <c r="DR553" s="9"/>
      <c r="DS553" s="9"/>
      <c r="DT553" s="9"/>
      <c r="DU553" s="9"/>
      <c r="DV553" s="9"/>
      <c r="DW553" s="9"/>
      <c r="DX553" s="9"/>
      <c r="DY553" s="9"/>
      <c r="DZ553" s="9"/>
      <c r="EA553" s="9"/>
      <c r="EB553" s="9"/>
      <c r="EC553" s="9"/>
      <c r="ED553" s="9"/>
      <c r="EE553" s="9"/>
      <c r="EF553" s="9"/>
      <c r="EG553" s="9"/>
      <c r="EH553" s="9"/>
      <c r="EI553" s="9"/>
      <c r="EJ553" s="9"/>
      <c r="EK553" s="9"/>
      <c r="EL553" s="9"/>
    </row>
    <row r="554" spans="1:142" x14ac:dyDescent="0.35">
      <c r="A554" s="9">
        <v>900756221</v>
      </c>
      <c r="B554" s="19">
        <v>0</v>
      </c>
      <c r="C554" s="9" t="str">
        <f>VLOOKUP(A554,'[1]terceros cto'!A$1:B$65536,2,0)</f>
        <v>CAMACHO ESTUDIO DE ARQUITECTURA SAS</v>
      </c>
      <c r="D554" s="20" t="str">
        <f>VLOOKUP(C554,'[1]terceros cto'!B$1:F$65536,5,0)</f>
        <v>camacho.arquitectura@gmail.com</v>
      </c>
      <c r="E554" s="21" t="s">
        <v>2252</v>
      </c>
      <c r="F554" s="9" t="str">
        <f>VLOOKUP(C554,'[1]terceros cto'!B$1:D$65536,3,0)</f>
        <v>Paipa</v>
      </c>
      <c r="G554" s="21">
        <v>15516</v>
      </c>
      <c r="H554" s="9">
        <v>212</v>
      </c>
      <c r="I554" s="30">
        <v>1423071</v>
      </c>
      <c r="J554" s="31">
        <v>0</v>
      </c>
      <c r="K554" s="22">
        <v>0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  <c r="CJ554" s="9"/>
      <c r="CK554" s="9"/>
      <c r="CL554" s="9"/>
      <c r="CM554" s="9"/>
      <c r="CN554" s="9"/>
      <c r="CO554" s="9"/>
      <c r="CP554" s="9"/>
      <c r="CQ554" s="9"/>
      <c r="CR554" s="9"/>
      <c r="CS554" s="9"/>
      <c r="CT554" s="9"/>
      <c r="CU554" s="9"/>
      <c r="CV554" s="9"/>
      <c r="CW554" s="9"/>
      <c r="CX554" s="9"/>
      <c r="CY554" s="9"/>
      <c r="CZ554" s="9"/>
      <c r="DA554" s="9"/>
      <c r="DB554" s="9"/>
      <c r="DC554" s="9"/>
      <c r="DD554" s="9"/>
      <c r="DE554" s="9"/>
      <c r="DF554" s="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x14ac:dyDescent="0.35">
      <c r="A555" s="9">
        <v>900756840</v>
      </c>
      <c r="B555" s="19">
        <v>1</v>
      </c>
      <c r="C555" s="9" t="str">
        <f>VLOOKUP(A555,'[1]terceros cto'!A$1:B$65536,2,0)</f>
        <v>INDARS SAS</v>
      </c>
      <c r="D555" s="20" t="str">
        <f>VLOOKUP(C555,'[1]terceros cto'!B$1:F$65536,5,0)</f>
        <v>compras@indars.com.co</v>
      </c>
      <c r="E555" s="21" t="s">
        <v>2252</v>
      </c>
      <c r="F555" s="9" t="str">
        <f>VLOOKUP(C555,'[1]terceros cto'!B$1:D$65536,3,0)</f>
        <v>Paipa</v>
      </c>
      <c r="G555" s="21">
        <v>15516</v>
      </c>
      <c r="H555" s="9">
        <v>212</v>
      </c>
      <c r="I555" s="28">
        <v>100013</v>
      </c>
      <c r="J555" s="29">
        <v>0</v>
      </c>
      <c r="K555" s="22">
        <v>0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  <c r="CJ555" s="9"/>
      <c r="CK555" s="9"/>
      <c r="CL555" s="9"/>
      <c r="CM555" s="9"/>
      <c r="CN555" s="9"/>
      <c r="CO555" s="9"/>
      <c r="CP555" s="9"/>
      <c r="CQ555" s="9"/>
      <c r="CR555" s="9"/>
      <c r="CS555" s="9"/>
      <c r="CT555" s="9"/>
      <c r="CU555" s="9"/>
      <c r="CV555" s="9"/>
      <c r="CW555" s="9"/>
      <c r="CX555" s="9"/>
      <c r="CY555" s="9"/>
      <c r="CZ555" s="9"/>
      <c r="DA555" s="9"/>
      <c r="DB555" s="9"/>
      <c r="DC555" s="9"/>
      <c r="DD555" s="9"/>
      <c r="DE555" s="9"/>
      <c r="DF555" s="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x14ac:dyDescent="0.35">
      <c r="A556" s="9">
        <v>900758588</v>
      </c>
      <c r="B556" s="19">
        <v>7</v>
      </c>
      <c r="C556" s="9" t="str">
        <f>VLOOKUP(A556,'[1]terceros cto'!A$1:B$65536,2,0)</f>
        <v>SEAP GESTION DE RIESGOS EN ALIMENTO</v>
      </c>
      <c r="D556" s="20" t="str">
        <f>VLOOKUP(C556,'[1]terceros cto'!B$1:F$65536,5,0)</f>
        <v>sonia.alfonso@seapriesgos.com</v>
      </c>
      <c r="E556" s="21" t="s">
        <v>2252</v>
      </c>
      <c r="F556" s="9" t="str">
        <f>VLOOKUP(C556,'[1]terceros cto'!B$1:D$65536,3,0)</f>
        <v>CR 50 136 26</v>
      </c>
      <c r="G556" s="21">
        <v>15516</v>
      </c>
      <c r="H556" s="9">
        <v>212</v>
      </c>
      <c r="I556" s="30">
        <v>100009</v>
      </c>
      <c r="J556" s="31">
        <v>0</v>
      </c>
      <c r="K556" s="22">
        <v>0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  <c r="CD556" s="9"/>
      <c r="CE556" s="9"/>
      <c r="CF556" s="9"/>
      <c r="CG556" s="9"/>
      <c r="CH556" s="9"/>
      <c r="CI556" s="9"/>
      <c r="CJ556" s="9"/>
      <c r="CK556" s="9"/>
      <c r="CL556" s="9"/>
      <c r="CM556" s="9"/>
      <c r="CN556" s="9"/>
      <c r="CO556" s="9"/>
      <c r="CP556" s="9"/>
      <c r="CQ556" s="9"/>
      <c r="CR556" s="9"/>
      <c r="CS556" s="9"/>
      <c r="CT556" s="9"/>
      <c r="CU556" s="9"/>
      <c r="CV556" s="9"/>
      <c r="CW556" s="9"/>
      <c r="CX556" s="9"/>
      <c r="CY556" s="9"/>
      <c r="CZ556" s="9"/>
      <c r="DA556" s="9"/>
      <c r="DB556" s="9"/>
      <c r="DC556" s="9"/>
      <c r="DD556" s="9"/>
      <c r="DE556" s="9"/>
      <c r="DF556" s="9"/>
      <c r="DG556" s="9"/>
      <c r="DH556" s="9"/>
      <c r="DI556" s="9"/>
      <c r="DJ556" s="9"/>
      <c r="DK556" s="9"/>
      <c r="DL556" s="9"/>
      <c r="DM556" s="9"/>
      <c r="DN556" s="9"/>
      <c r="DO556" s="9"/>
      <c r="DP556" s="9"/>
      <c r="DQ556" s="9"/>
      <c r="DR556" s="9"/>
      <c r="DS556" s="9"/>
      <c r="DT556" s="9"/>
      <c r="DU556" s="9"/>
      <c r="DV556" s="9"/>
      <c r="DW556" s="9"/>
      <c r="DX556" s="9"/>
      <c r="DY556" s="9"/>
      <c r="DZ556" s="9"/>
      <c r="EA556" s="9"/>
      <c r="EB556" s="9"/>
      <c r="EC556" s="9"/>
      <c r="ED556" s="9"/>
      <c r="EE556" s="9"/>
      <c r="EF556" s="9"/>
      <c r="EG556" s="9"/>
      <c r="EH556" s="9"/>
      <c r="EI556" s="9"/>
      <c r="EJ556" s="9"/>
      <c r="EK556" s="9"/>
      <c r="EL556" s="9"/>
    </row>
    <row r="557" spans="1:142" x14ac:dyDescent="0.35">
      <c r="A557" s="9">
        <v>900785313</v>
      </c>
      <c r="B557" s="19">
        <v>3</v>
      </c>
      <c r="C557" s="9" t="str">
        <f>VLOOKUP(A557,'[1]terceros cto'!A$1:B$65536,2,0)</f>
        <v>SUMMASINGENIERISS</v>
      </c>
      <c r="D557" s="20" t="str">
        <f>VLOOKUP(C557,'[1]terceros cto'!B$1:F$65536,5,0)</f>
        <v>summa.ing.sas@gmail.com</v>
      </c>
      <c r="E557" s="21" t="s">
        <v>2252</v>
      </c>
      <c r="F557" s="9" t="str">
        <f>VLOOKUP(C557,'[1]terceros cto'!B$1:D$65536,3,0)</f>
        <v>CLL10N 12 07</v>
      </c>
      <c r="G557" s="21">
        <v>15516</v>
      </c>
      <c r="H557" s="9">
        <v>212</v>
      </c>
      <c r="I557" s="28">
        <v>130012</v>
      </c>
      <c r="J557" s="29">
        <v>0</v>
      </c>
      <c r="K557" s="22">
        <v>0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  <c r="CJ557" s="9"/>
      <c r="CK557" s="9"/>
      <c r="CL557" s="9"/>
      <c r="CM557" s="9"/>
      <c r="CN557" s="9"/>
      <c r="CO557" s="9"/>
      <c r="CP557" s="9"/>
      <c r="CQ557" s="9"/>
      <c r="CR557" s="9"/>
      <c r="CS557" s="9"/>
      <c r="CT557" s="9"/>
      <c r="CU557" s="9"/>
      <c r="CV557" s="9"/>
      <c r="CW557" s="9"/>
      <c r="CX557" s="9"/>
      <c r="CY557" s="9"/>
      <c r="CZ557" s="9"/>
      <c r="DA557" s="9"/>
      <c r="DB557" s="9"/>
      <c r="DC557" s="9"/>
      <c r="DD557" s="9"/>
      <c r="DE557" s="9"/>
      <c r="DF557" s="9"/>
      <c r="DG557" s="9"/>
      <c r="DH557" s="9"/>
      <c r="DI557" s="9"/>
      <c r="DJ557" s="9"/>
      <c r="DK557" s="9"/>
      <c r="DL557" s="9"/>
      <c r="DM557" s="9"/>
      <c r="DN557" s="9"/>
      <c r="DO557" s="9"/>
      <c r="DP557" s="9"/>
      <c r="DQ557" s="9"/>
      <c r="DR557" s="9"/>
      <c r="DS557" s="9"/>
      <c r="DT557" s="9"/>
      <c r="DU557" s="9"/>
      <c r="DV557" s="9"/>
      <c r="DW557" s="9"/>
      <c r="DX557" s="9"/>
      <c r="DY557" s="9"/>
      <c r="DZ557" s="9"/>
      <c r="EA557" s="9"/>
      <c r="EB557" s="9"/>
      <c r="EC557" s="9"/>
      <c r="ED557" s="9"/>
      <c r="EE557" s="9"/>
      <c r="EF557" s="9"/>
      <c r="EG557" s="9"/>
      <c r="EH557" s="9"/>
      <c r="EI557" s="9"/>
      <c r="EJ557" s="9"/>
      <c r="EK557" s="9"/>
      <c r="EL557" s="9"/>
    </row>
    <row r="558" spans="1:142" x14ac:dyDescent="0.35">
      <c r="A558" s="9">
        <v>900803721</v>
      </c>
      <c r="B558" s="19">
        <v>3</v>
      </c>
      <c r="C558" s="9" t="str">
        <f>VLOOKUP(A558,'[1]terceros cto'!A$1:B$65536,2,0)</f>
        <v>D AGROS SAS</v>
      </c>
      <c r="D558" s="20" t="str">
        <f>VLOOKUP(C558,'[1]terceros cto'!B$1:F$65536,5,0)</f>
        <v>dagroscontabilidad@hotmail.com</v>
      </c>
      <c r="E558" s="21" t="s">
        <v>2252</v>
      </c>
      <c r="F558" s="9" t="str">
        <f>VLOOKUP(C558,'[1]terceros cto'!B$1:D$65536,3,0)</f>
        <v>Paipa</v>
      </c>
      <c r="G558" s="21">
        <v>15516</v>
      </c>
      <c r="H558" s="9">
        <v>212</v>
      </c>
      <c r="I558" s="30">
        <v>100000</v>
      </c>
      <c r="J558" s="31">
        <v>0</v>
      </c>
      <c r="K558" s="22">
        <v>0</v>
      </c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  <c r="CD558" s="9"/>
      <c r="CE558" s="9"/>
      <c r="CF558" s="9"/>
      <c r="CG558" s="9"/>
      <c r="CH558" s="9"/>
      <c r="CI558" s="9"/>
      <c r="CJ558" s="9"/>
      <c r="CK558" s="9"/>
      <c r="CL558" s="9"/>
      <c r="CM558" s="9"/>
      <c r="CN558" s="9"/>
      <c r="CO558" s="9"/>
      <c r="CP558" s="9"/>
      <c r="CQ558" s="9"/>
      <c r="CR558" s="9"/>
      <c r="CS558" s="9"/>
      <c r="CT558" s="9"/>
      <c r="CU558" s="9"/>
      <c r="CV558" s="9"/>
      <c r="CW558" s="9"/>
      <c r="CX558" s="9"/>
      <c r="CY558" s="9"/>
      <c r="CZ558" s="9"/>
      <c r="DA558" s="9"/>
      <c r="DB558" s="9"/>
      <c r="DC558" s="9"/>
      <c r="DD558" s="9"/>
      <c r="DE558" s="9"/>
      <c r="DF558" s="9"/>
      <c r="DG558" s="9"/>
      <c r="DH558" s="9"/>
      <c r="DI558" s="9"/>
      <c r="DJ558" s="9"/>
      <c r="DK558" s="9"/>
      <c r="DL558" s="9"/>
      <c r="DM558" s="9"/>
      <c r="DN558" s="9"/>
      <c r="DO558" s="9"/>
      <c r="DP558" s="9"/>
      <c r="DQ558" s="9"/>
      <c r="DR558" s="9"/>
      <c r="DS558" s="9"/>
      <c r="DT558" s="9"/>
      <c r="DU558" s="9"/>
      <c r="DV558" s="9"/>
      <c r="DW558" s="9"/>
      <c r="DX558" s="9"/>
      <c r="DY558" s="9"/>
      <c r="DZ558" s="9"/>
      <c r="EA558" s="9"/>
      <c r="EB558" s="9"/>
      <c r="EC558" s="9"/>
      <c r="ED558" s="9"/>
      <c r="EE558" s="9"/>
      <c r="EF558" s="9"/>
      <c r="EG558" s="9"/>
      <c r="EH558" s="9"/>
      <c r="EI558" s="9"/>
      <c r="EJ558" s="9"/>
      <c r="EK558" s="9"/>
      <c r="EL558" s="9"/>
    </row>
    <row r="559" spans="1:142" x14ac:dyDescent="0.35">
      <c r="A559" s="9">
        <v>900813668</v>
      </c>
      <c r="B559" s="19">
        <v>3</v>
      </c>
      <c r="C559" s="9" t="str">
        <f>VLOOKUP(A559,'[1]terceros cto'!A$1:B$65536,2,0)</f>
        <v>AMERICANA DE TECNOLOGÍA Y COMUNICAC</v>
      </c>
      <c r="D559" s="20" t="str">
        <f>VLOOKUP(C559,'[1]terceros cto'!B$1:F$65536,5,0)</f>
        <v>facturas.amtec@yahoo.com</v>
      </c>
      <c r="E559" s="21" t="s">
        <v>2252</v>
      </c>
      <c r="F559" s="9" t="str">
        <f>VLOOKUP(C559,'[1]terceros cto'!B$1:D$65536,3,0)</f>
        <v>Paipa</v>
      </c>
      <c r="G559" s="21">
        <v>15516</v>
      </c>
      <c r="H559" s="9">
        <v>212</v>
      </c>
      <c r="I559" s="28">
        <v>581542</v>
      </c>
      <c r="J559" s="29">
        <v>0</v>
      </c>
      <c r="K559" s="22">
        <v>0</v>
      </c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  <c r="CJ559" s="9"/>
      <c r="CK559" s="9"/>
      <c r="CL559" s="9"/>
      <c r="CM559" s="9"/>
      <c r="CN559" s="9"/>
      <c r="CO559" s="9"/>
      <c r="CP559" s="9"/>
      <c r="CQ559" s="9"/>
      <c r="CR559" s="9"/>
      <c r="CS559" s="9"/>
      <c r="CT559" s="9"/>
      <c r="CU559" s="9"/>
      <c r="CV559" s="9"/>
      <c r="CW559" s="9"/>
      <c r="CX559" s="9"/>
      <c r="CY559" s="9"/>
      <c r="CZ559" s="9"/>
      <c r="DA559" s="9"/>
      <c r="DB559" s="9"/>
      <c r="DC559" s="9"/>
      <c r="DD559" s="9"/>
      <c r="DE559" s="9"/>
      <c r="DF559" s="9"/>
      <c r="DG559" s="9"/>
      <c r="DH559" s="9"/>
      <c r="DI559" s="9"/>
      <c r="DJ559" s="9"/>
      <c r="DK559" s="9"/>
      <c r="DL559" s="9"/>
      <c r="DM559" s="9"/>
      <c r="DN559" s="9"/>
      <c r="DO559" s="9"/>
      <c r="DP559" s="9"/>
      <c r="DQ559" s="9"/>
      <c r="DR559" s="9"/>
      <c r="DS559" s="9"/>
      <c r="DT559" s="9"/>
      <c r="DU559" s="9"/>
      <c r="DV559" s="9"/>
      <c r="DW559" s="9"/>
      <c r="DX559" s="9"/>
      <c r="DY559" s="9"/>
      <c r="DZ559" s="9"/>
      <c r="EA559" s="9"/>
      <c r="EB559" s="9"/>
      <c r="EC559" s="9"/>
      <c r="ED559" s="9"/>
      <c r="EE559" s="9"/>
      <c r="EF559" s="9"/>
      <c r="EG559" s="9"/>
      <c r="EH559" s="9"/>
      <c r="EI559" s="9"/>
      <c r="EJ559" s="9"/>
      <c r="EK559" s="9"/>
      <c r="EL559" s="9"/>
    </row>
    <row r="560" spans="1:142" x14ac:dyDescent="0.35">
      <c r="A560" s="9">
        <v>900826698</v>
      </c>
      <c r="B560" s="19">
        <v>0</v>
      </c>
      <c r="C560" s="9" t="str">
        <f>VLOOKUP(A560,'[1]terceros cto'!A$1:B$65536,2,0)</f>
        <v>SAN JOSE FLOWERS SAS</v>
      </c>
      <c r="D560" s="20" t="str">
        <f>VLOOKUP(C560,'[1]terceros cto'!B$1:F$65536,5,0)</f>
        <v>sanjose201502@gmail.com</v>
      </c>
      <c r="E560" s="21" t="s">
        <v>2252</v>
      </c>
      <c r="F560" s="9" t="str">
        <f>VLOOKUP(C560,'[1]terceros cto'!B$1:D$65536,3,0)</f>
        <v>VEREDA SAN JOSE FCA CASA QUEMADA</v>
      </c>
      <c r="G560" s="21">
        <v>15516</v>
      </c>
      <c r="H560" s="9">
        <v>212</v>
      </c>
      <c r="I560" s="30">
        <v>221071</v>
      </c>
      <c r="J560" s="31">
        <v>0</v>
      </c>
      <c r="K560" s="22">
        <v>0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  <c r="CJ560" s="9"/>
      <c r="CK560" s="9"/>
      <c r="CL560" s="9"/>
      <c r="CM560" s="9"/>
      <c r="CN560" s="9"/>
      <c r="CO560" s="9"/>
      <c r="CP560" s="9"/>
      <c r="CQ560" s="9"/>
      <c r="CR560" s="9"/>
      <c r="CS560" s="9"/>
      <c r="CT560" s="9"/>
      <c r="CU560" s="9"/>
      <c r="CV560" s="9"/>
      <c r="CW560" s="9"/>
      <c r="CX560" s="9"/>
      <c r="CY560" s="9"/>
      <c r="CZ560" s="9"/>
      <c r="DA560" s="9"/>
      <c r="DB560" s="9"/>
      <c r="DC560" s="9"/>
      <c r="DD560" s="9"/>
      <c r="DE560" s="9"/>
      <c r="DF560" s="9"/>
      <c r="DG560" s="9"/>
      <c r="DH560" s="9"/>
      <c r="DI560" s="9"/>
      <c r="DJ560" s="9"/>
      <c r="DK560" s="9"/>
      <c r="DL560" s="9"/>
      <c r="DM560" s="9"/>
      <c r="DN560" s="9"/>
      <c r="DO560" s="9"/>
      <c r="DP560" s="9"/>
      <c r="DQ560" s="9"/>
      <c r="DR560" s="9"/>
      <c r="DS560" s="9"/>
      <c r="DT560" s="9"/>
      <c r="DU560" s="9"/>
      <c r="DV560" s="9"/>
      <c r="DW560" s="9"/>
      <c r="DX560" s="9"/>
      <c r="DY560" s="9"/>
      <c r="DZ560" s="9"/>
      <c r="EA560" s="9"/>
      <c r="EB560" s="9"/>
      <c r="EC560" s="9"/>
      <c r="ED560" s="9"/>
      <c r="EE560" s="9"/>
      <c r="EF560" s="9"/>
      <c r="EG560" s="9"/>
      <c r="EH560" s="9"/>
      <c r="EI560" s="9"/>
      <c r="EJ560" s="9"/>
      <c r="EK560" s="9"/>
      <c r="EL560" s="9"/>
    </row>
    <row r="561" spans="1:142" x14ac:dyDescent="0.35">
      <c r="A561" s="9">
        <v>900831284</v>
      </c>
      <c r="B561" s="19">
        <v>5</v>
      </c>
      <c r="C561" s="9" t="str">
        <f>VLOOKUP(A561,'[1]terceros cto'!A$1:B$65536,2,0)</f>
        <v>CONSTRUCCIONES Y REDES ELECTRICAS LG SAS</v>
      </c>
      <c r="D561" s="20" t="str">
        <f>VLOOKUP(C561,'[1]terceros cto'!B$1:F$65536,5,0)</f>
        <v>construccionesyredeslg@gmail.com</v>
      </c>
      <c r="E561" s="21" t="s">
        <v>2252</v>
      </c>
      <c r="F561" s="9" t="str">
        <f>VLOOKUP(C561,'[1]terceros cto'!B$1:D$65536,3,0)</f>
        <v>CARRERA 22 N 25-61 OFI 205</v>
      </c>
      <c r="G561" s="21">
        <v>15516</v>
      </c>
      <c r="H561" s="9">
        <v>212</v>
      </c>
      <c r="I561" s="28">
        <v>1781307</v>
      </c>
      <c r="J561" s="29">
        <v>0</v>
      </c>
      <c r="K561" s="22">
        <v>0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  <c r="CJ561" s="9"/>
      <c r="CK561" s="9"/>
      <c r="CL561" s="9"/>
      <c r="CM561" s="9"/>
      <c r="CN561" s="9"/>
      <c r="CO561" s="9"/>
      <c r="CP561" s="9"/>
      <c r="CQ561" s="9"/>
      <c r="CR561" s="9"/>
      <c r="CS561" s="9"/>
      <c r="CT561" s="9"/>
      <c r="CU561" s="9"/>
      <c r="CV561" s="9"/>
      <c r="CW561" s="9"/>
      <c r="CX561" s="9"/>
      <c r="CY561" s="9"/>
      <c r="CZ561" s="9"/>
      <c r="DA561" s="9"/>
      <c r="DB561" s="9"/>
      <c r="DC561" s="9"/>
      <c r="DD561" s="9"/>
      <c r="DE561" s="9"/>
      <c r="DF561" s="9"/>
      <c r="DG561" s="9"/>
      <c r="DH561" s="9"/>
      <c r="DI561" s="9"/>
      <c r="DJ561" s="9"/>
      <c r="DK561" s="9"/>
      <c r="DL561" s="9"/>
      <c r="DM561" s="9"/>
      <c r="DN561" s="9"/>
      <c r="DO561" s="9"/>
      <c r="DP561" s="9"/>
      <c r="DQ561" s="9"/>
      <c r="DR561" s="9"/>
      <c r="DS561" s="9"/>
      <c r="DT561" s="9"/>
      <c r="DU561" s="9"/>
      <c r="DV561" s="9"/>
      <c r="DW561" s="9"/>
      <c r="DX561" s="9"/>
      <c r="DY561" s="9"/>
      <c r="DZ561" s="9"/>
      <c r="EA561" s="9"/>
      <c r="EB561" s="9"/>
      <c r="EC561" s="9"/>
      <c r="ED561" s="9"/>
      <c r="EE561" s="9"/>
      <c r="EF561" s="9"/>
      <c r="EG561" s="9"/>
      <c r="EH561" s="9"/>
      <c r="EI561" s="9"/>
      <c r="EJ561" s="9"/>
      <c r="EK561" s="9"/>
      <c r="EL561" s="9"/>
    </row>
    <row r="562" spans="1:142" x14ac:dyDescent="0.35">
      <c r="A562" s="9">
        <v>900831406</v>
      </c>
      <c r="B562" s="19">
        <v>7</v>
      </c>
      <c r="C562" s="9" t="str">
        <f>VLOOKUP(A562,'[1]terceros cto'!A$1:B$65536,2,0)</f>
        <v>INDUSTRIAS FLEXICAR SAS</v>
      </c>
      <c r="D562" s="20" t="str">
        <f>VLOOKUP(C562,'[1]terceros cto'!B$1:F$65536,5,0)</f>
        <v>induflex@hotmail.com</v>
      </c>
      <c r="E562" s="21" t="s">
        <v>2252</v>
      </c>
      <c r="F562" s="9" t="str">
        <f>VLOOKUP(C562,'[1]terceros cto'!B$1:D$65536,3,0)</f>
        <v>Paipa</v>
      </c>
      <c r="G562" s="21">
        <v>15516</v>
      </c>
      <c r="H562" s="9">
        <v>212</v>
      </c>
      <c r="I562" s="30">
        <v>100000</v>
      </c>
      <c r="J562" s="31">
        <v>0</v>
      </c>
      <c r="K562" s="22">
        <v>0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  <c r="CJ562" s="9"/>
      <c r="CK562" s="9"/>
      <c r="CL562" s="9"/>
      <c r="CM562" s="9"/>
      <c r="CN562" s="9"/>
      <c r="CO562" s="9"/>
      <c r="CP562" s="9"/>
      <c r="CQ562" s="9"/>
      <c r="CR562" s="9"/>
      <c r="CS562" s="9"/>
      <c r="CT562" s="9"/>
      <c r="CU562" s="9"/>
      <c r="CV562" s="9"/>
      <c r="CW562" s="9"/>
      <c r="CX562" s="9"/>
      <c r="CY562" s="9"/>
      <c r="CZ562" s="9"/>
      <c r="DA562" s="9"/>
      <c r="DB562" s="9"/>
      <c r="DC562" s="9"/>
      <c r="DD562" s="9"/>
      <c r="DE562" s="9"/>
      <c r="DF562" s="9"/>
      <c r="DG562" s="9"/>
      <c r="DH562" s="9"/>
      <c r="DI562" s="9"/>
      <c r="DJ562" s="9"/>
      <c r="DK562" s="9"/>
      <c r="DL562" s="9"/>
      <c r="DM562" s="9"/>
      <c r="DN562" s="9"/>
      <c r="DO562" s="9"/>
      <c r="DP562" s="9"/>
      <c r="DQ562" s="9"/>
      <c r="DR562" s="9"/>
      <c r="DS562" s="9"/>
      <c r="DT562" s="9"/>
      <c r="DU562" s="9"/>
      <c r="DV562" s="9"/>
      <c r="DW562" s="9"/>
      <c r="DX562" s="9"/>
      <c r="DY562" s="9"/>
      <c r="DZ562" s="9"/>
      <c r="EA562" s="9"/>
      <c r="EB562" s="9"/>
      <c r="EC562" s="9"/>
      <c r="ED562" s="9"/>
      <c r="EE562" s="9"/>
      <c r="EF562" s="9"/>
      <c r="EG562" s="9"/>
      <c r="EH562" s="9"/>
      <c r="EI562" s="9"/>
      <c r="EJ562" s="9"/>
      <c r="EK562" s="9"/>
      <c r="EL562" s="9"/>
    </row>
    <row r="563" spans="1:142" x14ac:dyDescent="0.35">
      <c r="A563" s="9">
        <v>900849655</v>
      </c>
      <c r="B563" s="19">
        <v>3</v>
      </c>
      <c r="C563" s="9" t="str">
        <f>VLOOKUP(A563,'[1]terceros cto'!A$1:B$65536,2,0)</f>
        <v>GRUPO AAA ASESORES SAS</v>
      </c>
      <c r="D563" s="20" t="str">
        <f>VLOOKUP(C563,'[1]terceros cto'!B$1:F$65536,5,0)</f>
        <v>smartjobtecnology@sjterp.com</v>
      </c>
      <c r="E563" s="21" t="s">
        <v>2252</v>
      </c>
      <c r="F563" s="9" t="str">
        <f>VLOOKUP(C563,'[1]terceros cto'!B$1:D$65536,3,0)</f>
        <v>Paipa</v>
      </c>
      <c r="G563" s="21">
        <v>15516</v>
      </c>
      <c r="H563" s="9">
        <v>212</v>
      </c>
      <c r="I563" s="28">
        <v>76097</v>
      </c>
      <c r="J563" s="29">
        <v>0</v>
      </c>
      <c r="K563" s="22">
        <v>0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9"/>
      <c r="CD563" s="9"/>
      <c r="CE563" s="9"/>
      <c r="CF563" s="9"/>
      <c r="CG563" s="9"/>
      <c r="CH563" s="9"/>
      <c r="CI563" s="9"/>
      <c r="CJ563" s="9"/>
      <c r="CK563" s="9"/>
      <c r="CL563" s="9"/>
      <c r="CM563" s="9"/>
      <c r="CN563" s="9"/>
      <c r="CO563" s="9"/>
      <c r="CP563" s="9"/>
      <c r="CQ563" s="9"/>
      <c r="CR563" s="9"/>
      <c r="CS563" s="9"/>
      <c r="CT563" s="9"/>
      <c r="CU563" s="9"/>
      <c r="CV563" s="9"/>
      <c r="CW563" s="9"/>
      <c r="CX563" s="9"/>
      <c r="CY563" s="9"/>
      <c r="CZ563" s="9"/>
      <c r="DA563" s="9"/>
      <c r="DB563" s="9"/>
      <c r="DC563" s="9"/>
      <c r="DD563" s="9"/>
      <c r="DE563" s="9"/>
      <c r="DF563" s="9"/>
      <c r="DG563" s="9"/>
      <c r="DH563" s="9"/>
      <c r="DI563" s="9"/>
      <c r="DJ563" s="9"/>
      <c r="DK563" s="9"/>
      <c r="DL563" s="9"/>
      <c r="DM563" s="9"/>
      <c r="DN563" s="9"/>
      <c r="DO563" s="9"/>
      <c r="DP563" s="9"/>
      <c r="DQ563" s="9"/>
      <c r="DR563" s="9"/>
      <c r="DS563" s="9"/>
      <c r="DT563" s="9"/>
      <c r="DU563" s="9"/>
      <c r="DV563" s="9"/>
      <c r="DW563" s="9"/>
      <c r="DX563" s="9"/>
      <c r="DY563" s="9"/>
      <c r="DZ563" s="9"/>
      <c r="EA563" s="9"/>
      <c r="EB563" s="9"/>
      <c r="EC563" s="9"/>
      <c r="ED563" s="9"/>
      <c r="EE563" s="9"/>
      <c r="EF563" s="9"/>
      <c r="EG563" s="9"/>
      <c r="EH563" s="9"/>
      <c r="EI563" s="9"/>
      <c r="EJ563" s="9"/>
      <c r="EK563" s="9"/>
      <c r="EL563" s="9"/>
    </row>
    <row r="564" spans="1:142" x14ac:dyDescent="0.35">
      <c r="A564" s="9">
        <v>900864453</v>
      </c>
      <c r="B564" s="19">
        <v>5</v>
      </c>
      <c r="C564" s="9" t="str">
        <f>VLOOKUP(A564,'[1]terceros cto'!A$1:B$65536,2,0)</f>
        <v>ISACAM COMERCIALIZADORA Y DISTRIBU</v>
      </c>
      <c r="D564" s="20" t="str">
        <f>VLOOKUP(C564,'[1]terceros cto'!B$1:F$65536,5,0)</f>
        <v>gerencia@isacamsas.com</v>
      </c>
      <c r="E564" s="21" t="s">
        <v>2252</v>
      </c>
      <c r="F564" s="9" t="str">
        <f>VLOOKUP(C564,'[1]terceros cto'!B$1:D$65536,3,0)</f>
        <v>CALLE 116 # 15 B- 53</v>
      </c>
      <c r="G564" s="21">
        <v>15516</v>
      </c>
      <c r="H564" s="9">
        <v>212</v>
      </c>
      <c r="I564" s="30">
        <v>100009</v>
      </c>
      <c r="J564" s="31">
        <v>0</v>
      </c>
      <c r="K564" s="22">
        <v>0</v>
      </c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9"/>
      <c r="CD564" s="9"/>
      <c r="CE564" s="9"/>
      <c r="CF564" s="9"/>
      <c r="CG564" s="9"/>
      <c r="CH564" s="9"/>
      <c r="CI564" s="9"/>
      <c r="CJ564" s="9"/>
      <c r="CK564" s="9"/>
      <c r="CL564" s="9"/>
      <c r="CM564" s="9"/>
      <c r="CN564" s="9"/>
      <c r="CO564" s="9"/>
      <c r="CP564" s="9"/>
      <c r="CQ564" s="9"/>
      <c r="CR564" s="9"/>
      <c r="CS564" s="9"/>
      <c r="CT564" s="9"/>
      <c r="CU564" s="9"/>
      <c r="CV564" s="9"/>
      <c r="CW564" s="9"/>
      <c r="CX564" s="9"/>
      <c r="CY564" s="9"/>
      <c r="CZ564" s="9"/>
      <c r="DA564" s="9"/>
      <c r="DB564" s="9"/>
      <c r="DC564" s="9"/>
      <c r="DD564" s="9"/>
      <c r="DE564" s="9"/>
      <c r="DF564" s="9"/>
      <c r="DG564" s="9"/>
      <c r="DH564" s="9"/>
      <c r="DI564" s="9"/>
      <c r="DJ564" s="9"/>
      <c r="DK564" s="9"/>
      <c r="DL564" s="9"/>
      <c r="DM564" s="9"/>
      <c r="DN564" s="9"/>
      <c r="DO564" s="9"/>
      <c r="DP564" s="9"/>
      <c r="DQ564" s="9"/>
      <c r="DR564" s="9"/>
      <c r="DS564" s="9"/>
      <c r="DT564" s="9"/>
      <c r="DU564" s="9"/>
      <c r="DV564" s="9"/>
      <c r="DW564" s="9"/>
      <c r="DX564" s="9"/>
      <c r="DY564" s="9"/>
      <c r="DZ564" s="9"/>
      <c r="EA564" s="9"/>
      <c r="EB564" s="9"/>
      <c r="EC564" s="9"/>
      <c r="ED564" s="9"/>
      <c r="EE564" s="9"/>
      <c r="EF564" s="9"/>
      <c r="EG564" s="9"/>
      <c r="EH564" s="9"/>
      <c r="EI564" s="9"/>
      <c r="EJ564" s="9"/>
      <c r="EK564" s="9"/>
      <c r="EL564" s="9"/>
    </row>
    <row r="565" spans="1:142" x14ac:dyDescent="0.35">
      <c r="A565" s="9">
        <v>900881667</v>
      </c>
      <c r="B565" s="19">
        <v>6</v>
      </c>
      <c r="C565" s="9" t="str">
        <f>VLOOKUP(A565,'[1]terceros cto'!A$1:B$65536,2,0)</f>
        <v>C.E.A FITTIPALDI DOS S A S</v>
      </c>
      <c r="D565" s="20" t="str">
        <f>VLOOKUP(C565,'[1]terceros cto'!B$1:F$65536,5,0)</f>
        <v>ceafittipaldidos@hotmail.com</v>
      </c>
      <c r="E565" s="21" t="s">
        <v>2252</v>
      </c>
      <c r="F565" s="9" t="str">
        <f>VLOOKUP(C565,'[1]terceros cto'!B$1:D$65536,3,0)</f>
        <v>CR 8 C 186 80</v>
      </c>
      <c r="G565" s="21">
        <v>15516</v>
      </c>
      <c r="H565" s="9">
        <v>212</v>
      </c>
      <c r="I565" s="28">
        <v>110347</v>
      </c>
      <c r="J565" s="29">
        <v>0</v>
      </c>
      <c r="K565" s="22">
        <v>0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  <c r="CJ565" s="9"/>
      <c r="CK565" s="9"/>
      <c r="CL565" s="9"/>
      <c r="CM565" s="9"/>
      <c r="CN565" s="9"/>
      <c r="CO565" s="9"/>
      <c r="CP565" s="9"/>
      <c r="CQ565" s="9"/>
      <c r="CR565" s="9"/>
      <c r="CS565" s="9"/>
      <c r="CT565" s="9"/>
      <c r="CU565" s="9"/>
      <c r="CV565" s="9"/>
      <c r="CW565" s="9"/>
      <c r="CX565" s="9"/>
      <c r="CY565" s="9"/>
      <c r="CZ565" s="9"/>
      <c r="DA565" s="9"/>
      <c r="DB565" s="9"/>
      <c r="DC565" s="9"/>
      <c r="DD565" s="9"/>
      <c r="DE565" s="9"/>
      <c r="DF565" s="9"/>
      <c r="DG565" s="9"/>
      <c r="DH565" s="9"/>
      <c r="DI565" s="9"/>
      <c r="DJ565" s="9"/>
      <c r="DK565" s="9"/>
      <c r="DL565" s="9"/>
      <c r="DM565" s="9"/>
      <c r="DN565" s="9"/>
      <c r="DO565" s="9"/>
      <c r="DP565" s="9"/>
      <c r="DQ565" s="9"/>
      <c r="DR565" s="9"/>
      <c r="DS565" s="9"/>
      <c r="DT565" s="9"/>
      <c r="DU565" s="9"/>
      <c r="DV565" s="9"/>
      <c r="DW565" s="9"/>
      <c r="DX565" s="9"/>
      <c r="DY565" s="9"/>
      <c r="DZ565" s="9"/>
      <c r="EA565" s="9"/>
      <c r="EB565" s="9"/>
      <c r="EC565" s="9"/>
      <c r="ED565" s="9"/>
      <c r="EE565" s="9"/>
      <c r="EF565" s="9"/>
      <c r="EG565" s="9"/>
      <c r="EH565" s="9"/>
      <c r="EI565" s="9"/>
      <c r="EJ565" s="9"/>
      <c r="EK565" s="9"/>
      <c r="EL565" s="9"/>
    </row>
    <row r="566" spans="1:142" x14ac:dyDescent="0.35">
      <c r="A566" s="9">
        <v>900882137</v>
      </c>
      <c r="B566" s="19">
        <v>9</v>
      </c>
      <c r="C566" s="9" t="str">
        <f>VLOOKUP(A566,'[1]terceros cto'!A$1:B$65536,2,0)</f>
        <v>CANTER CUND INGENIERIA SAS</v>
      </c>
      <c r="D566" s="20" t="str">
        <f>VLOOKUP(C566,'[1]terceros cto'!B$1:F$65536,5,0)</f>
        <v>cantercund2015@hotmail.com</v>
      </c>
      <c r="E566" s="21" t="s">
        <v>2252</v>
      </c>
      <c r="F566" s="9" t="str">
        <f>VLOOKUP(C566,'[1]terceros cto'!B$1:D$65536,3,0)</f>
        <v>CALLE 163 N7-47</v>
      </c>
      <c r="G566" s="21">
        <v>15516</v>
      </c>
      <c r="H566" s="9">
        <v>212</v>
      </c>
      <c r="I566" s="30">
        <v>100008</v>
      </c>
      <c r="J566" s="31">
        <v>0</v>
      </c>
      <c r="K566" s="22">
        <v>0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  <c r="CJ566" s="9"/>
      <c r="CK566" s="9"/>
      <c r="CL566" s="9"/>
      <c r="CM566" s="9"/>
      <c r="CN566" s="9"/>
      <c r="CO566" s="9"/>
      <c r="CP566" s="9"/>
      <c r="CQ566" s="9"/>
      <c r="CR566" s="9"/>
      <c r="CS566" s="9"/>
      <c r="CT566" s="9"/>
      <c r="CU566" s="9"/>
      <c r="CV566" s="9"/>
      <c r="CW566" s="9"/>
      <c r="CX566" s="9"/>
      <c r="CY566" s="9"/>
      <c r="CZ566" s="9"/>
      <c r="DA566" s="9"/>
      <c r="DB566" s="9"/>
      <c r="DC566" s="9"/>
      <c r="DD566" s="9"/>
      <c r="DE566" s="9"/>
      <c r="DF566" s="9"/>
      <c r="DG566" s="9"/>
      <c r="DH566" s="9"/>
      <c r="DI566" s="9"/>
      <c r="DJ566" s="9"/>
      <c r="DK566" s="9"/>
      <c r="DL566" s="9"/>
      <c r="DM566" s="9"/>
      <c r="DN566" s="9"/>
      <c r="DO566" s="9"/>
      <c r="DP566" s="9"/>
      <c r="DQ566" s="9"/>
      <c r="DR566" s="9"/>
      <c r="DS566" s="9"/>
      <c r="DT566" s="9"/>
      <c r="DU566" s="9"/>
      <c r="DV566" s="9"/>
      <c r="DW566" s="9"/>
      <c r="DX566" s="9"/>
      <c r="DY566" s="9"/>
      <c r="DZ566" s="9"/>
      <c r="EA566" s="9"/>
      <c r="EB566" s="9"/>
      <c r="EC566" s="9"/>
      <c r="ED566" s="9"/>
      <c r="EE566" s="9"/>
      <c r="EF566" s="9"/>
      <c r="EG566" s="9"/>
      <c r="EH566" s="9"/>
      <c r="EI566" s="9"/>
      <c r="EJ566" s="9"/>
      <c r="EK566" s="9"/>
      <c r="EL566" s="9"/>
    </row>
    <row r="567" spans="1:142" x14ac:dyDescent="0.35">
      <c r="A567" s="9">
        <v>900883046</v>
      </c>
      <c r="B567" s="19">
        <v>1</v>
      </c>
      <c r="C567" s="9" t="str">
        <f>VLOOKUP(A567,'[1]terceros cto'!A$1:B$65536,2,0)</f>
        <v>J &amp; E CONSULTORIAS Y SERVICIOS SAS</v>
      </c>
      <c r="D567" s="20" t="str">
        <f>VLOOKUP(C567,'[1]terceros cto'!B$1:F$65536,5,0)</f>
        <v>jeestratificamoscolombia@gmail.com</v>
      </c>
      <c r="E567" s="21" t="s">
        <v>2252</v>
      </c>
      <c r="F567" s="9" t="str">
        <f>VLOOKUP(C567,'[1]terceros cto'!B$1:D$65536,3,0)</f>
        <v xml:space="preserve"> CR 1 F 40 195 ED ENTERPRISE TO 2 OF 417</v>
      </c>
      <c r="G567" s="21">
        <v>15516</v>
      </c>
      <c r="H567" s="9">
        <v>212</v>
      </c>
      <c r="I567" s="28">
        <v>462036</v>
      </c>
      <c r="J567" s="29">
        <v>0</v>
      </c>
      <c r="K567" s="22">
        <v>0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  <c r="CJ567" s="9"/>
      <c r="CK567" s="9"/>
      <c r="CL567" s="9"/>
      <c r="CM567" s="9"/>
      <c r="CN567" s="9"/>
      <c r="CO567" s="9"/>
      <c r="CP567" s="9"/>
      <c r="CQ567" s="9"/>
      <c r="CR567" s="9"/>
      <c r="CS567" s="9"/>
      <c r="CT567" s="9"/>
      <c r="CU567" s="9"/>
      <c r="CV567" s="9"/>
      <c r="CW567" s="9"/>
      <c r="CX567" s="9"/>
      <c r="CY567" s="9"/>
      <c r="CZ567" s="9"/>
      <c r="DA567" s="9"/>
      <c r="DB567" s="9"/>
      <c r="DC567" s="9"/>
      <c r="DD567" s="9"/>
      <c r="DE567" s="9"/>
      <c r="DF567" s="9"/>
      <c r="DG567" s="9"/>
      <c r="DH567" s="9"/>
      <c r="DI567" s="9"/>
      <c r="DJ567" s="9"/>
      <c r="DK567" s="9"/>
      <c r="DL567" s="9"/>
      <c r="DM567" s="9"/>
      <c r="DN567" s="9"/>
      <c r="DO567" s="9"/>
      <c r="DP567" s="9"/>
      <c r="DQ567" s="9"/>
      <c r="DR567" s="9"/>
      <c r="DS567" s="9"/>
      <c r="DT567" s="9"/>
      <c r="DU567" s="9"/>
      <c r="DV567" s="9"/>
      <c r="DW567" s="9"/>
      <c r="DX567" s="9"/>
      <c r="DY567" s="9"/>
      <c r="DZ567" s="9"/>
      <c r="EA567" s="9"/>
      <c r="EB567" s="9"/>
      <c r="EC567" s="9"/>
      <c r="ED567" s="9"/>
      <c r="EE567" s="9"/>
      <c r="EF567" s="9"/>
      <c r="EG567" s="9"/>
      <c r="EH567" s="9"/>
      <c r="EI567" s="9"/>
      <c r="EJ567" s="9"/>
      <c r="EK567" s="9"/>
      <c r="EL567" s="9"/>
    </row>
    <row r="568" spans="1:142" x14ac:dyDescent="0.35">
      <c r="A568" s="9">
        <v>900893568</v>
      </c>
      <c r="B568" s="19">
        <v>7</v>
      </c>
      <c r="C568" s="9" t="str">
        <f>VLOOKUP(A568,'[1]terceros cto'!A$1:B$65536,2,0)</f>
        <v>TITA ALEGRIA VIVA SAS</v>
      </c>
      <c r="D568" s="20" t="str">
        <f>VLOOKUP(C568,'[1]terceros cto'!B$1:F$65536,5,0)</f>
        <v>contador@camarth.com</v>
      </c>
      <c r="E568" s="21" t="s">
        <v>2252</v>
      </c>
      <c r="F568" s="9" t="str">
        <f>VLOOKUP(C568,'[1]terceros cto'!B$1:D$65536,3,0)</f>
        <v>Calle 127a # 7-19 Ofc 504</v>
      </c>
      <c r="G568" s="21">
        <v>15516</v>
      </c>
      <c r="H568" s="9">
        <v>212</v>
      </c>
      <c r="I568" s="30">
        <v>193000</v>
      </c>
      <c r="J568" s="31">
        <v>0</v>
      </c>
      <c r="K568" s="22">
        <v>0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  <c r="CD568" s="9"/>
      <c r="CE568" s="9"/>
      <c r="CF568" s="9"/>
      <c r="CG568" s="9"/>
      <c r="CH568" s="9"/>
      <c r="CI568" s="9"/>
      <c r="CJ568" s="9"/>
      <c r="CK568" s="9"/>
      <c r="CL568" s="9"/>
      <c r="CM568" s="9"/>
      <c r="CN568" s="9"/>
      <c r="CO568" s="9"/>
      <c r="CP568" s="9"/>
      <c r="CQ568" s="9"/>
      <c r="CR568" s="9"/>
      <c r="CS568" s="9"/>
      <c r="CT568" s="9"/>
      <c r="CU568" s="9"/>
      <c r="CV568" s="9"/>
      <c r="CW568" s="9"/>
      <c r="CX568" s="9"/>
      <c r="CY568" s="9"/>
      <c r="CZ568" s="9"/>
      <c r="DA568" s="9"/>
      <c r="DB568" s="9"/>
      <c r="DC568" s="9"/>
      <c r="DD568" s="9"/>
      <c r="DE568" s="9"/>
      <c r="DF568" s="9"/>
      <c r="DG568" s="9"/>
      <c r="DH568" s="9"/>
      <c r="DI568" s="9"/>
      <c r="DJ568" s="9"/>
      <c r="DK568" s="9"/>
      <c r="DL568" s="9"/>
      <c r="DM568" s="9"/>
      <c r="DN568" s="9"/>
      <c r="DO568" s="9"/>
      <c r="DP568" s="9"/>
      <c r="DQ568" s="9"/>
      <c r="DR568" s="9"/>
      <c r="DS568" s="9"/>
      <c r="DT568" s="9"/>
      <c r="DU568" s="9"/>
      <c r="DV568" s="9"/>
      <c r="DW568" s="9"/>
      <c r="DX568" s="9"/>
      <c r="DY568" s="9"/>
      <c r="DZ568" s="9"/>
      <c r="EA568" s="9"/>
      <c r="EB568" s="9"/>
      <c r="EC568" s="9"/>
      <c r="ED568" s="9"/>
      <c r="EE568" s="9"/>
      <c r="EF568" s="9"/>
      <c r="EG568" s="9"/>
      <c r="EH568" s="9"/>
      <c r="EI568" s="9"/>
      <c r="EJ568" s="9"/>
      <c r="EK568" s="9"/>
      <c r="EL568" s="9"/>
    </row>
    <row r="569" spans="1:142" x14ac:dyDescent="0.35">
      <c r="A569" s="9">
        <v>900928517</v>
      </c>
      <c r="B569" s="19">
        <v>4</v>
      </c>
      <c r="C569" s="9" t="str">
        <f>VLOOKUP(A569,'[1]terceros cto'!A$1:B$65536,2,0)</f>
        <v>TRASNPORTE LOGISTICA DE PASAJES Y S</v>
      </c>
      <c r="D569" s="20" t="str">
        <f>VLOOKUP(C569,'[1]terceros cto'!B$1:F$65536,5,0)</f>
        <v>facturacion@transpaservic.com</v>
      </c>
      <c r="E569" s="21" t="s">
        <v>2252</v>
      </c>
      <c r="F569" s="9" t="str">
        <f>VLOOKUP(C569,'[1]terceros cto'!B$1:D$65536,3,0)</f>
        <v>Paipa</v>
      </c>
      <c r="G569" s="21">
        <v>15516</v>
      </c>
      <c r="H569" s="9">
        <v>212</v>
      </c>
      <c r="I569" s="28">
        <v>68726</v>
      </c>
      <c r="J569" s="29">
        <v>0</v>
      </c>
      <c r="K569" s="22">
        <v>0</v>
      </c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  <c r="CL569" s="9"/>
      <c r="CM569" s="9"/>
      <c r="CN569" s="9"/>
      <c r="CO569" s="9"/>
      <c r="CP569" s="9"/>
      <c r="CQ569" s="9"/>
      <c r="CR569" s="9"/>
      <c r="CS569" s="9"/>
      <c r="CT569" s="9"/>
      <c r="CU569" s="9"/>
      <c r="CV569" s="9"/>
      <c r="CW569" s="9"/>
      <c r="CX569" s="9"/>
      <c r="CY569" s="9"/>
      <c r="CZ569" s="9"/>
      <c r="DA569" s="9"/>
      <c r="DB569" s="9"/>
      <c r="DC569" s="9"/>
      <c r="DD569" s="9"/>
      <c r="DE569" s="9"/>
      <c r="DF569" s="9"/>
      <c r="DG569" s="9"/>
      <c r="DH569" s="9"/>
      <c r="DI569" s="9"/>
      <c r="DJ569" s="9"/>
      <c r="DK569" s="9"/>
      <c r="DL569" s="9"/>
      <c r="DM569" s="9"/>
      <c r="DN569" s="9"/>
      <c r="DO569" s="9"/>
      <c r="DP569" s="9"/>
      <c r="DQ569" s="9"/>
      <c r="DR569" s="9"/>
      <c r="DS569" s="9"/>
      <c r="DT569" s="9"/>
      <c r="DU569" s="9"/>
      <c r="DV569" s="9"/>
      <c r="DW569" s="9"/>
      <c r="DX569" s="9"/>
      <c r="DY569" s="9"/>
      <c r="DZ569" s="9"/>
      <c r="EA569" s="9"/>
      <c r="EB569" s="9"/>
      <c r="EC569" s="9"/>
      <c r="ED569" s="9"/>
      <c r="EE569" s="9"/>
      <c r="EF569" s="9"/>
      <c r="EG569" s="9"/>
      <c r="EH569" s="9"/>
      <c r="EI569" s="9"/>
      <c r="EJ569" s="9"/>
      <c r="EK569" s="9"/>
      <c r="EL569" s="9"/>
    </row>
    <row r="570" spans="1:142" x14ac:dyDescent="0.35">
      <c r="A570" s="9">
        <v>900931529</v>
      </c>
      <c r="B570" s="19">
        <v>3</v>
      </c>
      <c r="C570" s="9" t="str">
        <f>VLOOKUP(A570,'[1]terceros cto'!A$1:B$65536,2,0)</f>
        <v>IAF INGENIERIA SAS</v>
      </c>
      <c r="D570" s="20" t="str">
        <f>VLOOKUP(C570,'[1]terceros cto'!B$1:F$65536,5,0)</f>
        <v>antonia@hymasesores.com</v>
      </c>
      <c r="E570" s="21" t="s">
        <v>2252</v>
      </c>
      <c r="F570" s="9" t="str">
        <f>VLOOKUP(C570,'[1]terceros cto'!B$1:D$65536,3,0)</f>
        <v>Paipa</v>
      </c>
      <c r="G570" s="21">
        <v>15516</v>
      </c>
      <c r="H570" s="9">
        <v>212</v>
      </c>
      <c r="I570" s="30">
        <v>131007</v>
      </c>
      <c r="J570" s="31">
        <v>0</v>
      </c>
      <c r="K570" s="22">
        <v>0</v>
      </c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  <c r="CJ570" s="9"/>
      <c r="CK570" s="9"/>
      <c r="CL570" s="9"/>
      <c r="CM570" s="9"/>
      <c r="CN570" s="9"/>
      <c r="CO570" s="9"/>
      <c r="CP570" s="9"/>
      <c r="CQ570" s="9"/>
      <c r="CR570" s="9"/>
      <c r="CS570" s="9"/>
      <c r="CT570" s="9"/>
      <c r="CU570" s="9"/>
      <c r="CV570" s="9"/>
      <c r="CW570" s="9"/>
      <c r="CX570" s="9"/>
      <c r="CY570" s="9"/>
      <c r="CZ570" s="9"/>
      <c r="DA570" s="9"/>
      <c r="DB570" s="9"/>
      <c r="DC570" s="9"/>
      <c r="DD570" s="9"/>
      <c r="DE570" s="9"/>
      <c r="DF570" s="9"/>
      <c r="DG570" s="9"/>
      <c r="DH570" s="9"/>
      <c r="DI570" s="9"/>
      <c r="DJ570" s="9"/>
      <c r="DK570" s="9"/>
      <c r="DL570" s="9"/>
      <c r="DM570" s="9"/>
      <c r="DN570" s="9"/>
      <c r="DO570" s="9"/>
      <c r="DP570" s="9"/>
      <c r="DQ570" s="9"/>
      <c r="DR570" s="9"/>
      <c r="DS570" s="9"/>
      <c r="DT570" s="9"/>
      <c r="DU570" s="9"/>
      <c r="DV570" s="9"/>
      <c r="DW570" s="9"/>
      <c r="DX570" s="9"/>
      <c r="DY570" s="9"/>
      <c r="DZ570" s="9"/>
      <c r="EA570" s="9"/>
      <c r="EB570" s="9"/>
      <c r="EC570" s="9"/>
      <c r="ED570" s="9"/>
      <c r="EE570" s="9"/>
      <c r="EF570" s="9"/>
      <c r="EG570" s="9"/>
      <c r="EH570" s="9"/>
      <c r="EI570" s="9"/>
      <c r="EJ570" s="9"/>
      <c r="EK570" s="9"/>
      <c r="EL570" s="9"/>
    </row>
    <row r="571" spans="1:142" x14ac:dyDescent="0.35">
      <c r="A571" s="9">
        <v>900935505</v>
      </c>
      <c r="B571" s="19">
        <v>5</v>
      </c>
      <c r="C571" s="9" t="str">
        <f>VLOOKUP(A571,'[1]terceros cto'!A$1:B$65536,2,0)</f>
        <v>ORGANIZACION JUAN PABLO S.A.S.</v>
      </c>
      <c r="D571" s="20" t="str">
        <f>VLOOKUP(C571,'[1]terceros cto'!B$1:F$65536,5,0)</f>
        <v>fjuanpablo.remanso@gmail.com</v>
      </c>
      <c r="E571" s="21" t="s">
        <v>2252</v>
      </c>
      <c r="F571" s="9" t="str">
        <f>VLOOKUP(C571,'[1]terceros cto'!B$1:D$65536,3,0)</f>
        <v>CR 22 25 17</v>
      </c>
      <c r="G571" s="21">
        <v>15516</v>
      </c>
      <c r="H571" s="9">
        <v>212</v>
      </c>
      <c r="I571" s="28">
        <v>997958</v>
      </c>
      <c r="J571" s="29">
        <v>309413</v>
      </c>
      <c r="K571" s="22">
        <v>309413</v>
      </c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  <c r="CJ571" s="9"/>
      <c r="CK571" s="9"/>
      <c r="CL571" s="9"/>
      <c r="CM571" s="9"/>
      <c r="CN571" s="9"/>
      <c r="CO571" s="9"/>
      <c r="CP571" s="9"/>
      <c r="CQ571" s="9"/>
      <c r="CR571" s="9"/>
      <c r="CS571" s="9"/>
      <c r="CT571" s="9"/>
      <c r="CU571" s="9"/>
      <c r="CV571" s="9"/>
      <c r="CW571" s="9"/>
      <c r="CX571" s="9"/>
      <c r="CY571" s="9"/>
      <c r="CZ571" s="9"/>
      <c r="DA571" s="9"/>
      <c r="DB571" s="9"/>
      <c r="DC571" s="9"/>
      <c r="DD571" s="9"/>
      <c r="DE571" s="9"/>
      <c r="DF571" s="9"/>
      <c r="DG571" s="9"/>
      <c r="DH571" s="9"/>
      <c r="DI571" s="9"/>
      <c r="DJ571" s="9"/>
      <c r="DK571" s="9"/>
      <c r="DL571" s="9"/>
      <c r="DM571" s="9"/>
      <c r="DN571" s="9"/>
      <c r="DO571" s="9"/>
      <c r="DP571" s="9"/>
      <c r="DQ571" s="9"/>
      <c r="DR571" s="9"/>
      <c r="DS571" s="9"/>
      <c r="DT571" s="9"/>
      <c r="DU571" s="9"/>
      <c r="DV571" s="9"/>
      <c r="DW571" s="9"/>
      <c r="DX571" s="9"/>
      <c r="DY571" s="9"/>
      <c r="DZ571" s="9"/>
      <c r="EA571" s="9"/>
      <c r="EB571" s="9"/>
      <c r="EC571" s="9"/>
      <c r="ED571" s="9"/>
      <c r="EE571" s="9"/>
      <c r="EF571" s="9"/>
      <c r="EG571" s="9"/>
      <c r="EH571" s="9"/>
      <c r="EI571" s="9"/>
      <c r="EJ571" s="9"/>
      <c r="EK571" s="9"/>
      <c r="EL571" s="9"/>
    </row>
    <row r="572" spans="1:142" x14ac:dyDescent="0.35">
      <c r="A572" s="9">
        <v>900941265</v>
      </c>
      <c r="B572" s="19">
        <v>7</v>
      </c>
      <c r="C572" s="9" t="str">
        <f>VLOOKUP(A572,'[1]terceros cto'!A$1:B$65536,2,0)</f>
        <v>IMPORTADORA HM</v>
      </c>
      <c r="D572" s="20" t="str">
        <f>VLOOKUP(C572,'[1]terceros cto'!B$1:F$65536,5,0)</f>
        <v>contabilidad@importadorahm.co</v>
      </c>
      <c r="E572" s="21" t="s">
        <v>2252</v>
      </c>
      <c r="F572" s="9" t="str">
        <f>VLOOKUP(C572,'[1]terceros cto'!B$1:D$65536,3,0)</f>
        <v>Paipa</v>
      </c>
      <c r="G572" s="21">
        <v>15516</v>
      </c>
      <c r="H572" s="9">
        <v>212</v>
      </c>
      <c r="I572" s="30">
        <v>200000</v>
      </c>
      <c r="J572" s="31">
        <v>0</v>
      </c>
      <c r="K572" s="22">
        <v>0</v>
      </c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  <c r="CJ572" s="9"/>
      <c r="CK572" s="9"/>
      <c r="CL572" s="9"/>
      <c r="CM572" s="9"/>
      <c r="CN572" s="9"/>
      <c r="CO572" s="9"/>
      <c r="CP572" s="9"/>
      <c r="CQ572" s="9"/>
      <c r="CR572" s="9"/>
      <c r="CS572" s="9"/>
      <c r="CT572" s="9"/>
      <c r="CU572" s="9"/>
      <c r="CV572" s="9"/>
      <c r="CW572" s="9"/>
      <c r="CX572" s="9"/>
      <c r="CY572" s="9"/>
      <c r="CZ572" s="9"/>
      <c r="DA572" s="9"/>
      <c r="DB572" s="9"/>
      <c r="DC572" s="9"/>
      <c r="DD572" s="9"/>
      <c r="DE572" s="9"/>
      <c r="DF572" s="9"/>
      <c r="DG572" s="9"/>
      <c r="DH572" s="9"/>
      <c r="DI572" s="9"/>
      <c r="DJ572" s="9"/>
      <c r="DK572" s="9"/>
      <c r="DL572" s="9"/>
      <c r="DM572" s="9"/>
      <c r="DN572" s="9"/>
      <c r="DO572" s="9"/>
      <c r="DP572" s="9"/>
      <c r="DQ572" s="9"/>
      <c r="DR572" s="9"/>
      <c r="DS572" s="9"/>
      <c r="DT572" s="9"/>
      <c r="DU572" s="9"/>
      <c r="DV572" s="9"/>
      <c r="DW572" s="9"/>
      <c r="DX572" s="9"/>
      <c r="DY572" s="9"/>
      <c r="DZ572" s="9"/>
      <c r="EA572" s="9"/>
      <c r="EB572" s="9"/>
      <c r="EC572" s="9"/>
      <c r="ED572" s="9"/>
      <c r="EE572" s="9"/>
      <c r="EF572" s="9"/>
      <c r="EG572" s="9"/>
      <c r="EH572" s="9"/>
      <c r="EI572" s="9"/>
      <c r="EJ572" s="9"/>
      <c r="EK572" s="9"/>
      <c r="EL572" s="9"/>
    </row>
    <row r="573" spans="1:142" x14ac:dyDescent="0.35">
      <c r="A573" s="9">
        <v>900957961</v>
      </c>
      <c r="B573" s="19">
        <v>5</v>
      </c>
      <c r="C573" s="9" t="str">
        <f>VLOOKUP(A573,'[1]terceros cto'!A$1:B$65536,2,0)</f>
        <v>INDUSTRIAS METALICAS FABRIMET SAS</v>
      </c>
      <c r="D573" s="20" t="str">
        <f>VLOOKUP(C573,'[1]terceros cto'!B$1:F$65536,5,0)</f>
        <v>ind.fabrimet@gmail.com</v>
      </c>
      <c r="E573" s="21" t="s">
        <v>2252</v>
      </c>
      <c r="F573" s="9" t="str">
        <f>VLOOKUP(C573,'[1]terceros cto'!B$1:D$65536,3,0)</f>
        <v>Carrera 35 14 a 47</v>
      </c>
      <c r="G573" s="21">
        <v>15516</v>
      </c>
      <c r="H573" s="9">
        <v>212</v>
      </c>
      <c r="I573" s="28">
        <v>20008</v>
      </c>
      <c r="J573" s="29">
        <v>0</v>
      </c>
      <c r="K573" s="22">
        <v>0</v>
      </c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  <c r="CJ573" s="9"/>
      <c r="CK573" s="9"/>
      <c r="CL573" s="9"/>
      <c r="CM573" s="9"/>
      <c r="CN573" s="9"/>
      <c r="CO573" s="9"/>
      <c r="CP573" s="9"/>
      <c r="CQ573" s="9"/>
      <c r="CR573" s="9"/>
      <c r="CS573" s="9"/>
      <c r="CT573" s="9"/>
      <c r="CU573" s="9"/>
      <c r="CV573" s="9"/>
      <c r="CW573" s="9"/>
      <c r="CX573" s="9"/>
      <c r="CY573" s="9"/>
      <c r="CZ573" s="9"/>
      <c r="DA573" s="9"/>
      <c r="DB573" s="9"/>
      <c r="DC573" s="9"/>
      <c r="DD573" s="9"/>
      <c r="DE573" s="9"/>
      <c r="DF573" s="9"/>
      <c r="DG573" s="9"/>
      <c r="DH573" s="9"/>
      <c r="DI573" s="9"/>
      <c r="DJ573" s="9"/>
      <c r="DK573" s="9"/>
      <c r="DL573" s="9"/>
      <c r="DM573" s="9"/>
      <c r="DN573" s="9"/>
      <c r="DO573" s="9"/>
      <c r="DP573" s="9"/>
      <c r="DQ573" s="9"/>
      <c r="DR573" s="9"/>
      <c r="DS573" s="9"/>
      <c r="DT573" s="9"/>
      <c r="DU573" s="9"/>
      <c r="DV573" s="9"/>
      <c r="DW573" s="9"/>
      <c r="DX573" s="9"/>
      <c r="DY573" s="9"/>
      <c r="DZ573" s="9"/>
      <c r="EA573" s="9"/>
      <c r="EB573" s="9"/>
      <c r="EC573" s="9"/>
      <c r="ED573" s="9"/>
      <c r="EE573" s="9"/>
      <c r="EF573" s="9"/>
      <c r="EG573" s="9"/>
      <c r="EH573" s="9"/>
      <c r="EI573" s="9"/>
      <c r="EJ573" s="9"/>
      <c r="EK573" s="9"/>
      <c r="EL573" s="9"/>
    </row>
    <row r="574" spans="1:142" x14ac:dyDescent="0.35">
      <c r="A574" s="9">
        <v>900958819</v>
      </c>
      <c r="B574" s="19">
        <v>1</v>
      </c>
      <c r="C574" s="9" t="str">
        <f>VLOOKUP(A574,'[1]terceros cto'!A$1:B$65536,2,0)</f>
        <v>ILUMINACION.CO SAS</v>
      </c>
      <c r="D574" s="20" t="str">
        <f>VLOOKUP(C574,'[1]terceros cto'!B$1:F$65536,5,0)</f>
        <v>john@iluminacion.co</v>
      </c>
      <c r="E574" s="21" t="s">
        <v>2252</v>
      </c>
      <c r="F574" s="9" t="str">
        <f>VLOOKUP(C574,'[1]terceros cto'!B$1:D$65536,3,0)</f>
        <v>paipa</v>
      </c>
      <c r="G574" s="21">
        <v>15516</v>
      </c>
      <c r="H574" s="9">
        <v>212</v>
      </c>
      <c r="I574" s="30">
        <v>100000</v>
      </c>
      <c r="J574" s="31">
        <v>0</v>
      </c>
      <c r="K574" s="22">
        <v>0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  <c r="CJ574" s="9"/>
      <c r="CK574" s="9"/>
      <c r="CL574" s="9"/>
      <c r="CM574" s="9"/>
      <c r="CN574" s="9"/>
      <c r="CO574" s="9"/>
      <c r="CP574" s="9"/>
      <c r="CQ574" s="9"/>
      <c r="CR574" s="9"/>
      <c r="CS574" s="9"/>
      <c r="CT574" s="9"/>
      <c r="CU574" s="9"/>
      <c r="CV574" s="9"/>
      <c r="CW574" s="9"/>
      <c r="CX574" s="9"/>
      <c r="CY574" s="9"/>
      <c r="CZ574" s="9"/>
      <c r="DA574" s="9"/>
      <c r="DB574" s="9"/>
      <c r="DC574" s="9"/>
      <c r="DD574" s="9"/>
      <c r="DE574" s="9"/>
      <c r="DF574" s="9"/>
      <c r="DG574" s="9"/>
      <c r="DH574" s="9"/>
      <c r="DI574" s="9"/>
      <c r="DJ574" s="9"/>
      <c r="DK574" s="9"/>
      <c r="DL574" s="9"/>
      <c r="DM574" s="9"/>
      <c r="DN574" s="9"/>
      <c r="DO574" s="9"/>
      <c r="DP574" s="9"/>
      <c r="DQ574" s="9"/>
      <c r="DR574" s="9"/>
      <c r="DS574" s="9"/>
      <c r="DT574" s="9"/>
      <c r="DU574" s="9"/>
      <c r="DV574" s="9"/>
      <c r="DW574" s="9"/>
      <c r="DX574" s="9"/>
      <c r="DY574" s="9"/>
      <c r="DZ574" s="9"/>
      <c r="EA574" s="9"/>
      <c r="EB574" s="9"/>
      <c r="EC574" s="9"/>
      <c r="ED574" s="9"/>
      <c r="EE574" s="9"/>
      <c r="EF574" s="9"/>
      <c r="EG574" s="9"/>
      <c r="EH574" s="9"/>
      <c r="EI574" s="9"/>
      <c r="EJ574" s="9"/>
      <c r="EK574" s="9"/>
      <c r="EL574" s="9"/>
    </row>
    <row r="575" spans="1:142" x14ac:dyDescent="0.35">
      <c r="A575" s="9">
        <v>900971264</v>
      </c>
      <c r="B575" s="19">
        <v>8</v>
      </c>
      <c r="C575" s="9" t="str">
        <f>VLOOKUP(A575,'[1]terceros cto'!A$1:B$65536,2,0)</f>
        <v>SIMPLE PLUS SAS</v>
      </c>
      <c r="D575" s="20" t="str">
        <f>VLOOKUP(C575,'[1]terceros cto'!B$1:F$65536,5,0)</f>
        <v>facturacion@simpleplus.com.co</v>
      </c>
      <c r="E575" s="21" t="s">
        <v>2252</v>
      </c>
      <c r="F575" s="9" t="str">
        <f>VLOOKUP(C575,'[1]terceros cto'!B$1:D$65536,3,0)</f>
        <v>Paipa</v>
      </c>
      <c r="G575" s="21">
        <v>15516</v>
      </c>
      <c r="H575" s="9">
        <v>212</v>
      </c>
      <c r="I575" s="28">
        <v>130000</v>
      </c>
      <c r="J575" s="29">
        <v>0</v>
      </c>
      <c r="K575" s="22">
        <v>0</v>
      </c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  <c r="CJ575" s="9"/>
      <c r="CK575" s="9"/>
      <c r="CL575" s="9"/>
      <c r="CM575" s="9"/>
      <c r="CN575" s="9"/>
      <c r="CO575" s="9"/>
      <c r="CP575" s="9"/>
      <c r="CQ575" s="9"/>
      <c r="CR575" s="9"/>
      <c r="CS575" s="9"/>
      <c r="CT575" s="9"/>
      <c r="CU575" s="9"/>
      <c r="CV575" s="9"/>
      <c r="CW575" s="9"/>
      <c r="CX575" s="9"/>
      <c r="CY575" s="9"/>
      <c r="CZ575" s="9"/>
      <c r="DA575" s="9"/>
      <c r="DB575" s="9"/>
      <c r="DC575" s="9"/>
      <c r="DD575" s="9"/>
      <c r="DE575" s="9"/>
      <c r="DF575" s="9"/>
      <c r="DG575" s="9"/>
      <c r="DH575" s="9"/>
      <c r="DI575" s="9"/>
      <c r="DJ575" s="9"/>
      <c r="DK575" s="9"/>
      <c r="DL575" s="9"/>
      <c r="DM575" s="9"/>
      <c r="DN575" s="9"/>
      <c r="DO575" s="9"/>
      <c r="DP575" s="9"/>
      <c r="DQ575" s="9"/>
      <c r="DR575" s="9"/>
      <c r="DS575" s="9"/>
      <c r="DT575" s="9"/>
      <c r="DU575" s="9"/>
      <c r="DV575" s="9"/>
      <c r="DW575" s="9"/>
      <c r="DX575" s="9"/>
      <c r="DY575" s="9"/>
      <c r="DZ575" s="9"/>
      <c r="EA575" s="9"/>
      <c r="EB575" s="9"/>
      <c r="EC575" s="9"/>
      <c r="ED575" s="9"/>
      <c r="EE575" s="9"/>
      <c r="EF575" s="9"/>
      <c r="EG575" s="9"/>
      <c r="EH575" s="9"/>
      <c r="EI575" s="9"/>
      <c r="EJ575" s="9"/>
      <c r="EK575" s="9"/>
      <c r="EL575" s="9"/>
    </row>
    <row r="576" spans="1:142" x14ac:dyDescent="0.35">
      <c r="A576" s="9">
        <v>900971385</v>
      </c>
      <c r="B576" s="19">
        <v>0</v>
      </c>
      <c r="C576" s="9" t="str">
        <f>VLOOKUP(A576,'[1]terceros cto'!A$1:B$65536,2,0)</f>
        <v>SOLUGRAL SAS</v>
      </c>
      <c r="D576" s="20" t="str">
        <f>VLOOKUP(C576,'[1]terceros cto'!B$1:F$65536,5,0)</f>
        <v>contable@solugral.com</v>
      </c>
      <c r="E576" s="21" t="s">
        <v>2252</v>
      </c>
      <c r="F576" s="9" t="str">
        <f>VLOOKUP(C576,'[1]terceros cto'!B$1:D$65536,3,0)</f>
        <v>VDA SAN ONOFRE MZ 4 BG 30 SEC PARQU</v>
      </c>
      <c r="G576" s="21">
        <v>15516</v>
      </c>
      <c r="H576" s="9">
        <v>212</v>
      </c>
      <c r="I576" s="30">
        <v>100008</v>
      </c>
      <c r="J576" s="31">
        <v>0</v>
      </c>
      <c r="K576" s="22">
        <v>0</v>
      </c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  <c r="CD576" s="9"/>
      <c r="CE576" s="9"/>
      <c r="CF576" s="9"/>
      <c r="CG576" s="9"/>
      <c r="CH576" s="9"/>
      <c r="CI576" s="9"/>
      <c r="CJ576" s="9"/>
      <c r="CK576" s="9"/>
      <c r="CL576" s="9"/>
      <c r="CM576" s="9"/>
      <c r="CN576" s="9"/>
      <c r="CO576" s="9"/>
      <c r="CP576" s="9"/>
      <c r="CQ576" s="9"/>
      <c r="CR576" s="9"/>
      <c r="CS576" s="9"/>
      <c r="CT576" s="9"/>
      <c r="CU576" s="9"/>
      <c r="CV576" s="9"/>
      <c r="CW576" s="9"/>
      <c r="CX576" s="9"/>
      <c r="CY576" s="9"/>
      <c r="CZ576" s="9"/>
      <c r="DA576" s="9"/>
      <c r="DB576" s="9"/>
      <c r="DC576" s="9"/>
      <c r="DD576" s="9"/>
      <c r="DE576" s="9"/>
      <c r="DF576" s="9"/>
      <c r="DG576" s="9"/>
      <c r="DH576" s="9"/>
      <c r="DI576" s="9"/>
      <c r="DJ576" s="9"/>
      <c r="DK576" s="9"/>
      <c r="DL576" s="9"/>
      <c r="DM576" s="9"/>
      <c r="DN576" s="9"/>
      <c r="DO576" s="9"/>
      <c r="DP576" s="9"/>
      <c r="DQ576" s="9"/>
      <c r="DR576" s="9"/>
      <c r="DS576" s="9"/>
      <c r="DT576" s="9"/>
      <c r="DU576" s="9"/>
      <c r="DV576" s="9"/>
      <c r="DW576" s="9"/>
      <c r="DX576" s="9"/>
      <c r="DY576" s="9"/>
      <c r="DZ576" s="9"/>
      <c r="EA576" s="9"/>
      <c r="EB576" s="9"/>
      <c r="EC576" s="9"/>
      <c r="ED576" s="9"/>
      <c r="EE576" s="9"/>
      <c r="EF576" s="9"/>
      <c r="EG576" s="9"/>
      <c r="EH576" s="9"/>
      <c r="EI576" s="9"/>
      <c r="EJ576" s="9"/>
      <c r="EK576" s="9"/>
      <c r="EL576" s="9"/>
    </row>
    <row r="577" spans="1:142" x14ac:dyDescent="0.35">
      <c r="A577" s="9">
        <v>900971424</v>
      </c>
      <c r="B577" s="19">
        <v>1</v>
      </c>
      <c r="C577" s="9" t="str">
        <f>VLOOKUP(A577,'[1]terceros cto'!A$1:B$65536,2,0)</f>
        <v>OPERADOR TURISTICO LAS MARGARITAS</v>
      </c>
      <c r="D577" s="20" t="str">
        <f>VLOOKUP(C577,'[1]terceros cto'!B$1:F$65536,5,0)</f>
        <v>coordinacion@hotelsanmarcospaipa.com</v>
      </c>
      <c r="E577" s="21" t="s">
        <v>2252</v>
      </c>
      <c r="F577" s="9" t="str">
        <f>VLOOKUP(C577,'[1]terceros cto'!B$1:D$65536,3,0)</f>
        <v>CALLE 24-16-17</v>
      </c>
      <c r="G577" s="21">
        <v>15516</v>
      </c>
      <c r="H577" s="9">
        <v>212</v>
      </c>
      <c r="I577" s="28">
        <v>1766143</v>
      </c>
      <c r="J577" s="29">
        <v>0</v>
      </c>
      <c r="K577" s="22">
        <v>0</v>
      </c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  <c r="CD577" s="9"/>
      <c r="CE577" s="9"/>
      <c r="CF577" s="9"/>
      <c r="CG577" s="9"/>
      <c r="CH577" s="9"/>
      <c r="CI577" s="9"/>
      <c r="CJ577" s="9"/>
      <c r="CK577" s="9"/>
      <c r="CL577" s="9"/>
      <c r="CM577" s="9"/>
      <c r="CN577" s="9"/>
      <c r="CO577" s="9"/>
      <c r="CP577" s="9"/>
      <c r="CQ577" s="9"/>
      <c r="CR577" s="9"/>
      <c r="CS577" s="9"/>
      <c r="CT577" s="9"/>
      <c r="CU577" s="9"/>
      <c r="CV577" s="9"/>
      <c r="CW577" s="9"/>
      <c r="CX577" s="9"/>
      <c r="CY577" s="9"/>
      <c r="CZ577" s="9"/>
      <c r="DA577" s="9"/>
      <c r="DB577" s="9"/>
      <c r="DC577" s="9"/>
      <c r="DD577" s="9"/>
      <c r="DE577" s="9"/>
      <c r="DF577" s="9"/>
      <c r="DG577" s="9"/>
      <c r="DH577" s="9"/>
      <c r="DI577" s="9"/>
      <c r="DJ577" s="9"/>
      <c r="DK577" s="9"/>
      <c r="DL577" s="9"/>
      <c r="DM577" s="9"/>
      <c r="DN577" s="9"/>
      <c r="DO577" s="9"/>
      <c r="DP577" s="9"/>
      <c r="DQ577" s="9"/>
      <c r="DR577" s="9"/>
      <c r="DS577" s="9"/>
      <c r="DT577" s="9"/>
      <c r="DU577" s="9"/>
      <c r="DV577" s="9"/>
      <c r="DW577" s="9"/>
      <c r="DX577" s="9"/>
      <c r="DY577" s="9"/>
      <c r="DZ577" s="9"/>
      <c r="EA577" s="9"/>
      <c r="EB577" s="9"/>
      <c r="EC577" s="9"/>
      <c r="ED577" s="9"/>
      <c r="EE577" s="9"/>
      <c r="EF577" s="9"/>
      <c r="EG577" s="9"/>
      <c r="EH577" s="9"/>
      <c r="EI577" s="9"/>
      <c r="EJ577" s="9"/>
      <c r="EK577" s="9"/>
      <c r="EL577" s="9"/>
    </row>
    <row r="578" spans="1:142" x14ac:dyDescent="0.35">
      <c r="A578" s="9">
        <v>900976764</v>
      </c>
      <c r="B578" s="19">
        <v>1</v>
      </c>
      <c r="C578" s="9" t="str">
        <f>VLOOKUP(A578,'[1]terceros cto'!A$1:B$65536,2,0)</f>
        <v>EYF COMERCIALIZADORA SAS</v>
      </c>
      <c r="D578" s="20" t="str">
        <f>VLOOKUP(C578,'[1]terceros cto'!B$1:F$65536,5,0)</f>
        <v>eyfcomercializadora@gmail.com</v>
      </c>
      <c r="E578" s="21" t="s">
        <v>2252</v>
      </c>
      <c r="F578" s="9" t="str">
        <f>VLOOKUP(C578,'[1]terceros cto'!B$1:D$65536,3,0)</f>
        <v>Carrera 21 #24-74 Barrio San Antonio</v>
      </c>
      <c r="G578" s="21">
        <v>15516</v>
      </c>
      <c r="H578" s="9">
        <v>212</v>
      </c>
      <c r="I578" s="30">
        <v>196034</v>
      </c>
      <c r="J578" s="31">
        <v>0</v>
      </c>
      <c r="K578" s="22">
        <v>0</v>
      </c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  <c r="CD578" s="9"/>
      <c r="CE578" s="9"/>
      <c r="CF578" s="9"/>
      <c r="CG578" s="9"/>
      <c r="CH578" s="9"/>
      <c r="CI578" s="9"/>
      <c r="CJ578" s="9"/>
      <c r="CK578" s="9"/>
      <c r="CL578" s="9"/>
      <c r="CM578" s="9"/>
      <c r="CN578" s="9"/>
      <c r="CO578" s="9"/>
      <c r="CP578" s="9"/>
      <c r="CQ578" s="9"/>
      <c r="CR578" s="9"/>
      <c r="CS578" s="9"/>
      <c r="CT578" s="9"/>
      <c r="CU578" s="9"/>
      <c r="CV578" s="9"/>
      <c r="CW578" s="9"/>
      <c r="CX578" s="9"/>
      <c r="CY578" s="9"/>
      <c r="CZ578" s="9"/>
      <c r="DA578" s="9"/>
      <c r="DB578" s="9"/>
      <c r="DC578" s="9"/>
      <c r="DD578" s="9"/>
      <c r="DE578" s="9"/>
      <c r="DF578" s="9"/>
      <c r="DG578" s="9"/>
      <c r="DH578" s="9"/>
      <c r="DI578" s="9"/>
      <c r="DJ578" s="9"/>
      <c r="DK578" s="9"/>
      <c r="DL578" s="9"/>
      <c r="DM578" s="9"/>
      <c r="DN578" s="9"/>
      <c r="DO578" s="9"/>
      <c r="DP578" s="9"/>
      <c r="DQ578" s="9"/>
      <c r="DR578" s="9"/>
      <c r="DS578" s="9"/>
      <c r="DT578" s="9"/>
      <c r="DU578" s="9"/>
      <c r="DV578" s="9"/>
      <c r="DW578" s="9"/>
      <c r="DX578" s="9"/>
      <c r="DY578" s="9"/>
      <c r="DZ578" s="9"/>
      <c r="EA578" s="9"/>
      <c r="EB578" s="9"/>
      <c r="EC578" s="9"/>
      <c r="ED578" s="9"/>
      <c r="EE578" s="9"/>
      <c r="EF578" s="9"/>
      <c r="EG578" s="9"/>
      <c r="EH578" s="9"/>
      <c r="EI578" s="9"/>
      <c r="EJ578" s="9"/>
      <c r="EK578" s="9"/>
      <c r="EL578" s="9"/>
    </row>
    <row r="579" spans="1:142" x14ac:dyDescent="0.35">
      <c r="A579" s="9">
        <v>900987911</v>
      </c>
      <c r="B579" s="19">
        <v>5</v>
      </c>
      <c r="C579" s="9" t="str">
        <f>VLOOKUP(A579,'[1]terceros cto'!A$1:B$65536,2,0)</f>
        <v>SABAJON CIPRES SOCIEDAD POR ACCIONES SIMPLIFICADA</v>
      </c>
      <c r="D579" s="20" t="str">
        <f>VLOOKUP(C579,'[1]terceros cto'!B$1:F$65536,5,0)</f>
        <v>sabajoncipressas@gmail.com</v>
      </c>
      <c r="E579" s="21" t="str">
        <f>VLOOKUP(C579,'[1]terceros cto'!B$1:E$65536,4,0)</f>
        <v>7850057</v>
      </c>
      <c r="F579" s="9" t="str">
        <f>VLOOKUP(C579,'[1]terceros cto'!B$1:D$65536,3,0)</f>
        <v>CRA 19 No. 19-07</v>
      </c>
      <c r="G579" s="21">
        <v>15516</v>
      </c>
      <c r="H579" s="9">
        <v>212</v>
      </c>
      <c r="I579" s="28">
        <v>1671000</v>
      </c>
      <c r="J579" s="29">
        <v>0</v>
      </c>
      <c r="K579" s="22">
        <v>0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  <c r="CD579" s="9"/>
      <c r="CE579" s="9"/>
      <c r="CF579" s="9"/>
      <c r="CG579" s="9"/>
      <c r="CH579" s="9"/>
      <c r="CI579" s="9"/>
      <c r="CJ579" s="9"/>
      <c r="CK579" s="9"/>
      <c r="CL579" s="9"/>
      <c r="CM579" s="9"/>
      <c r="CN579" s="9"/>
      <c r="CO579" s="9"/>
      <c r="CP579" s="9"/>
      <c r="CQ579" s="9"/>
      <c r="CR579" s="9"/>
      <c r="CS579" s="9"/>
      <c r="CT579" s="9"/>
      <c r="CU579" s="9"/>
      <c r="CV579" s="9"/>
      <c r="CW579" s="9"/>
      <c r="CX579" s="9"/>
      <c r="CY579" s="9"/>
      <c r="CZ579" s="9"/>
      <c r="DA579" s="9"/>
      <c r="DB579" s="9"/>
      <c r="DC579" s="9"/>
      <c r="DD579" s="9"/>
      <c r="DE579" s="9"/>
      <c r="DF579" s="9"/>
      <c r="DG579" s="9"/>
      <c r="DH579" s="9"/>
      <c r="DI579" s="9"/>
      <c r="DJ579" s="9"/>
      <c r="DK579" s="9"/>
      <c r="DL579" s="9"/>
      <c r="DM579" s="9"/>
      <c r="DN579" s="9"/>
      <c r="DO579" s="9"/>
      <c r="DP579" s="9"/>
      <c r="DQ579" s="9"/>
      <c r="DR579" s="9"/>
      <c r="DS579" s="9"/>
      <c r="DT579" s="9"/>
      <c r="DU579" s="9"/>
      <c r="DV579" s="9"/>
      <c r="DW579" s="9"/>
      <c r="DX579" s="9"/>
      <c r="DY579" s="9"/>
      <c r="DZ579" s="9"/>
      <c r="EA579" s="9"/>
      <c r="EB579" s="9"/>
      <c r="EC579" s="9"/>
      <c r="ED579" s="9"/>
      <c r="EE579" s="9"/>
      <c r="EF579" s="9"/>
      <c r="EG579" s="9"/>
      <c r="EH579" s="9"/>
      <c r="EI579" s="9"/>
      <c r="EJ579" s="9"/>
      <c r="EK579" s="9"/>
      <c r="EL579" s="9"/>
    </row>
    <row r="580" spans="1:142" x14ac:dyDescent="0.35">
      <c r="A580" s="9">
        <v>900996902</v>
      </c>
      <c r="B580" s="19">
        <v>7</v>
      </c>
      <c r="C580" s="9" t="str">
        <f>VLOOKUP(A580,'[1]terceros cto'!A$1:B$65536,2,0)</f>
        <v>BLUE EVENTOS M &amp; B SAS</v>
      </c>
      <c r="D580" s="20" t="str">
        <f>VLOOKUP(C580,'[1]terceros cto'!B$1:F$65536,5,0)</f>
        <v>blueventosmb@gmail.com</v>
      </c>
      <c r="E580" s="21" t="s">
        <v>2252</v>
      </c>
      <c r="F580" s="9" t="str">
        <f>VLOOKUP(C580,'[1]terceros cto'!B$1:D$65536,3,0)</f>
        <v>paipa</v>
      </c>
      <c r="G580" s="21">
        <v>15516</v>
      </c>
      <c r="H580" s="9">
        <v>212</v>
      </c>
      <c r="I580" s="30">
        <v>50000</v>
      </c>
      <c r="J580" s="31">
        <v>0</v>
      </c>
      <c r="K580" s="22">
        <v>0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  <c r="CJ580" s="9"/>
      <c r="CK580" s="9"/>
      <c r="CL580" s="9"/>
      <c r="CM580" s="9"/>
      <c r="CN580" s="9"/>
      <c r="CO580" s="9"/>
      <c r="CP580" s="9"/>
      <c r="CQ580" s="9"/>
      <c r="CR580" s="9"/>
      <c r="CS580" s="9"/>
      <c r="CT580" s="9"/>
      <c r="CU580" s="9"/>
      <c r="CV580" s="9"/>
      <c r="CW580" s="9"/>
      <c r="CX580" s="9"/>
      <c r="CY580" s="9"/>
      <c r="CZ580" s="9"/>
      <c r="DA580" s="9"/>
      <c r="DB580" s="9"/>
      <c r="DC580" s="9"/>
      <c r="DD580" s="9"/>
      <c r="DE580" s="9"/>
      <c r="DF580" s="9"/>
      <c r="DG580" s="9"/>
      <c r="DH580" s="9"/>
      <c r="DI580" s="9"/>
      <c r="DJ580" s="9"/>
      <c r="DK580" s="9"/>
      <c r="DL580" s="9"/>
      <c r="DM580" s="9"/>
      <c r="DN580" s="9"/>
      <c r="DO580" s="9"/>
      <c r="DP580" s="9"/>
      <c r="DQ580" s="9"/>
      <c r="DR580" s="9"/>
      <c r="DS580" s="9"/>
      <c r="DT580" s="9"/>
      <c r="DU580" s="9"/>
      <c r="DV580" s="9"/>
      <c r="DW580" s="9"/>
      <c r="DX580" s="9"/>
      <c r="DY580" s="9"/>
      <c r="DZ580" s="9"/>
      <c r="EA580" s="9"/>
      <c r="EB580" s="9"/>
      <c r="EC580" s="9"/>
      <c r="ED580" s="9"/>
      <c r="EE580" s="9"/>
      <c r="EF580" s="9"/>
      <c r="EG580" s="9"/>
      <c r="EH580" s="9"/>
      <c r="EI580" s="9"/>
      <c r="EJ580" s="9"/>
      <c r="EK580" s="9"/>
      <c r="EL580" s="9"/>
    </row>
    <row r="581" spans="1:142" x14ac:dyDescent="0.35">
      <c r="A581" s="9">
        <v>901030930</v>
      </c>
      <c r="B581" s="19">
        <v>1</v>
      </c>
      <c r="C581" s="9" t="str">
        <f>VLOOKUP(A581,'[1]terceros cto'!A$1:B$65536,2,0)</f>
        <v>LABORATORIOS WR</v>
      </c>
      <c r="D581" s="20" t="str">
        <f>VLOOKUP(C581,'[1]terceros cto'!B$1:F$65536,5,0)</f>
        <v>hse@labwr.com</v>
      </c>
      <c r="E581" s="21" t="s">
        <v>2252</v>
      </c>
      <c r="F581" s="9" t="str">
        <f>VLOOKUP(C581,'[1]terceros cto'!B$1:D$65536,3,0)</f>
        <v>Paipa</v>
      </c>
      <c r="G581" s="21">
        <v>15516</v>
      </c>
      <c r="H581" s="9">
        <v>212</v>
      </c>
      <c r="I581" s="28">
        <v>210027</v>
      </c>
      <c r="J581" s="29">
        <v>0</v>
      </c>
      <c r="K581" s="22">
        <v>0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  <c r="CD581" s="9"/>
      <c r="CE581" s="9"/>
      <c r="CF581" s="9"/>
      <c r="CG581" s="9"/>
      <c r="CH581" s="9"/>
      <c r="CI581" s="9"/>
      <c r="CJ581" s="9"/>
      <c r="CK581" s="9"/>
      <c r="CL581" s="9"/>
      <c r="CM581" s="9"/>
      <c r="CN581" s="9"/>
      <c r="CO581" s="9"/>
      <c r="CP581" s="9"/>
      <c r="CQ581" s="9"/>
      <c r="CR581" s="9"/>
      <c r="CS581" s="9"/>
      <c r="CT581" s="9"/>
      <c r="CU581" s="9"/>
      <c r="CV581" s="9"/>
      <c r="CW581" s="9"/>
      <c r="CX581" s="9"/>
      <c r="CY581" s="9"/>
      <c r="CZ581" s="9"/>
      <c r="DA581" s="9"/>
      <c r="DB581" s="9"/>
      <c r="DC581" s="9"/>
      <c r="DD581" s="9"/>
      <c r="DE581" s="9"/>
      <c r="DF581" s="9"/>
      <c r="DG581" s="9"/>
      <c r="DH581" s="9"/>
      <c r="DI581" s="9"/>
      <c r="DJ581" s="9"/>
      <c r="DK581" s="9"/>
      <c r="DL581" s="9"/>
      <c r="DM581" s="9"/>
      <c r="DN581" s="9"/>
      <c r="DO581" s="9"/>
      <c r="DP581" s="9"/>
      <c r="DQ581" s="9"/>
      <c r="DR581" s="9"/>
      <c r="DS581" s="9"/>
      <c r="DT581" s="9"/>
      <c r="DU581" s="9"/>
      <c r="DV581" s="9"/>
      <c r="DW581" s="9"/>
      <c r="DX581" s="9"/>
      <c r="DY581" s="9"/>
      <c r="DZ581" s="9"/>
      <c r="EA581" s="9"/>
      <c r="EB581" s="9"/>
      <c r="EC581" s="9"/>
      <c r="ED581" s="9"/>
      <c r="EE581" s="9"/>
      <c r="EF581" s="9"/>
      <c r="EG581" s="9"/>
      <c r="EH581" s="9"/>
      <c r="EI581" s="9"/>
      <c r="EJ581" s="9"/>
      <c r="EK581" s="9"/>
      <c r="EL581" s="9"/>
    </row>
    <row r="582" spans="1:142" x14ac:dyDescent="0.35">
      <c r="A582" s="9">
        <v>901039537</v>
      </c>
      <c r="B582" s="19">
        <v>0</v>
      </c>
      <c r="C582" s="9" t="str">
        <f>VLOOKUP(A582,'[1]terceros cto'!A$1:B$65536,2,0)</f>
        <v>EQUIPO CONTINENTAL DE CICLISMO S.A.</v>
      </c>
      <c r="D582" s="20" t="str">
        <f>VLOOKUP(C582,'[1]terceros cto'!B$1:F$65536,5,0)</f>
        <v>braulmesa3@une.net.co</v>
      </c>
      <c r="E582" s="21" t="s">
        <v>2252</v>
      </c>
      <c r="F582" s="9" t="str">
        <f>VLOOKUP(C582,'[1]terceros cto'!B$1:D$65536,3,0)</f>
        <v>paipa</v>
      </c>
      <c r="G582" s="21">
        <v>15516</v>
      </c>
      <c r="H582" s="9">
        <v>212</v>
      </c>
      <c r="I582" s="30">
        <v>120036</v>
      </c>
      <c r="J582" s="31">
        <v>0</v>
      </c>
      <c r="K582" s="22">
        <v>0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  <c r="CJ582" s="9"/>
      <c r="CK582" s="9"/>
      <c r="CL582" s="9"/>
      <c r="CM582" s="9"/>
      <c r="CN582" s="9"/>
      <c r="CO582" s="9"/>
      <c r="CP582" s="9"/>
      <c r="CQ582" s="9"/>
      <c r="CR582" s="9"/>
      <c r="CS582" s="9"/>
      <c r="CT582" s="9"/>
      <c r="CU582" s="9"/>
      <c r="CV582" s="9"/>
      <c r="CW582" s="9"/>
      <c r="CX582" s="9"/>
      <c r="CY582" s="9"/>
      <c r="CZ582" s="9"/>
      <c r="DA582" s="9"/>
      <c r="DB582" s="9"/>
      <c r="DC582" s="9"/>
      <c r="DD582" s="9"/>
      <c r="DE582" s="9"/>
      <c r="DF582" s="9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x14ac:dyDescent="0.35">
      <c r="A583" s="9">
        <v>901045251</v>
      </c>
      <c r="B583" s="19">
        <v>4</v>
      </c>
      <c r="C583" s="9" t="str">
        <f>VLOOKUP(A583,'[1]terceros cto'!A$1:B$65536,2,0)</f>
        <v>OCCA CONSTRUCCIONES SAS</v>
      </c>
      <c r="D583" s="20" t="str">
        <f>VLOOKUP(C583,'[1]terceros cto'!B$1:F$65536,5,0)</f>
        <v>omarcamargo9241@gmail.com</v>
      </c>
      <c r="E583" s="21" t="s">
        <v>2252</v>
      </c>
      <c r="F583" s="9" t="str">
        <f>VLOOKUP(C583,'[1]terceros cto'!B$1:D$65536,3,0)</f>
        <v>BARRIO ESTACION</v>
      </c>
      <c r="G583" s="21">
        <v>15516</v>
      </c>
      <c r="H583" s="9">
        <v>212</v>
      </c>
      <c r="I583" s="28">
        <v>10583935</v>
      </c>
      <c r="J583" s="29">
        <v>0</v>
      </c>
      <c r="K583" s="22">
        <v>0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  <c r="CD583" s="9"/>
      <c r="CE583" s="9"/>
      <c r="CF583" s="9"/>
      <c r="CG583" s="9"/>
      <c r="CH583" s="9"/>
      <c r="CI583" s="9"/>
      <c r="CJ583" s="9"/>
      <c r="CK583" s="9"/>
      <c r="CL583" s="9"/>
      <c r="CM583" s="9"/>
      <c r="CN583" s="9"/>
      <c r="CO583" s="9"/>
      <c r="CP583" s="9"/>
      <c r="CQ583" s="9"/>
      <c r="CR583" s="9"/>
      <c r="CS583" s="9"/>
      <c r="CT583" s="9"/>
      <c r="CU583" s="9"/>
      <c r="CV583" s="9"/>
      <c r="CW583" s="9"/>
      <c r="CX583" s="9"/>
      <c r="CY583" s="9"/>
      <c r="CZ583" s="9"/>
      <c r="DA583" s="9"/>
      <c r="DB583" s="9"/>
      <c r="DC583" s="9"/>
      <c r="DD583" s="9"/>
      <c r="DE583" s="9"/>
      <c r="DF583" s="9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x14ac:dyDescent="0.35">
      <c r="A584" s="9">
        <v>901049763</v>
      </c>
      <c r="B584" s="19">
        <v>1</v>
      </c>
      <c r="C584" s="9" t="str">
        <f>VLOOKUP(A584,'[1]terceros cto'!A$1:B$65536,2,0)</f>
        <v>PAIPA EN BICI Y ECOTURISMO SAS</v>
      </c>
      <c r="D584" s="20" t="str">
        <f>VLOOKUP(C584,'[1]terceros cto'!B$1:F$65536,5,0)</f>
        <v>paipaecoturismosas@gmail.com</v>
      </c>
      <c r="E584" s="21" t="s">
        <v>2252</v>
      </c>
      <c r="F584" s="9" t="str">
        <f>VLOOKUP(C584,'[1]terceros cto'!B$1:D$65536,3,0)</f>
        <v>paipa</v>
      </c>
      <c r="G584" s="21">
        <v>15516</v>
      </c>
      <c r="H584" s="9">
        <v>212</v>
      </c>
      <c r="I584" s="30">
        <v>530083</v>
      </c>
      <c r="J584" s="31">
        <v>0</v>
      </c>
      <c r="K584" s="22">
        <v>0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  <c r="CJ584" s="9"/>
      <c r="CK584" s="9"/>
      <c r="CL584" s="9"/>
      <c r="CM584" s="9"/>
      <c r="CN584" s="9"/>
      <c r="CO584" s="9"/>
      <c r="CP584" s="9"/>
      <c r="CQ584" s="9"/>
      <c r="CR584" s="9"/>
      <c r="CS584" s="9"/>
      <c r="CT584" s="9"/>
      <c r="CU584" s="9"/>
      <c r="CV584" s="9"/>
      <c r="CW584" s="9"/>
      <c r="CX584" s="9"/>
      <c r="CY584" s="9"/>
      <c r="CZ584" s="9"/>
      <c r="DA584" s="9"/>
      <c r="DB584" s="9"/>
      <c r="DC584" s="9"/>
      <c r="DD584" s="9"/>
      <c r="DE584" s="9"/>
      <c r="DF584" s="9"/>
      <c r="DG584" s="9"/>
      <c r="DH584" s="9"/>
      <c r="DI584" s="9"/>
      <c r="DJ584" s="9"/>
      <c r="DK584" s="9"/>
      <c r="DL584" s="9"/>
      <c r="DM584" s="9"/>
      <c r="DN584" s="9"/>
      <c r="DO584" s="9"/>
      <c r="DP584" s="9"/>
      <c r="DQ584" s="9"/>
      <c r="DR584" s="9"/>
      <c r="DS584" s="9"/>
      <c r="DT584" s="9"/>
      <c r="DU584" s="9"/>
      <c r="DV584" s="9"/>
      <c r="DW584" s="9"/>
      <c r="DX584" s="9"/>
      <c r="DY584" s="9"/>
      <c r="DZ584" s="9"/>
      <c r="EA584" s="9"/>
      <c r="EB584" s="9"/>
      <c r="EC584" s="9"/>
      <c r="ED584" s="9"/>
      <c r="EE584" s="9"/>
      <c r="EF584" s="9"/>
      <c r="EG584" s="9"/>
      <c r="EH584" s="9"/>
      <c r="EI584" s="9"/>
      <c r="EJ584" s="9"/>
      <c r="EK584" s="9"/>
      <c r="EL584" s="9"/>
    </row>
    <row r="585" spans="1:142" x14ac:dyDescent="0.35">
      <c r="A585" s="9">
        <v>901050438</v>
      </c>
      <c r="B585" s="19">
        <v>4</v>
      </c>
      <c r="C585" s="9" t="str">
        <f>VLOOKUP(A585,'[1]terceros cto'!A$1:B$65536,2,0)</f>
        <v>MULTI COMERCIALES SAS</v>
      </c>
      <c r="D585" s="20" t="str">
        <f>VLOOKUP(C585,'[1]terceros cto'!B$1:F$65536,5,0)</f>
        <v>guillermo.alarcond@hotmail.com</v>
      </c>
      <c r="E585" s="21" t="s">
        <v>2252</v>
      </c>
      <c r="F585" s="9" t="str">
        <f>VLOOKUP(C585,'[1]terceros cto'!B$1:D$65536,3,0)</f>
        <v>No informada</v>
      </c>
      <c r="G585" s="21">
        <v>15516</v>
      </c>
      <c r="H585" s="9">
        <v>212</v>
      </c>
      <c r="I585" s="28">
        <v>140082</v>
      </c>
      <c r="J585" s="29">
        <v>0</v>
      </c>
      <c r="K585" s="22">
        <v>0</v>
      </c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  <c r="CH585" s="9"/>
      <c r="CI585" s="9"/>
      <c r="CJ585" s="9"/>
      <c r="CK585" s="9"/>
      <c r="CL585" s="9"/>
      <c r="CM585" s="9"/>
      <c r="CN585" s="9"/>
      <c r="CO585" s="9"/>
      <c r="CP585" s="9"/>
      <c r="CQ585" s="9"/>
      <c r="CR585" s="9"/>
      <c r="CS585" s="9"/>
      <c r="CT585" s="9"/>
      <c r="CU585" s="9"/>
      <c r="CV585" s="9"/>
      <c r="CW585" s="9"/>
      <c r="CX585" s="9"/>
      <c r="CY585" s="9"/>
      <c r="CZ585" s="9"/>
      <c r="DA585" s="9"/>
      <c r="DB585" s="9"/>
      <c r="DC585" s="9"/>
      <c r="DD585" s="9"/>
      <c r="DE585" s="9"/>
      <c r="DF585" s="9"/>
      <c r="DG585" s="9"/>
      <c r="DH585" s="9"/>
      <c r="DI585" s="9"/>
      <c r="DJ585" s="9"/>
      <c r="DK585" s="9"/>
      <c r="DL585" s="9"/>
      <c r="DM585" s="9"/>
      <c r="DN585" s="9"/>
      <c r="DO585" s="9"/>
      <c r="DP585" s="9"/>
      <c r="DQ585" s="9"/>
      <c r="DR585" s="9"/>
      <c r="DS585" s="9"/>
      <c r="DT585" s="9"/>
      <c r="DU585" s="9"/>
      <c r="DV585" s="9"/>
      <c r="DW585" s="9"/>
      <c r="DX585" s="9"/>
      <c r="DY585" s="9"/>
      <c r="DZ585" s="9"/>
      <c r="EA585" s="9"/>
      <c r="EB585" s="9"/>
      <c r="EC585" s="9"/>
      <c r="ED585" s="9"/>
      <c r="EE585" s="9"/>
      <c r="EF585" s="9"/>
      <c r="EG585" s="9"/>
      <c r="EH585" s="9"/>
      <c r="EI585" s="9"/>
      <c r="EJ585" s="9"/>
      <c r="EK585" s="9"/>
      <c r="EL585" s="9"/>
    </row>
    <row r="586" spans="1:142" x14ac:dyDescent="0.35">
      <c r="A586" s="9">
        <v>901053218</v>
      </c>
      <c r="B586" s="19">
        <v>4</v>
      </c>
      <c r="C586" s="9" t="str">
        <f>VLOOKUP(A586,'[1]terceros cto'!A$1:B$65536,2,0)</f>
        <v>JAV SERVICIOS COMERCIALES LTDA</v>
      </c>
      <c r="D586" s="20" t="str">
        <f>VLOOKUP(C586,'[1]terceros cto'!B$1:F$65536,5,0)</f>
        <v>contabilidad@javsegurosylogistica.com</v>
      </c>
      <c r="E586" s="21" t="s">
        <v>2252</v>
      </c>
      <c r="F586" s="9" t="str">
        <f>VLOOKUP(C586,'[1]terceros cto'!B$1:D$65536,3,0)</f>
        <v>Paipa</v>
      </c>
      <c r="G586" s="21">
        <v>15516</v>
      </c>
      <c r="H586" s="9">
        <v>212</v>
      </c>
      <c r="I586" s="30">
        <v>116026</v>
      </c>
      <c r="J586" s="31">
        <v>0</v>
      </c>
      <c r="K586" s="22">
        <v>0</v>
      </c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  <c r="CJ586" s="9"/>
      <c r="CK586" s="9"/>
      <c r="CL586" s="9"/>
      <c r="CM586" s="9"/>
      <c r="CN586" s="9"/>
      <c r="CO586" s="9"/>
      <c r="CP586" s="9"/>
      <c r="CQ586" s="9"/>
      <c r="CR586" s="9"/>
      <c r="CS586" s="9"/>
      <c r="CT586" s="9"/>
      <c r="CU586" s="9"/>
      <c r="CV586" s="9"/>
      <c r="CW586" s="9"/>
      <c r="CX586" s="9"/>
      <c r="CY586" s="9"/>
      <c r="CZ586" s="9"/>
      <c r="DA586" s="9"/>
      <c r="DB586" s="9"/>
      <c r="DC586" s="9"/>
      <c r="DD586" s="9"/>
      <c r="DE586" s="9"/>
      <c r="DF586" s="9"/>
      <c r="DG586" s="9"/>
      <c r="DH586" s="9"/>
      <c r="DI586" s="9"/>
      <c r="DJ586" s="9"/>
      <c r="DK586" s="9"/>
      <c r="DL586" s="9"/>
      <c r="DM586" s="9"/>
      <c r="DN586" s="9"/>
      <c r="DO586" s="9"/>
      <c r="DP586" s="9"/>
      <c r="DQ586" s="9"/>
      <c r="DR586" s="9"/>
      <c r="DS586" s="9"/>
      <c r="DT586" s="9"/>
      <c r="DU586" s="9"/>
      <c r="DV586" s="9"/>
      <c r="DW586" s="9"/>
      <c r="DX586" s="9"/>
      <c r="DY586" s="9"/>
      <c r="DZ586" s="9"/>
      <c r="EA586" s="9"/>
      <c r="EB586" s="9"/>
      <c r="EC586" s="9"/>
      <c r="ED586" s="9"/>
      <c r="EE586" s="9"/>
      <c r="EF586" s="9"/>
      <c r="EG586" s="9"/>
      <c r="EH586" s="9"/>
      <c r="EI586" s="9"/>
      <c r="EJ586" s="9"/>
      <c r="EK586" s="9"/>
      <c r="EL586" s="9"/>
    </row>
    <row r="587" spans="1:142" x14ac:dyDescent="0.35">
      <c r="A587" s="9">
        <v>901062180</v>
      </c>
      <c r="B587" s="19">
        <v>1</v>
      </c>
      <c r="C587" s="9" t="str">
        <f>VLOOKUP(A587,'[1]terceros cto'!A$1:B$65536,2,0)</f>
        <v>EDIFICIO PUNTA DE PIEDRA</v>
      </c>
      <c r="D587" s="20" t="str">
        <f>VLOOKUP(C587,'[1]terceros cto'!B$1:F$65536,5,0)</f>
        <v>edificiopuntadepiedra@gmail.com</v>
      </c>
      <c r="E587" s="21" t="s">
        <v>2252</v>
      </c>
      <c r="F587" s="9" t="str">
        <f>VLOOKUP(C587,'[1]terceros cto'!B$1:D$65536,3,0)</f>
        <v>PAIPA</v>
      </c>
      <c r="G587" s="21">
        <v>15516</v>
      </c>
      <c r="H587" s="9">
        <v>212</v>
      </c>
      <c r="I587" s="28">
        <v>50000</v>
      </c>
      <c r="J587" s="29">
        <v>0</v>
      </c>
      <c r="K587" s="22">
        <v>0</v>
      </c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  <c r="CJ587" s="9"/>
      <c r="CK587" s="9"/>
      <c r="CL587" s="9"/>
      <c r="CM587" s="9"/>
      <c r="CN587" s="9"/>
      <c r="CO587" s="9"/>
      <c r="CP587" s="9"/>
      <c r="CQ587" s="9"/>
      <c r="CR587" s="9"/>
      <c r="CS587" s="9"/>
      <c r="CT587" s="9"/>
      <c r="CU587" s="9"/>
      <c r="CV587" s="9"/>
      <c r="CW587" s="9"/>
      <c r="CX587" s="9"/>
      <c r="CY587" s="9"/>
      <c r="CZ587" s="9"/>
      <c r="DA587" s="9"/>
      <c r="DB587" s="9"/>
      <c r="DC587" s="9"/>
      <c r="DD587" s="9"/>
      <c r="DE587" s="9"/>
      <c r="DF587" s="9"/>
      <c r="DG587" s="9"/>
      <c r="DH587" s="9"/>
      <c r="DI587" s="9"/>
      <c r="DJ587" s="9"/>
      <c r="DK587" s="9"/>
      <c r="DL587" s="9"/>
      <c r="DM587" s="9"/>
      <c r="DN587" s="9"/>
      <c r="DO587" s="9"/>
      <c r="DP587" s="9"/>
      <c r="DQ587" s="9"/>
      <c r="DR587" s="9"/>
      <c r="DS587" s="9"/>
      <c r="DT587" s="9"/>
      <c r="DU587" s="9"/>
      <c r="DV587" s="9"/>
      <c r="DW587" s="9"/>
      <c r="DX587" s="9"/>
      <c r="DY587" s="9"/>
      <c r="DZ587" s="9"/>
      <c r="EA587" s="9"/>
      <c r="EB587" s="9"/>
      <c r="EC587" s="9"/>
      <c r="ED587" s="9"/>
      <c r="EE587" s="9"/>
      <c r="EF587" s="9"/>
      <c r="EG587" s="9"/>
      <c r="EH587" s="9"/>
      <c r="EI587" s="9"/>
      <c r="EJ587" s="9"/>
      <c r="EK587" s="9"/>
      <c r="EL587" s="9"/>
    </row>
    <row r="588" spans="1:142" x14ac:dyDescent="0.35">
      <c r="A588" s="9">
        <v>901063297</v>
      </c>
      <c r="B588" s="19">
        <v>9</v>
      </c>
      <c r="C588" s="9" t="str">
        <f>VLOOKUP(A588,'[1]terceros cto'!A$1:B$65536,2,0)</f>
        <v>CANDY CANE DESIGN SAS</v>
      </c>
      <c r="D588" s="20" t="str">
        <f>VLOOKUP(C588,'[1]terceros cto'!B$1:F$65536,5,0)</f>
        <v>administracion@candycane.com</v>
      </c>
      <c r="E588" s="21" t="s">
        <v>2252</v>
      </c>
      <c r="F588" s="9" t="str">
        <f>VLOOKUP(C588,'[1]terceros cto'!B$1:D$65536,3,0)</f>
        <v>PAIPA</v>
      </c>
      <c r="G588" s="21">
        <v>15516</v>
      </c>
      <c r="H588" s="9">
        <v>212</v>
      </c>
      <c r="I588" s="30">
        <v>1155243</v>
      </c>
      <c r="J588" s="31">
        <v>0</v>
      </c>
      <c r="K588" s="22">
        <v>0</v>
      </c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  <c r="CJ588" s="9"/>
      <c r="CK588" s="9"/>
      <c r="CL588" s="9"/>
      <c r="CM588" s="9"/>
      <c r="CN588" s="9"/>
      <c r="CO588" s="9"/>
      <c r="CP588" s="9"/>
      <c r="CQ588" s="9"/>
      <c r="CR588" s="9"/>
      <c r="CS588" s="9"/>
      <c r="CT588" s="9"/>
      <c r="CU588" s="9"/>
      <c r="CV588" s="9"/>
      <c r="CW588" s="9"/>
      <c r="CX588" s="9"/>
      <c r="CY588" s="9"/>
      <c r="CZ588" s="9"/>
      <c r="DA588" s="9"/>
      <c r="DB588" s="9"/>
      <c r="DC588" s="9"/>
      <c r="DD588" s="9"/>
      <c r="DE588" s="9"/>
      <c r="DF588" s="9"/>
      <c r="DG588" s="9"/>
      <c r="DH588" s="9"/>
      <c r="DI588" s="9"/>
      <c r="DJ588" s="9"/>
      <c r="DK588" s="9"/>
      <c r="DL588" s="9"/>
      <c r="DM588" s="9"/>
      <c r="DN588" s="9"/>
      <c r="DO588" s="9"/>
      <c r="DP588" s="9"/>
      <c r="DQ588" s="9"/>
      <c r="DR588" s="9"/>
      <c r="DS588" s="9"/>
      <c r="DT588" s="9"/>
      <c r="DU588" s="9"/>
      <c r="DV588" s="9"/>
      <c r="DW588" s="9"/>
      <c r="DX588" s="9"/>
      <c r="DY588" s="9"/>
      <c r="DZ588" s="9"/>
      <c r="EA588" s="9"/>
      <c r="EB588" s="9"/>
      <c r="EC588" s="9"/>
      <c r="ED588" s="9"/>
      <c r="EE588" s="9"/>
      <c r="EF588" s="9"/>
      <c r="EG588" s="9"/>
      <c r="EH588" s="9"/>
      <c r="EI588" s="9"/>
      <c r="EJ588" s="9"/>
      <c r="EK588" s="9"/>
      <c r="EL588" s="9"/>
    </row>
    <row r="589" spans="1:142" x14ac:dyDescent="0.35">
      <c r="A589" s="9">
        <v>901073049</v>
      </c>
      <c r="B589" s="19">
        <v>1</v>
      </c>
      <c r="C589" s="9" t="str">
        <f>VLOOKUP(A589,'[1]terceros cto'!A$1:B$65536,2,0)</f>
        <v>SOLLIVAN SMART SOLUTIONS SAS</v>
      </c>
      <c r="D589" s="20" t="str">
        <f>VLOOKUP(C589,'[1]terceros cto'!B$1:F$65536,5,0)</f>
        <v>901073049@factureinbox.co</v>
      </c>
      <c r="E589" s="21" t="s">
        <v>2252</v>
      </c>
      <c r="F589" s="9" t="str">
        <f>VLOOKUP(C589,'[1]terceros cto'!B$1:D$65536,3,0)</f>
        <v>CARRERA 25 22C 34</v>
      </c>
      <c r="G589" s="21">
        <v>15516</v>
      </c>
      <c r="H589" s="9">
        <v>212</v>
      </c>
      <c r="I589" s="28">
        <v>70003</v>
      </c>
      <c r="J589" s="29">
        <v>0</v>
      </c>
      <c r="K589" s="22">
        <v>0</v>
      </c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  <c r="CD589" s="9"/>
      <c r="CE589" s="9"/>
      <c r="CF589" s="9"/>
      <c r="CG589" s="9"/>
      <c r="CH589" s="9"/>
      <c r="CI589" s="9"/>
      <c r="CJ589" s="9"/>
      <c r="CK589" s="9"/>
      <c r="CL589" s="9"/>
      <c r="CM589" s="9"/>
      <c r="CN589" s="9"/>
      <c r="CO589" s="9"/>
      <c r="CP589" s="9"/>
      <c r="CQ589" s="9"/>
      <c r="CR589" s="9"/>
      <c r="CS589" s="9"/>
      <c r="CT589" s="9"/>
      <c r="CU589" s="9"/>
      <c r="CV589" s="9"/>
      <c r="CW589" s="9"/>
      <c r="CX589" s="9"/>
      <c r="CY589" s="9"/>
      <c r="CZ589" s="9"/>
      <c r="DA589" s="9"/>
      <c r="DB589" s="9"/>
      <c r="DC589" s="9"/>
      <c r="DD589" s="9"/>
      <c r="DE589" s="9"/>
      <c r="DF589" s="9"/>
      <c r="DG589" s="9"/>
      <c r="DH589" s="9"/>
      <c r="DI589" s="9"/>
      <c r="DJ589" s="9"/>
      <c r="DK589" s="9"/>
      <c r="DL589" s="9"/>
      <c r="DM589" s="9"/>
      <c r="DN589" s="9"/>
      <c r="DO589" s="9"/>
      <c r="DP589" s="9"/>
      <c r="DQ589" s="9"/>
      <c r="DR589" s="9"/>
      <c r="DS589" s="9"/>
      <c r="DT589" s="9"/>
      <c r="DU589" s="9"/>
      <c r="DV589" s="9"/>
      <c r="DW589" s="9"/>
      <c r="DX589" s="9"/>
      <c r="DY589" s="9"/>
      <c r="DZ589" s="9"/>
      <c r="EA589" s="9"/>
      <c r="EB589" s="9"/>
      <c r="EC589" s="9"/>
      <c r="ED589" s="9"/>
      <c r="EE589" s="9"/>
      <c r="EF589" s="9"/>
      <c r="EG589" s="9"/>
      <c r="EH589" s="9"/>
      <c r="EI589" s="9"/>
      <c r="EJ589" s="9"/>
      <c r="EK589" s="9"/>
      <c r="EL589" s="9"/>
    </row>
    <row r="590" spans="1:142" x14ac:dyDescent="0.35">
      <c r="A590" s="9">
        <v>901101928</v>
      </c>
      <c r="B590" s="19">
        <v>1</v>
      </c>
      <c r="C590" s="9" t="str">
        <f>VLOOKUP(A590,'[1]terceros cto'!A$1:B$65536,2,0)</f>
        <v>EMPRESA DE TRANSPORTE LANCEROS SAS</v>
      </c>
      <c r="D590" s="20" t="str">
        <f>VLOOKUP(C590,'[1]terceros cto'!B$1:F$65536,5,0)</f>
        <v>loslancerossas@gmail.com</v>
      </c>
      <c r="E590" s="21" t="s">
        <v>2252</v>
      </c>
      <c r="F590" s="9" t="str">
        <f>VLOOKUP(C590,'[1]terceros cto'!B$1:D$65536,3,0)</f>
        <v>Av libertadores 22-21</v>
      </c>
      <c r="G590" s="21">
        <v>15516</v>
      </c>
      <c r="H590" s="9">
        <v>212</v>
      </c>
      <c r="I590" s="30">
        <v>733955</v>
      </c>
      <c r="J590" s="31">
        <v>0</v>
      </c>
      <c r="K590" s="22">
        <v>0</v>
      </c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  <c r="CD590" s="9"/>
      <c r="CE590" s="9"/>
      <c r="CF590" s="9"/>
      <c r="CG590" s="9"/>
      <c r="CH590" s="9"/>
      <c r="CI590" s="9"/>
      <c r="CJ590" s="9"/>
      <c r="CK590" s="9"/>
      <c r="CL590" s="9"/>
      <c r="CM590" s="9"/>
      <c r="CN590" s="9"/>
      <c r="CO590" s="9"/>
      <c r="CP590" s="9"/>
      <c r="CQ590" s="9"/>
      <c r="CR590" s="9"/>
      <c r="CS590" s="9"/>
      <c r="CT590" s="9"/>
      <c r="CU590" s="9"/>
      <c r="CV590" s="9"/>
      <c r="CW590" s="9"/>
      <c r="CX590" s="9"/>
      <c r="CY590" s="9"/>
      <c r="CZ590" s="9"/>
      <c r="DA590" s="9"/>
      <c r="DB590" s="9"/>
      <c r="DC590" s="9"/>
      <c r="DD590" s="9"/>
      <c r="DE590" s="9"/>
      <c r="DF590" s="9"/>
      <c r="DG590" s="9"/>
      <c r="DH590" s="9"/>
      <c r="DI590" s="9"/>
      <c r="DJ590" s="9"/>
      <c r="DK590" s="9"/>
      <c r="DL590" s="9"/>
      <c r="DM590" s="9"/>
      <c r="DN590" s="9"/>
      <c r="DO590" s="9"/>
      <c r="DP590" s="9"/>
      <c r="DQ590" s="9"/>
      <c r="DR590" s="9"/>
      <c r="DS590" s="9"/>
      <c r="DT590" s="9"/>
      <c r="DU590" s="9"/>
      <c r="DV590" s="9"/>
      <c r="DW590" s="9"/>
      <c r="DX590" s="9"/>
      <c r="DY590" s="9"/>
      <c r="DZ590" s="9"/>
      <c r="EA590" s="9"/>
      <c r="EB590" s="9"/>
      <c r="EC590" s="9"/>
      <c r="ED590" s="9"/>
      <c r="EE590" s="9"/>
      <c r="EF590" s="9"/>
      <c r="EG590" s="9"/>
      <c r="EH590" s="9"/>
      <c r="EI590" s="9"/>
      <c r="EJ590" s="9"/>
      <c r="EK590" s="9"/>
      <c r="EL590" s="9"/>
    </row>
    <row r="591" spans="1:142" x14ac:dyDescent="0.35">
      <c r="A591" s="9">
        <v>901102011</v>
      </c>
      <c r="B591" s="19">
        <v>8</v>
      </c>
      <c r="C591" s="9" t="str">
        <f>VLOOKUP(A591,'[1]terceros cto'!A$1:B$65536,2,0)</f>
        <v>LEONARDO PACHECO SAS</v>
      </c>
      <c r="D591" s="20" t="str">
        <f>VLOOKUP(C591,'[1]terceros cto'!B$1:F$65536,5,0)</f>
        <v>ivanleonardopacheco@gmail.com</v>
      </c>
      <c r="E591" s="21" t="s">
        <v>2252</v>
      </c>
      <c r="F591" s="9" t="str">
        <f>VLOOKUP(C591,'[1]terceros cto'!B$1:D$65536,3,0)</f>
        <v>Paipa</v>
      </c>
      <c r="G591" s="21">
        <v>15516</v>
      </c>
      <c r="H591" s="9">
        <v>212</v>
      </c>
      <c r="I591" s="28">
        <v>100000</v>
      </c>
      <c r="J591" s="29">
        <v>0</v>
      </c>
      <c r="K591" s="22">
        <v>0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  <c r="CJ591" s="9"/>
      <c r="CK591" s="9"/>
      <c r="CL591" s="9"/>
      <c r="CM591" s="9"/>
      <c r="CN591" s="9"/>
      <c r="CO591" s="9"/>
      <c r="CP591" s="9"/>
      <c r="CQ591" s="9"/>
      <c r="CR591" s="9"/>
      <c r="CS591" s="9"/>
      <c r="CT591" s="9"/>
      <c r="CU591" s="9"/>
      <c r="CV591" s="9"/>
      <c r="CW591" s="9"/>
      <c r="CX591" s="9"/>
      <c r="CY591" s="9"/>
      <c r="CZ591" s="9"/>
      <c r="DA591" s="9"/>
      <c r="DB591" s="9"/>
      <c r="DC591" s="9"/>
      <c r="DD591" s="9"/>
      <c r="DE591" s="9"/>
      <c r="DF591" s="9"/>
      <c r="DG591" s="9"/>
      <c r="DH591" s="9"/>
      <c r="DI591" s="9"/>
      <c r="DJ591" s="9"/>
      <c r="DK591" s="9"/>
      <c r="DL591" s="9"/>
      <c r="DM591" s="9"/>
      <c r="DN591" s="9"/>
      <c r="DO591" s="9"/>
      <c r="DP591" s="9"/>
      <c r="DQ591" s="9"/>
      <c r="DR591" s="9"/>
      <c r="DS591" s="9"/>
      <c r="DT591" s="9"/>
      <c r="DU591" s="9"/>
      <c r="DV591" s="9"/>
      <c r="DW591" s="9"/>
      <c r="DX591" s="9"/>
      <c r="DY591" s="9"/>
      <c r="DZ591" s="9"/>
      <c r="EA591" s="9"/>
      <c r="EB591" s="9"/>
      <c r="EC591" s="9"/>
      <c r="ED591" s="9"/>
      <c r="EE591" s="9"/>
      <c r="EF591" s="9"/>
      <c r="EG591" s="9"/>
      <c r="EH591" s="9"/>
      <c r="EI591" s="9"/>
      <c r="EJ591" s="9"/>
      <c r="EK591" s="9"/>
      <c r="EL591" s="9"/>
    </row>
    <row r="592" spans="1:142" x14ac:dyDescent="0.35">
      <c r="A592" s="9">
        <v>901120769</v>
      </c>
      <c r="B592" s="19">
        <v>8</v>
      </c>
      <c r="C592" s="9" t="str">
        <f>VLOOKUP(A592,'[1]terceros cto'!A$1:B$65536,2,0)</f>
        <v>DISINMEC SAS</v>
      </c>
      <c r="D592" s="20" t="str">
        <f>VLOOKUP(C592,'[1]terceros cto'!B$1:F$65536,5,0)</f>
        <v>jaimervpr@yahoo.com</v>
      </c>
      <c r="E592" s="21" t="s">
        <v>2252</v>
      </c>
      <c r="F592" s="9" t="str">
        <f>VLOOKUP(C592,'[1]terceros cto'!B$1:D$65536,3,0)</f>
        <v>Paipa</v>
      </c>
      <c r="G592" s="21">
        <v>15516</v>
      </c>
      <c r="H592" s="9">
        <v>212</v>
      </c>
      <c r="I592" s="30">
        <v>95220</v>
      </c>
      <c r="J592" s="31">
        <v>0</v>
      </c>
      <c r="K592" s="22">
        <v>0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  <c r="CJ592" s="9"/>
      <c r="CK592" s="9"/>
      <c r="CL592" s="9"/>
      <c r="CM592" s="9"/>
      <c r="CN592" s="9"/>
      <c r="CO592" s="9"/>
      <c r="CP592" s="9"/>
      <c r="CQ592" s="9"/>
      <c r="CR592" s="9"/>
      <c r="CS592" s="9"/>
      <c r="CT592" s="9"/>
      <c r="CU592" s="9"/>
      <c r="CV592" s="9"/>
      <c r="CW592" s="9"/>
      <c r="CX592" s="9"/>
      <c r="CY592" s="9"/>
      <c r="CZ592" s="9"/>
      <c r="DA592" s="9"/>
      <c r="DB592" s="9"/>
      <c r="DC592" s="9"/>
      <c r="DD592" s="9"/>
      <c r="DE592" s="9"/>
      <c r="DF592" s="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x14ac:dyDescent="0.35">
      <c r="A593" s="9">
        <v>901128826</v>
      </c>
      <c r="B593" s="19">
        <v>6</v>
      </c>
      <c r="C593" s="9" t="str">
        <f>VLOOKUP(A593,'[1]terceros cto'!A$1:B$65536,2,0)</f>
        <v>SOCIAL SOLAR SAS</v>
      </c>
      <c r="D593" s="20" t="str">
        <f>VLOOKUP(C593,'[1]terceros cto'!B$1:F$65536,5,0)</f>
        <v>socialsolar.co@gmail.com</v>
      </c>
      <c r="E593" s="21" t="s">
        <v>2252</v>
      </c>
      <c r="F593" s="9" t="str">
        <f>VLOOKUP(C593,'[1]terceros cto'!B$1:D$65536,3,0)</f>
        <v>CARRERA 19 N 28-60</v>
      </c>
      <c r="G593" s="21">
        <v>15516</v>
      </c>
      <c r="H593" s="9">
        <v>212</v>
      </c>
      <c r="I593" s="28">
        <v>10682785</v>
      </c>
      <c r="J593" s="29">
        <v>952051</v>
      </c>
      <c r="K593" s="22">
        <v>952051</v>
      </c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  <c r="CJ593" s="9"/>
      <c r="CK593" s="9"/>
      <c r="CL593" s="9"/>
      <c r="CM593" s="9"/>
      <c r="CN593" s="9"/>
      <c r="CO593" s="9"/>
      <c r="CP593" s="9"/>
      <c r="CQ593" s="9"/>
      <c r="CR593" s="9"/>
      <c r="CS593" s="9"/>
      <c r="CT593" s="9"/>
      <c r="CU593" s="9"/>
      <c r="CV593" s="9"/>
      <c r="CW593" s="9"/>
      <c r="CX593" s="9"/>
      <c r="CY593" s="9"/>
      <c r="CZ593" s="9"/>
      <c r="DA593" s="9"/>
      <c r="DB593" s="9"/>
      <c r="DC593" s="9"/>
      <c r="DD593" s="9"/>
      <c r="DE593" s="9"/>
      <c r="DF593" s="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x14ac:dyDescent="0.35">
      <c r="A594" s="9">
        <v>901138291</v>
      </c>
      <c r="B594" s="19">
        <v>9</v>
      </c>
      <c r="C594" s="9" t="str">
        <f>VLOOKUP(A594,'[1]terceros cto'!A$1:B$65536,2,0)</f>
        <v>EDS ESTACION LA TURISTICA DE PAIPA SAS</v>
      </c>
      <c r="D594" s="20" t="str">
        <f>VLOOKUP(C594,'[1]terceros cto'!B$1:F$65536,5,0)</f>
        <v>turistica@outlook.com</v>
      </c>
      <c r="E594" s="21">
        <f>VLOOKUP(C594,'[1]terceros cto'!B$1:E$65536,4,0)</f>
        <v>3108678088</v>
      </c>
      <c r="F594" s="9" t="str">
        <f>VLOOKUP(C594,'[1]terceros cto'!B$1:D$65536,3,0)</f>
        <v>Carrera 19 No-26-45</v>
      </c>
      <c r="G594" s="21">
        <v>15516</v>
      </c>
      <c r="H594" s="9">
        <v>212</v>
      </c>
      <c r="I594" s="30">
        <v>4550397</v>
      </c>
      <c r="J594" s="31">
        <v>0</v>
      </c>
      <c r="K594" s="22">
        <v>0</v>
      </c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  <c r="CJ594" s="9"/>
      <c r="CK594" s="9"/>
      <c r="CL594" s="9"/>
      <c r="CM594" s="9"/>
      <c r="CN594" s="9"/>
      <c r="CO594" s="9"/>
      <c r="CP594" s="9"/>
      <c r="CQ594" s="9"/>
      <c r="CR594" s="9"/>
      <c r="CS594" s="9"/>
      <c r="CT594" s="9"/>
      <c r="CU594" s="9"/>
      <c r="CV594" s="9"/>
      <c r="CW594" s="9"/>
      <c r="CX594" s="9"/>
      <c r="CY594" s="9"/>
      <c r="CZ594" s="9"/>
      <c r="DA594" s="9"/>
      <c r="DB594" s="9"/>
      <c r="DC594" s="9"/>
      <c r="DD594" s="9"/>
      <c r="DE594" s="9"/>
      <c r="DF594" s="9"/>
      <c r="DG594" s="9"/>
      <c r="DH594" s="9"/>
      <c r="DI594" s="9"/>
      <c r="DJ594" s="9"/>
      <c r="DK594" s="9"/>
      <c r="DL594" s="9"/>
      <c r="DM594" s="9"/>
      <c r="DN594" s="9"/>
      <c r="DO594" s="9"/>
      <c r="DP594" s="9"/>
      <c r="DQ594" s="9"/>
      <c r="DR594" s="9"/>
      <c r="DS594" s="9"/>
      <c r="DT594" s="9"/>
      <c r="DU594" s="9"/>
      <c r="DV594" s="9"/>
      <c r="DW594" s="9"/>
      <c r="DX594" s="9"/>
      <c r="DY594" s="9"/>
      <c r="DZ594" s="9"/>
      <c r="EA594" s="9"/>
      <c r="EB594" s="9"/>
      <c r="EC594" s="9"/>
      <c r="ED594" s="9"/>
      <c r="EE594" s="9"/>
      <c r="EF594" s="9"/>
      <c r="EG594" s="9"/>
      <c r="EH594" s="9"/>
      <c r="EI594" s="9"/>
      <c r="EJ594" s="9"/>
      <c r="EK594" s="9"/>
      <c r="EL594" s="9"/>
    </row>
    <row r="595" spans="1:142" x14ac:dyDescent="0.35">
      <c r="A595" s="9">
        <v>901140651</v>
      </c>
      <c r="B595" s="19">
        <v>3</v>
      </c>
      <c r="C595" s="9" t="str">
        <f>VLOOKUP(A595,'[1]terceros cto'!A$1:B$65536,2,0)</f>
        <v>FELYCIN S.A.S</v>
      </c>
      <c r="D595" s="20" t="str">
        <f>VLOOKUP(C595,'[1]terceros cto'!B$1:F$65536,5,0)</f>
        <v>felicin.sas@gmail.com</v>
      </c>
      <c r="E595" s="21" t="s">
        <v>2252</v>
      </c>
      <c r="F595" s="9" t="str">
        <f>VLOOKUP(C595,'[1]terceros cto'!B$1:D$65536,3,0)</f>
        <v>Paipa</v>
      </c>
      <c r="G595" s="21">
        <v>15516</v>
      </c>
      <c r="H595" s="9">
        <v>212</v>
      </c>
      <c r="I595" s="28">
        <v>100000</v>
      </c>
      <c r="J595" s="29">
        <v>0</v>
      </c>
      <c r="K595" s="22">
        <v>0</v>
      </c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  <c r="CJ595" s="9"/>
      <c r="CK595" s="9"/>
      <c r="CL595" s="9"/>
      <c r="CM595" s="9"/>
      <c r="CN595" s="9"/>
      <c r="CO595" s="9"/>
      <c r="CP595" s="9"/>
      <c r="CQ595" s="9"/>
      <c r="CR595" s="9"/>
      <c r="CS595" s="9"/>
      <c r="CT595" s="9"/>
      <c r="CU595" s="9"/>
      <c r="CV595" s="9"/>
      <c r="CW595" s="9"/>
      <c r="CX595" s="9"/>
      <c r="CY595" s="9"/>
      <c r="CZ595" s="9"/>
      <c r="DA595" s="9"/>
      <c r="DB595" s="9"/>
      <c r="DC595" s="9"/>
      <c r="DD595" s="9"/>
      <c r="DE595" s="9"/>
      <c r="DF595" s="9"/>
      <c r="DG595" s="9"/>
      <c r="DH595" s="9"/>
      <c r="DI595" s="9"/>
      <c r="DJ595" s="9"/>
      <c r="DK595" s="9"/>
      <c r="DL595" s="9"/>
      <c r="DM595" s="9"/>
      <c r="DN595" s="9"/>
      <c r="DO595" s="9"/>
      <c r="DP595" s="9"/>
      <c r="DQ595" s="9"/>
      <c r="DR595" s="9"/>
      <c r="DS595" s="9"/>
      <c r="DT595" s="9"/>
      <c r="DU595" s="9"/>
      <c r="DV595" s="9"/>
      <c r="DW595" s="9"/>
      <c r="DX595" s="9"/>
      <c r="DY595" s="9"/>
      <c r="DZ595" s="9"/>
      <c r="EA595" s="9"/>
      <c r="EB595" s="9"/>
      <c r="EC595" s="9"/>
      <c r="ED595" s="9"/>
      <c r="EE595" s="9"/>
      <c r="EF595" s="9"/>
      <c r="EG595" s="9"/>
      <c r="EH595" s="9"/>
      <c r="EI595" s="9"/>
      <c r="EJ595" s="9"/>
      <c r="EK595" s="9"/>
      <c r="EL595" s="9"/>
    </row>
    <row r="596" spans="1:142" x14ac:dyDescent="0.35">
      <c r="A596" s="9">
        <v>901167453</v>
      </c>
      <c r="B596" s="19">
        <v>9</v>
      </c>
      <c r="C596" s="9" t="str">
        <f>VLOOKUP(A596,'[1]terceros cto'!A$1:B$65536,2,0)</f>
        <v>D&amp;M VIKINGOS INGENIERIA S.A.S</v>
      </c>
      <c r="D596" s="20" t="str">
        <f>VLOOKUP(C596,'[1]terceros cto'!B$1:F$65536,5,0)</f>
        <v>facturacionvikingosventas2020@gmail.com</v>
      </c>
      <c r="E596" s="21" t="s">
        <v>2252</v>
      </c>
      <c r="F596" s="9" t="str">
        <f>VLOOKUP(C596,'[1]terceros cto'!B$1:D$65536,3,0)</f>
        <v>CR 15 124 30 OF 485</v>
      </c>
      <c r="G596" s="21">
        <v>15516</v>
      </c>
      <c r="H596" s="9">
        <v>212</v>
      </c>
      <c r="I596" s="30">
        <v>100013</v>
      </c>
      <c r="J596" s="31">
        <v>0</v>
      </c>
      <c r="K596" s="22">
        <v>0</v>
      </c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  <c r="CJ596" s="9"/>
      <c r="CK596" s="9"/>
      <c r="CL596" s="9"/>
      <c r="CM596" s="9"/>
      <c r="CN596" s="9"/>
      <c r="CO596" s="9"/>
      <c r="CP596" s="9"/>
      <c r="CQ596" s="9"/>
      <c r="CR596" s="9"/>
      <c r="CS596" s="9"/>
      <c r="CT596" s="9"/>
      <c r="CU596" s="9"/>
      <c r="CV596" s="9"/>
      <c r="CW596" s="9"/>
      <c r="CX596" s="9"/>
      <c r="CY596" s="9"/>
      <c r="CZ596" s="9"/>
      <c r="DA596" s="9"/>
      <c r="DB596" s="9"/>
      <c r="DC596" s="9"/>
      <c r="DD596" s="9"/>
      <c r="DE596" s="9"/>
      <c r="DF596" s="9"/>
      <c r="DG596" s="9"/>
      <c r="DH596" s="9"/>
      <c r="DI596" s="9"/>
      <c r="DJ596" s="9"/>
      <c r="DK596" s="9"/>
      <c r="DL596" s="9"/>
      <c r="DM596" s="9"/>
      <c r="DN596" s="9"/>
      <c r="DO596" s="9"/>
      <c r="DP596" s="9"/>
      <c r="DQ596" s="9"/>
      <c r="DR596" s="9"/>
      <c r="DS596" s="9"/>
      <c r="DT596" s="9"/>
      <c r="DU596" s="9"/>
      <c r="DV596" s="9"/>
      <c r="DW596" s="9"/>
      <c r="DX596" s="9"/>
      <c r="DY596" s="9"/>
      <c r="DZ596" s="9"/>
      <c r="EA596" s="9"/>
      <c r="EB596" s="9"/>
      <c r="EC596" s="9"/>
      <c r="ED596" s="9"/>
      <c r="EE596" s="9"/>
      <c r="EF596" s="9"/>
      <c r="EG596" s="9"/>
      <c r="EH596" s="9"/>
      <c r="EI596" s="9"/>
      <c r="EJ596" s="9"/>
      <c r="EK596" s="9"/>
      <c r="EL596" s="9"/>
    </row>
    <row r="597" spans="1:142" x14ac:dyDescent="0.35">
      <c r="A597" s="9">
        <v>901177455</v>
      </c>
      <c r="B597" s="19">
        <v>6</v>
      </c>
      <c r="C597" s="9" t="str">
        <f>VLOOKUP(A597,'[1]terceros cto'!A$1:B$65536,2,0)</f>
        <v>INGENIERIA Y DESARROLLO DE SOLUCIONES WEB S.A.S.</v>
      </c>
      <c r="D597" s="20" t="str">
        <f>VLOOKUP(C597,'[1]terceros cto'!B$1:F$65536,5,0)</f>
        <v>facturacion@idsweb.com.co</v>
      </c>
      <c r="E597" s="21" t="s">
        <v>2252</v>
      </c>
      <c r="F597" s="9" t="str">
        <f>VLOOKUP(C597,'[1]terceros cto'!B$1:D$65536,3,0)</f>
        <v>CALLE 17 11-57</v>
      </c>
      <c r="G597" s="21">
        <v>15516</v>
      </c>
      <c r="H597" s="9">
        <v>212</v>
      </c>
      <c r="I597" s="28">
        <v>400000</v>
      </c>
      <c r="J597" s="29">
        <v>0</v>
      </c>
      <c r="K597" s="22">
        <v>0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  <c r="CD597" s="9"/>
      <c r="CE597" s="9"/>
      <c r="CF597" s="9"/>
      <c r="CG597" s="9"/>
      <c r="CH597" s="9"/>
      <c r="CI597" s="9"/>
      <c r="CJ597" s="9"/>
      <c r="CK597" s="9"/>
      <c r="CL597" s="9"/>
      <c r="CM597" s="9"/>
      <c r="CN597" s="9"/>
      <c r="CO597" s="9"/>
      <c r="CP597" s="9"/>
      <c r="CQ597" s="9"/>
      <c r="CR597" s="9"/>
      <c r="CS597" s="9"/>
      <c r="CT597" s="9"/>
      <c r="CU597" s="9"/>
      <c r="CV597" s="9"/>
      <c r="CW597" s="9"/>
      <c r="CX597" s="9"/>
      <c r="CY597" s="9"/>
      <c r="CZ597" s="9"/>
      <c r="DA597" s="9"/>
      <c r="DB597" s="9"/>
      <c r="DC597" s="9"/>
      <c r="DD597" s="9"/>
      <c r="DE597" s="9"/>
      <c r="DF597" s="9"/>
      <c r="DG597" s="9"/>
      <c r="DH597" s="9"/>
      <c r="DI597" s="9"/>
      <c r="DJ597" s="9"/>
      <c r="DK597" s="9"/>
      <c r="DL597" s="9"/>
      <c r="DM597" s="9"/>
      <c r="DN597" s="9"/>
      <c r="DO597" s="9"/>
      <c r="DP597" s="9"/>
      <c r="DQ597" s="9"/>
      <c r="DR597" s="9"/>
      <c r="DS597" s="9"/>
      <c r="DT597" s="9"/>
      <c r="DU597" s="9"/>
      <c r="DV597" s="9"/>
      <c r="DW597" s="9"/>
      <c r="DX597" s="9"/>
      <c r="DY597" s="9"/>
      <c r="DZ597" s="9"/>
      <c r="EA597" s="9"/>
      <c r="EB597" s="9"/>
      <c r="EC597" s="9"/>
      <c r="ED597" s="9"/>
      <c r="EE597" s="9"/>
      <c r="EF597" s="9"/>
      <c r="EG597" s="9"/>
      <c r="EH597" s="9"/>
      <c r="EI597" s="9"/>
      <c r="EJ597" s="9"/>
      <c r="EK597" s="9"/>
      <c r="EL597" s="9"/>
    </row>
    <row r="598" spans="1:142" x14ac:dyDescent="0.35">
      <c r="A598" s="9">
        <v>901187329</v>
      </c>
      <c r="B598" s="19">
        <v>9</v>
      </c>
      <c r="C598" s="9" t="str">
        <f>VLOOKUP(A598,'[1]terceros cto'!A$1:B$65536,2,0)</f>
        <v>CLINICAL SOLUTIONS ASESORES S.A.S</v>
      </c>
      <c r="D598" s="20" t="str">
        <f>VLOOKUP(C598,'[1]terceros cto'!B$1:F$65536,5,0)</f>
        <v>facturacioncs@recepcion.alegra.com</v>
      </c>
      <c r="E598" s="21" t="s">
        <v>2252</v>
      </c>
      <c r="F598" s="9" t="str">
        <f>VLOOKUP(C598,'[1]terceros cto'!B$1:D$65536,3,0)</f>
        <v>Paipa</v>
      </c>
      <c r="G598" s="21">
        <v>15516</v>
      </c>
      <c r="H598" s="9">
        <v>212</v>
      </c>
      <c r="I598" s="30">
        <v>150000</v>
      </c>
      <c r="J598" s="31">
        <v>0</v>
      </c>
      <c r="K598" s="22">
        <v>0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  <c r="CD598" s="9"/>
      <c r="CE598" s="9"/>
      <c r="CF598" s="9"/>
      <c r="CG598" s="9"/>
      <c r="CH598" s="9"/>
      <c r="CI598" s="9"/>
      <c r="CJ598" s="9"/>
      <c r="CK598" s="9"/>
      <c r="CL598" s="9"/>
      <c r="CM598" s="9"/>
      <c r="CN598" s="9"/>
      <c r="CO598" s="9"/>
      <c r="CP598" s="9"/>
      <c r="CQ598" s="9"/>
      <c r="CR598" s="9"/>
      <c r="CS598" s="9"/>
      <c r="CT598" s="9"/>
      <c r="CU598" s="9"/>
      <c r="CV598" s="9"/>
      <c r="CW598" s="9"/>
      <c r="CX598" s="9"/>
      <c r="CY598" s="9"/>
      <c r="CZ598" s="9"/>
      <c r="DA598" s="9"/>
      <c r="DB598" s="9"/>
      <c r="DC598" s="9"/>
      <c r="DD598" s="9"/>
      <c r="DE598" s="9"/>
      <c r="DF598" s="9"/>
      <c r="DG598" s="9"/>
      <c r="DH598" s="9"/>
      <c r="DI598" s="9"/>
      <c r="DJ598" s="9"/>
      <c r="DK598" s="9"/>
      <c r="DL598" s="9"/>
      <c r="DM598" s="9"/>
      <c r="DN598" s="9"/>
      <c r="DO598" s="9"/>
      <c r="DP598" s="9"/>
      <c r="DQ598" s="9"/>
      <c r="DR598" s="9"/>
      <c r="DS598" s="9"/>
      <c r="DT598" s="9"/>
      <c r="DU598" s="9"/>
      <c r="DV598" s="9"/>
      <c r="DW598" s="9"/>
      <c r="DX598" s="9"/>
      <c r="DY598" s="9"/>
      <c r="DZ598" s="9"/>
      <c r="EA598" s="9"/>
      <c r="EB598" s="9"/>
      <c r="EC598" s="9"/>
      <c r="ED598" s="9"/>
      <c r="EE598" s="9"/>
      <c r="EF598" s="9"/>
      <c r="EG598" s="9"/>
      <c r="EH598" s="9"/>
      <c r="EI598" s="9"/>
      <c r="EJ598" s="9"/>
      <c r="EK598" s="9"/>
      <c r="EL598" s="9"/>
    </row>
    <row r="599" spans="1:142" x14ac:dyDescent="0.35">
      <c r="A599" s="9">
        <v>901189656</v>
      </c>
      <c r="B599" s="19">
        <v>1</v>
      </c>
      <c r="C599" s="9" t="str">
        <f>VLOOKUP(A599,'[1]terceros cto'!A$1:B$65536,2,0)</f>
        <v>NIS-NEGOCIOS INVERSIONES Y SERVICIOS SAS</v>
      </c>
      <c r="D599" s="20" t="str">
        <f>VLOOKUP(C599,'[1]terceros cto'!B$1:F$65536,5,0)</f>
        <v>gerencia.nis@gmail.com</v>
      </c>
      <c r="E599" s="21" t="s">
        <v>2252</v>
      </c>
      <c r="F599" s="9" t="str">
        <f>VLOOKUP(C599,'[1]terceros cto'!B$1:D$65536,3,0)</f>
        <v>CRA 19 34A  73</v>
      </c>
      <c r="G599" s="21">
        <v>15516</v>
      </c>
      <c r="H599" s="9">
        <v>212</v>
      </c>
      <c r="I599" s="28">
        <v>27060918</v>
      </c>
      <c r="J599" s="29">
        <v>0</v>
      </c>
      <c r="K599" s="22">
        <v>0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  <c r="CD599" s="9"/>
      <c r="CE599" s="9"/>
      <c r="CF599" s="9"/>
      <c r="CG599" s="9"/>
      <c r="CH599" s="9"/>
      <c r="CI599" s="9"/>
      <c r="CJ599" s="9"/>
      <c r="CK599" s="9"/>
      <c r="CL599" s="9"/>
      <c r="CM599" s="9"/>
      <c r="CN599" s="9"/>
      <c r="CO599" s="9"/>
      <c r="CP599" s="9"/>
      <c r="CQ599" s="9"/>
      <c r="CR599" s="9"/>
      <c r="CS599" s="9"/>
      <c r="CT599" s="9"/>
      <c r="CU599" s="9"/>
      <c r="CV599" s="9"/>
      <c r="CW599" s="9"/>
      <c r="CX599" s="9"/>
      <c r="CY599" s="9"/>
      <c r="CZ599" s="9"/>
      <c r="DA599" s="9"/>
      <c r="DB599" s="9"/>
      <c r="DC599" s="9"/>
      <c r="DD599" s="9"/>
      <c r="DE599" s="9"/>
      <c r="DF599" s="9"/>
      <c r="DG599" s="9"/>
      <c r="DH599" s="9"/>
      <c r="DI599" s="9"/>
      <c r="DJ599" s="9"/>
      <c r="DK599" s="9"/>
      <c r="DL599" s="9"/>
      <c r="DM599" s="9"/>
      <c r="DN599" s="9"/>
      <c r="DO599" s="9"/>
      <c r="DP599" s="9"/>
      <c r="DQ599" s="9"/>
      <c r="DR599" s="9"/>
      <c r="DS599" s="9"/>
      <c r="DT599" s="9"/>
      <c r="DU599" s="9"/>
      <c r="DV599" s="9"/>
      <c r="DW599" s="9"/>
      <c r="DX599" s="9"/>
      <c r="DY599" s="9"/>
      <c r="DZ599" s="9"/>
      <c r="EA599" s="9"/>
      <c r="EB599" s="9"/>
      <c r="EC599" s="9"/>
      <c r="ED599" s="9"/>
      <c r="EE599" s="9"/>
      <c r="EF599" s="9"/>
      <c r="EG599" s="9"/>
      <c r="EH599" s="9"/>
      <c r="EI599" s="9"/>
      <c r="EJ599" s="9"/>
      <c r="EK599" s="9"/>
      <c r="EL599" s="9"/>
    </row>
    <row r="600" spans="1:142" x14ac:dyDescent="0.35">
      <c r="A600" s="9">
        <v>901207027</v>
      </c>
      <c r="B600" s="19">
        <v>7</v>
      </c>
      <c r="C600" s="9" t="str">
        <f>VLOOKUP(A600,'[1]terceros cto'!A$1:B$65536,2,0)</f>
        <v>ENERGIA  LIMPIA CONTINENTAL ENECOL SAS</v>
      </c>
      <c r="D600" s="20" t="str">
        <f>VLOOKUP(C600,'[1]terceros cto'!B$1:F$65536,5,0)</f>
        <v>enelcolcomercial@gmail.com</v>
      </c>
      <c r="E600" s="21" t="s">
        <v>2252</v>
      </c>
      <c r="F600" s="9" t="str">
        <f>VLOOKUP(C600,'[1]terceros cto'!B$1:D$65536,3,0)</f>
        <v>CARRERA 21 22-58</v>
      </c>
      <c r="G600" s="21">
        <v>15516</v>
      </c>
      <c r="H600" s="9">
        <v>212</v>
      </c>
      <c r="I600" s="30">
        <v>11100541</v>
      </c>
      <c r="J600" s="31">
        <v>0</v>
      </c>
      <c r="K600" s="22">
        <v>0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  <c r="CJ600" s="9"/>
      <c r="CK600" s="9"/>
      <c r="CL600" s="9"/>
      <c r="CM600" s="9"/>
      <c r="CN600" s="9"/>
      <c r="CO600" s="9"/>
      <c r="CP600" s="9"/>
      <c r="CQ600" s="9"/>
      <c r="CR600" s="9"/>
      <c r="CS600" s="9"/>
      <c r="CT600" s="9"/>
      <c r="CU600" s="9"/>
      <c r="CV600" s="9"/>
      <c r="CW600" s="9"/>
      <c r="CX600" s="9"/>
      <c r="CY600" s="9"/>
      <c r="CZ600" s="9"/>
      <c r="DA600" s="9"/>
      <c r="DB600" s="9"/>
      <c r="DC600" s="9"/>
      <c r="DD600" s="9"/>
      <c r="DE600" s="9"/>
      <c r="DF600" s="9"/>
      <c r="DG600" s="9"/>
      <c r="DH600" s="9"/>
      <c r="DI600" s="9"/>
      <c r="DJ600" s="9"/>
      <c r="DK600" s="9"/>
      <c r="DL600" s="9"/>
      <c r="DM600" s="9"/>
      <c r="DN600" s="9"/>
      <c r="DO600" s="9"/>
      <c r="DP600" s="9"/>
      <c r="DQ600" s="9"/>
      <c r="DR600" s="9"/>
      <c r="DS600" s="9"/>
      <c r="DT600" s="9"/>
      <c r="DU600" s="9"/>
      <c r="DV600" s="9"/>
      <c r="DW600" s="9"/>
      <c r="DX600" s="9"/>
      <c r="DY600" s="9"/>
      <c r="DZ600" s="9"/>
      <c r="EA600" s="9"/>
      <c r="EB600" s="9"/>
      <c r="EC600" s="9"/>
      <c r="ED600" s="9"/>
      <c r="EE600" s="9"/>
      <c r="EF600" s="9"/>
      <c r="EG600" s="9"/>
      <c r="EH600" s="9"/>
      <c r="EI600" s="9"/>
      <c r="EJ600" s="9"/>
      <c r="EK600" s="9"/>
      <c r="EL600" s="9"/>
    </row>
    <row r="601" spans="1:142" x14ac:dyDescent="0.35">
      <c r="A601" s="9">
        <v>901214775</v>
      </c>
      <c r="B601" s="19">
        <v>7</v>
      </c>
      <c r="C601" s="9" t="str">
        <f>VLOOKUP(A601,'[1]terceros cto'!A$1:B$65536,2,0)</f>
        <v>TECNIMUSIC S.A.S</v>
      </c>
      <c r="D601" s="20" t="str">
        <f>VLOOKUP(C601,'[1]terceros cto'!B$1:F$65536,5,0)</f>
        <v>tallertecnimusic@yahoo.es</v>
      </c>
      <c r="E601" s="21" t="s">
        <v>2252</v>
      </c>
      <c r="F601" s="9" t="str">
        <f>VLOOKUP(C601,'[1]terceros cto'!B$1:D$65536,3,0)</f>
        <v>Paipa</v>
      </c>
      <c r="G601" s="21">
        <v>15516</v>
      </c>
      <c r="H601" s="9">
        <v>212</v>
      </c>
      <c r="I601" s="28">
        <v>217038</v>
      </c>
      <c r="J601" s="29">
        <v>0</v>
      </c>
      <c r="K601" s="22">
        <v>0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  <c r="CD601" s="9"/>
      <c r="CE601" s="9"/>
      <c r="CF601" s="9"/>
      <c r="CG601" s="9"/>
      <c r="CH601" s="9"/>
      <c r="CI601" s="9"/>
      <c r="CJ601" s="9"/>
      <c r="CK601" s="9"/>
      <c r="CL601" s="9"/>
      <c r="CM601" s="9"/>
      <c r="CN601" s="9"/>
      <c r="CO601" s="9"/>
      <c r="CP601" s="9"/>
      <c r="CQ601" s="9"/>
      <c r="CR601" s="9"/>
      <c r="CS601" s="9"/>
      <c r="CT601" s="9"/>
      <c r="CU601" s="9"/>
      <c r="CV601" s="9"/>
      <c r="CW601" s="9"/>
      <c r="CX601" s="9"/>
      <c r="CY601" s="9"/>
      <c r="CZ601" s="9"/>
      <c r="DA601" s="9"/>
      <c r="DB601" s="9"/>
      <c r="DC601" s="9"/>
      <c r="DD601" s="9"/>
      <c r="DE601" s="9"/>
      <c r="DF601" s="9"/>
      <c r="DG601" s="9"/>
      <c r="DH601" s="9"/>
      <c r="DI601" s="9"/>
      <c r="DJ601" s="9"/>
      <c r="DK601" s="9"/>
      <c r="DL601" s="9"/>
      <c r="DM601" s="9"/>
      <c r="DN601" s="9"/>
      <c r="DO601" s="9"/>
      <c r="DP601" s="9"/>
      <c r="DQ601" s="9"/>
      <c r="DR601" s="9"/>
      <c r="DS601" s="9"/>
      <c r="DT601" s="9"/>
      <c r="DU601" s="9"/>
      <c r="DV601" s="9"/>
      <c r="DW601" s="9"/>
      <c r="DX601" s="9"/>
      <c r="DY601" s="9"/>
      <c r="DZ601" s="9"/>
      <c r="EA601" s="9"/>
      <c r="EB601" s="9"/>
      <c r="EC601" s="9"/>
      <c r="ED601" s="9"/>
      <c r="EE601" s="9"/>
      <c r="EF601" s="9"/>
      <c r="EG601" s="9"/>
      <c r="EH601" s="9"/>
      <c r="EI601" s="9"/>
      <c r="EJ601" s="9"/>
      <c r="EK601" s="9"/>
      <c r="EL601" s="9"/>
    </row>
    <row r="602" spans="1:142" x14ac:dyDescent="0.35">
      <c r="A602" s="9">
        <v>901220812</v>
      </c>
      <c r="B602" s="19">
        <v>6</v>
      </c>
      <c r="C602" s="9" t="str">
        <f>VLOOKUP(A602,'[1]terceros cto'!A$1:B$65536,2,0)</f>
        <v>DISTRICONGELADOS HM SAS</v>
      </c>
      <c r="D602" s="20" t="str">
        <f>VLOOKUP(C602,'[1]terceros cto'!B$1:F$65536,5,0)</f>
        <v>contabilidad.districongeladoshm@gmail.com</v>
      </c>
      <c r="E602" s="21" t="s">
        <v>2252</v>
      </c>
      <c r="F602" s="9" t="str">
        <f>VLOOKUP(C602,'[1]terceros cto'!B$1:D$65536,3,0)</f>
        <v>PAIPA</v>
      </c>
      <c r="G602" s="21">
        <v>15516</v>
      </c>
      <c r="H602" s="9">
        <v>212</v>
      </c>
      <c r="I602" s="30">
        <v>249134</v>
      </c>
      <c r="J602" s="31">
        <v>0</v>
      </c>
      <c r="K602" s="22">
        <v>0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/>
      <c r="CD602" s="9"/>
      <c r="CE602" s="9"/>
      <c r="CF602" s="9"/>
      <c r="CG602" s="9"/>
      <c r="CH602" s="9"/>
      <c r="CI602" s="9"/>
      <c r="CJ602" s="9"/>
      <c r="CK602" s="9"/>
      <c r="CL602" s="9"/>
      <c r="CM602" s="9"/>
      <c r="CN602" s="9"/>
      <c r="CO602" s="9"/>
      <c r="CP602" s="9"/>
      <c r="CQ602" s="9"/>
      <c r="CR602" s="9"/>
      <c r="CS602" s="9"/>
      <c r="CT602" s="9"/>
      <c r="CU602" s="9"/>
      <c r="CV602" s="9"/>
      <c r="CW602" s="9"/>
      <c r="CX602" s="9"/>
      <c r="CY602" s="9"/>
      <c r="CZ602" s="9"/>
      <c r="DA602" s="9"/>
      <c r="DB602" s="9"/>
      <c r="DC602" s="9"/>
      <c r="DD602" s="9"/>
      <c r="DE602" s="9"/>
      <c r="DF602" s="9"/>
      <c r="DG602" s="9"/>
      <c r="DH602" s="9"/>
      <c r="DI602" s="9"/>
      <c r="DJ602" s="9"/>
      <c r="DK602" s="9"/>
      <c r="DL602" s="9"/>
      <c r="DM602" s="9"/>
      <c r="DN602" s="9"/>
      <c r="DO602" s="9"/>
      <c r="DP602" s="9"/>
      <c r="DQ602" s="9"/>
      <c r="DR602" s="9"/>
      <c r="DS602" s="9"/>
      <c r="DT602" s="9"/>
      <c r="DU602" s="9"/>
      <c r="DV602" s="9"/>
      <c r="DW602" s="9"/>
      <c r="DX602" s="9"/>
      <c r="DY602" s="9"/>
      <c r="DZ602" s="9"/>
      <c r="EA602" s="9"/>
      <c r="EB602" s="9"/>
      <c r="EC602" s="9"/>
      <c r="ED602" s="9"/>
      <c r="EE602" s="9"/>
      <c r="EF602" s="9"/>
      <c r="EG602" s="9"/>
      <c r="EH602" s="9"/>
      <c r="EI602" s="9"/>
      <c r="EJ602" s="9"/>
      <c r="EK602" s="9"/>
      <c r="EL602" s="9"/>
    </row>
    <row r="603" spans="1:142" x14ac:dyDescent="0.35">
      <c r="A603" s="9">
        <v>901237448</v>
      </c>
      <c r="B603" s="19">
        <v>2</v>
      </c>
      <c r="C603" s="9" t="str">
        <f>VLOOKUP(A603,'[1]terceros cto'!A$1:B$65536,2,0)</f>
        <v>IMMC CLAVIJO SAS</v>
      </c>
      <c r="D603" s="20" t="str">
        <f>VLOOKUP(C603,'[1]terceros cto'!B$1:F$65536,5,0)</f>
        <v>facturacionimmc.clavijo@gmail.com</v>
      </c>
      <c r="E603" s="21" t="s">
        <v>2252</v>
      </c>
      <c r="F603" s="9" t="str">
        <f>VLOOKUP(C603,'[1]terceros cto'!B$1:D$65536,3,0)</f>
        <v>Paipa</v>
      </c>
      <c r="G603" s="21">
        <v>15516</v>
      </c>
      <c r="H603" s="9">
        <v>212</v>
      </c>
      <c r="I603" s="28">
        <v>100000</v>
      </c>
      <c r="J603" s="29">
        <v>0</v>
      </c>
      <c r="K603" s="22">
        <v>0</v>
      </c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  <c r="CB603" s="9"/>
      <c r="CC603" s="9"/>
      <c r="CD603" s="9"/>
      <c r="CE603" s="9"/>
      <c r="CF603" s="9"/>
      <c r="CG603" s="9"/>
      <c r="CH603" s="9"/>
      <c r="CI603" s="9"/>
      <c r="CJ603" s="9"/>
      <c r="CK603" s="9"/>
      <c r="CL603" s="9"/>
      <c r="CM603" s="9"/>
      <c r="CN603" s="9"/>
      <c r="CO603" s="9"/>
      <c r="CP603" s="9"/>
      <c r="CQ603" s="9"/>
      <c r="CR603" s="9"/>
      <c r="CS603" s="9"/>
      <c r="CT603" s="9"/>
      <c r="CU603" s="9"/>
      <c r="CV603" s="9"/>
      <c r="CW603" s="9"/>
      <c r="CX603" s="9"/>
      <c r="CY603" s="9"/>
      <c r="CZ603" s="9"/>
      <c r="DA603" s="9"/>
      <c r="DB603" s="9"/>
      <c r="DC603" s="9"/>
      <c r="DD603" s="9"/>
      <c r="DE603" s="9"/>
      <c r="DF603" s="9"/>
      <c r="DG603" s="9"/>
      <c r="DH603" s="9"/>
      <c r="DI603" s="9"/>
      <c r="DJ603" s="9"/>
      <c r="DK603" s="9"/>
      <c r="DL603" s="9"/>
      <c r="DM603" s="9"/>
      <c r="DN603" s="9"/>
      <c r="DO603" s="9"/>
      <c r="DP603" s="9"/>
      <c r="DQ603" s="9"/>
      <c r="DR603" s="9"/>
      <c r="DS603" s="9"/>
      <c r="DT603" s="9"/>
      <c r="DU603" s="9"/>
      <c r="DV603" s="9"/>
      <c r="DW603" s="9"/>
      <c r="DX603" s="9"/>
      <c r="DY603" s="9"/>
      <c r="DZ603" s="9"/>
      <c r="EA603" s="9"/>
      <c r="EB603" s="9"/>
      <c r="EC603" s="9"/>
      <c r="ED603" s="9"/>
      <c r="EE603" s="9"/>
      <c r="EF603" s="9"/>
      <c r="EG603" s="9"/>
      <c r="EH603" s="9"/>
      <c r="EI603" s="9"/>
      <c r="EJ603" s="9"/>
      <c r="EK603" s="9"/>
      <c r="EL603" s="9"/>
    </row>
    <row r="604" spans="1:142" x14ac:dyDescent="0.35">
      <c r="A604" s="9">
        <v>901243210</v>
      </c>
      <c r="B604" s="19">
        <v>1</v>
      </c>
      <c r="C604" s="9" t="str">
        <f>VLOOKUP(A604,'[1]terceros cto'!A$1:B$65536,2,0)</f>
        <v>911 EMERGENCIAS SAS</v>
      </c>
      <c r="D604" s="20" t="str">
        <f>VLOOKUP(C604,'[1]terceros cto'!B$1:F$65536,5,0)</f>
        <v>ing.camilo19@gmail.com</v>
      </c>
      <c r="E604" s="21" t="s">
        <v>2252</v>
      </c>
      <c r="F604" s="9" t="str">
        <f>VLOOKUP(C604,'[1]terceros cto'!B$1:D$65536,3,0)</f>
        <v>Paipa</v>
      </c>
      <c r="G604" s="21">
        <v>15516</v>
      </c>
      <c r="H604" s="9">
        <v>212</v>
      </c>
      <c r="I604" s="30">
        <v>122774</v>
      </c>
      <c r="J604" s="31">
        <v>0</v>
      </c>
      <c r="K604" s="22">
        <v>0</v>
      </c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  <c r="CB604" s="9"/>
      <c r="CC604" s="9"/>
      <c r="CD604" s="9"/>
      <c r="CE604" s="9"/>
      <c r="CF604" s="9"/>
      <c r="CG604" s="9"/>
      <c r="CH604" s="9"/>
      <c r="CI604" s="9"/>
      <c r="CJ604" s="9"/>
      <c r="CK604" s="9"/>
      <c r="CL604" s="9"/>
      <c r="CM604" s="9"/>
      <c r="CN604" s="9"/>
      <c r="CO604" s="9"/>
      <c r="CP604" s="9"/>
      <c r="CQ604" s="9"/>
      <c r="CR604" s="9"/>
      <c r="CS604" s="9"/>
      <c r="CT604" s="9"/>
      <c r="CU604" s="9"/>
      <c r="CV604" s="9"/>
      <c r="CW604" s="9"/>
      <c r="CX604" s="9"/>
      <c r="CY604" s="9"/>
      <c r="CZ604" s="9"/>
      <c r="DA604" s="9"/>
      <c r="DB604" s="9"/>
      <c r="DC604" s="9"/>
      <c r="DD604" s="9"/>
      <c r="DE604" s="9"/>
      <c r="DF604" s="9"/>
      <c r="DG604" s="9"/>
      <c r="DH604" s="9"/>
      <c r="DI604" s="9"/>
      <c r="DJ604" s="9"/>
      <c r="DK604" s="9"/>
      <c r="DL604" s="9"/>
      <c r="DM604" s="9"/>
      <c r="DN604" s="9"/>
      <c r="DO604" s="9"/>
      <c r="DP604" s="9"/>
      <c r="DQ604" s="9"/>
      <c r="DR604" s="9"/>
      <c r="DS604" s="9"/>
      <c r="DT604" s="9"/>
      <c r="DU604" s="9"/>
      <c r="DV604" s="9"/>
      <c r="DW604" s="9"/>
      <c r="DX604" s="9"/>
      <c r="DY604" s="9"/>
      <c r="DZ604" s="9"/>
      <c r="EA604" s="9"/>
      <c r="EB604" s="9"/>
      <c r="EC604" s="9"/>
      <c r="ED604" s="9"/>
      <c r="EE604" s="9"/>
      <c r="EF604" s="9"/>
      <c r="EG604" s="9"/>
      <c r="EH604" s="9"/>
      <c r="EI604" s="9"/>
      <c r="EJ604" s="9"/>
      <c r="EK604" s="9"/>
      <c r="EL604" s="9"/>
    </row>
    <row r="605" spans="1:142" x14ac:dyDescent="0.35">
      <c r="A605" s="9">
        <v>901266602</v>
      </c>
      <c r="B605" s="19">
        <v>4</v>
      </c>
      <c r="C605" s="9" t="str">
        <f>VLOOKUP(A605,'[1]terceros cto'!A$1:B$65536,2,0)</f>
        <v>PRODUCTORA Y COMERCIALIZADORA EL GRAN CAMPO S.A.S.</v>
      </c>
      <c r="D605" s="20" t="str">
        <f>VLOOKUP(C605,'[1]terceros cto'!B$1:F$65536,5,0)</f>
        <v>facturacionelgrancampo@gmail.com</v>
      </c>
      <c r="E605" s="21" t="s">
        <v>2252</v>
      </c>
      <c r="F605" s="9" t="str">
        <f>VLOOKUP(C605,'[1]terceros cto'!B$1:D$65536,3,0)</f>
        <v>CL 7 8 57</v>
      </c>
      <c r="G605" s="21">
        <v>15516</v>
      </c>
      <c r="H605" s="9">
        <v>212</v>
      </c>
      <c r="I605" s="28">
        <v>112087</v>
      </c>
      <c r="J605" s="29">
        <v>0</v>
      </c>
      <c r="K605" s="22">
        <v>0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  <c r="CA605" s="9"/>
      <c r="CB605" s="9"/>
      <c r="CC605" s="9"/>
      <c r="CD605" s="9"/>
      <c r="CE605" s="9"/>
      <c r="CF605" s="9"/>
      <c r="CG605" s="9"/>
      <c r="CH605" s="9"/>
      <c r="CI605" s="9"/>
      <c r="CJ605" s="9"/>
      <c r="CK605" s="9"/>
      <c r="CL605" s="9"/>
      <c r="CM605" s="9"/>
      <c r="CN605" s="9"/>
      <c r="CO605" s="9"/>
      <c r="CP605" s="9"/>
      <c r="CQ605" s="9"/>
      <c r="CR605" s="9"/>
      <c r="CS605" s="9"/>
      <c r="CT605" s="9"/>
      <c r="CU605" s="9"/>
      <c r="CV605" s="9"/>
      <c r="CW605" s="9"/>
      <c r="CX605" s="9"/>
      <c r="CY605" s="9"/>
      <c r="CZ605" s="9"/>
      <c r="DA605" s="9"/>
      <c r="DB605" s="9"/>
      <c r="DC605" s="9"/>
      <c r="DD605" s="9"/>
      <c r="DE605" s="9"/>
      <c r="DF605" s="9"/>
      <c r="DG605" s="9"/>
      <c r="DH605" s="9"/>
      <c r="DI605" s="9"/>
      <c r="DJ605" s="9"/>
      <c r="DK605" s="9"/>
      <c r="DL605" s="9"/>
      <c r="DM605" s="9"/>
      <c r="DN605" s="9"/>
      <c r="DO605" s="9"/>
      <c r="DP605" s="9"/>
      <c r="DQ605" s="9"/>
      <c r="DR605" s="9"/>
      <c r="DS605" s="9"/>
      <c r="DT605" s="9"/>
      <c r="DU605" s="9"/>
      <c r="DV605" s="9"/>
      <c r="DW605" s="9"/>
      <c r="DX605" s="9"/>
      <c r="DY605" s="9"/>
      <c r="DZ605" s="9"/>
      <c r="EA605" s="9"/>
      <c r="EB605" s="9"/>
      <c r="EC605" s="9"/>
      <c r="ED605" s="9"/>
      <c r="EE605" s="9"/>
      <c r="EF605" s="9"/>
      <c r="EG605" s="9"/>
      <c r="EH605" s="9"/>
      <c r="EI605" s="9"/>
      <c r="EJ605" s="9"/>
      <c r="EK605" s="9"/>
      <c r="EL605" s="9"/>
    </row>
    <row r="606" spans="1:142" x14ac:dyDescent="0.35">
      <c r="A606" s="9">
        <v>901269151</v>
      </c>
      <c r="B606" s="19">
        <v>8</v>
      </c>
      <c r="C606" s="9" t="str">
        <f>VLOOKUP(A606,'[1]terceros cto'!A$1:B$65536,2,0)</f>
        <v>IGLESIA FRATERNIDAD CRISTIANA</v>
      </c>
      <c r="D606" s="20" t="str">
        <f>VLOOKUP(C606,'[1]terceros cto'!B$1:F$65536,5,0)</f>
        <v>frateradpaipa@gmail.com</v>
      </c>
      <c r="E606" s="21" t="s">
        <v>2252</v>
      </c>
      <c r="F606" s="9" t="str">
        <f>VLOOKUP(C606,'[1]terceros cto'!B$1:D$65536,3,0)</f>
        <v>CENTRO</v>
      </c>
      <c r="G606" s="21">
        <v>15516</v>
      </c>
      <c r="H606" s="9">
        <v>212</v>
      </c>
      <c r="I606" s="30">
        <v>3970207</v>
      </c>
      <c r="J606" s="31">
        <v>0</v>
      </c>
      <c r="K606" s="22">
        <v>0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  <c r="CA606" s="9"/>
      <c r="CB606" s="9"/>
      <c r="CC606" s="9"/>
      <c r="CD606" s="9"/>
      <c r="CE606" s="9"/>
      <c r="CF606" s="9"/>
      <c r="CG606" s="9"/>
      <c r="CH606" s="9"/>
      <c r="CI606" s="9"/>
      <c r="CJ606" s="9"/>
      <c r="CK606" s="9"/>
      <c r="CL606" s="9"/>
      <c r="CM606" s="9"/>
      <c r="CN606" s="9"/>
      <c r="CO606" s="9"/>
      <c r="CP606" s="9"/>
      <c r="CQ606" s="9"/>
      <c r="CR606" s="9"/>
      <c r="CS606" s="9"/>
      <c r="CT606" s="9"/>
      <c r="CU606" s="9"/>
      <c r="CV606" s="9"/>
      <c r="CW606" s="9"/>
      <c r="CX606" s="9"/>
      <c r="CY606" s="9"/>
      <c r="CZ606" s="9"/>
      <c r="DA606" s="9"/>
      <c r="DB606" s="9"/>
      <c r="DC606" s="9"/>
      <c r="DD606" s="9"/>
      <c r="DE606" s="9"/>
      <c r="DF606" s="9"/>
      <c r="DG606" s="9"/>
      <c r="DH606" s="9"/>
      <c r="DI606" s="9"/>
      <c r="DJ606" s="9"/>
      <c r="DK606" s="9"/>
      <c r="DL606" s="9"/>
      <c r="DM606" s="9"/>
      <c r="DN606" s="9"/>
      <c r="DO606" s="9"/>
      <c r="DP606" s="9"/>
      <c r="DQ606" s="9"/>
      <c r="DR606" s="9"/>
      <c r="DS606" s="9"/>
      <c r="DT606" s="9"/>
      <c r="DU606" s="9"/>
      <c r="DV606" s="9"/>
      <c r="DW606" s="9"/>
      <c r="DX606" s="9"/>
      <c r="DY606" s="9"/>
      <c r="DZ606" s="9"/>
      <c r="EA606" s="9"/>
      <c r="EB606" s="9"/>
      <c r="EC606" s="9"/>
      <c r="ED606" s="9"/>
      <c r="EE606" s="9"/>
      <c r="EF606" s="9"/>
      <c r="EG606" s="9"/>
      <c r="EH606" s="9"/>
      <c r="EI606" s="9"/>
      <c r="EJ606" s="9"/>
      <c r="EK606" s="9"/>
      <c r="EL606" s="9"/>
    </row>
    <row r="607" spans="1:142" x14ac:dyDescent="0.35">
      <c r="A607" s="9">
        <v>901269307</v>
      </c>
      <c r="B607" s="19">
        <v>1</v>
      </c>
      <c r="C607" s="9" t="str">
        <f>VLOOKUP(A607,'[1]terceros cto'!A$1:B$65536,2,0)</f>
        <v>AROMÁTICAS Y ESPECIAS YERBASANTA</v>
      </c>
      <c r="D607" s="20" t="str">
        <f>VLOOKUP(C607,'[1]terceros cto'!B$1:F$65536,5,0)</f>
        <v>dpcontabilidad.yerbasanta@gmail.com</v>
      </c>
      <c r="E607" s="21" t="s">
        <v>2252</v>
      </c>
      <c r="F607" s="9" t="str">
        <f>VLOOKUP(C607,'[1]terceros cto'!B$1:D$65536,3,0)</f>
        <v>Paipa</v>
      </c>
      <c r="G607" s="21">
        <v>15516</v>
      </c>
      <c r="H607" s="9">
        <v>212</v>
      </c>
      <c r="I607" s="28">
        <v>150000</v>
      </c>
      <c r="J607" s="29">
        <v>0</v>
      </c>
      <c r="K607" s="22">
        <v>0</v>
      </c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  <c r="CD607" s="9"/>
      <c r="CE607" s="9"/>
      <c r="CF607" s="9"/>
      <c r="CG607" s="9"/>
      <c r="CH607" s="9"/>
      <c r="CI607" s="9"/>
      <c r="CJ607" s="9"/>
      <c r="CK607" s="9"/>
      <c r="CL607" s="9"/>
      <c r="CM607" s="9"/>
      <c r="CN607" s="9"/>
      <c r="CO607" s="9"/>
      <c r="CP607" s="9"/>
      <c r="CQ607" s="9"/>
      <c r="CR607" s="9"/>
      <c r="CS607" s="9"/>
      <c r="CT607" s="9"/>
      <c r="CU607" s="9"/>
      <c r="CV607" s="9"/>
      <c r="CW607" s="9"/>
      <c r="CX607" s="9"/>
      <c r="CY607" s="9"/>
      <c r="CZ607" s="9"/>
      <c r="DA607" s="9"/>
      <c r="DB607" s="9"/>
      <c r="DC607" s="9"/>
      <c r="DD607" s="9"/>
      <c r="DE607" s="9"/>
      <c r="DF607" s="9"/>
      <c r="DG607" s="9"/>
      <c r="DH607" s="9"/>
      <c r="DI607" s="9"/>
      <c r="DJ607" s="9"/>
      <c r="DK607" s="9"/>
      <c r="DL607" s="9"/>
      <c r="DM607" s="9"/>
      <c r="DN607" s="9"/>
      <c r="DO607" s="9"/>
      <c r="DP607" s="9"/>
      <c r="DQ607" s="9"/>
      <c r="DR607" s="9"/>
      <c r="DS607" s="9"/>
      <c r="DT607" s="9"/>
      <c r="DU607" s="9"/>
      <c r="DV607" s="9"/>
      <c r="DW607" s="9"/>
      <c r="DX607" s="9"/>
      <c r="DY607" s="9"/>
      <c r="DZ607" s="9"/>
      <c r="EA607" s="9"/>
      <c r="EB607" s="9"/>
      <c r="EC607" s="9"/>
      <c r="ED607" s="9"/>
      <c r="EE607" s="9"/>
      <c r="EF607" s="9"/>
      <c r="EG607" s="9"/>
      <c r="EH607" s="9"/>
      <c r="EI607" s="9"/>
      <c r="EJ607" s="9"/>
      <c r="EK607" s="9"/>
      <c r="EL607" s="9"/>
    </row>
    <row r="608" spans="1:142" x14ac:dyDescent="0.35">
      <c r="A608" s="9">
        <v>901271025</v>
      </c>
      <c r="B608" s="19">
        <v>4</v>
      </c>
      <c r="C608" s="9" t="str">
        <f>VLOOKUP(A608,'[1]terceros cto'!A$1:B$65536,2,0)</f>
        <v>INGEFRAL SAS</v>
      </c>
      <c r="D608" s="20" t="str">
        <f>VLOOKUP(C608,'[1]terceros cto'!B$1:F$65536,5,0)</f>
        <v>ingefral.ingenieria@gmail.com</v>
      </c>
      <c r="E608" s="21" t="s">
        <v>2252</v>
      </c>
      <c r="F608" s="9" t="str">
        <f>VLOOKUP(C608,'[1]terceros cto'!B$1:D$65536,3,0)</f>
        <v>Paipa</v>
      </c>
      <c r="G608" s="21">
        <v>15516</v>
      </c>
      <c r="H608" s="9">
        <v>212</v>
      </c>
      <c r="I608" s="30">
        <v>213743</v>
      </c>
      <c r="J608" s="31">
        <v>0</v>
      </c>
      <c r="K608" s="22">
        <v>0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  <c r="CA608" s="9"/>
      <c r="CB608" s="9"/>
      <c r="CC608" s="9"/>
      <c r="CD608" s="9"/>
      <c r="CE608" s="9"/>
      <c r="CF608" s="9"/>
      <c r="CG608" s="9"/>
      <c r="CH608" s="9"/>
      <c r="CI608" s="9"/>
      <c r="CJ608" s="9"/>
      <c r="CK608" s="9"/>
      <c r="CL608" s="9"/>
      <c r="CM608" s="9"/>
      <c r="CN608" s="9"/>
      <c r="CO608" s="9"/>
      <c r="CP608" s="9"/>
      <c r="CQ608" s="9"/>
      <c r="CR608" s="9"/>
      <c r="CS608" s="9"/>
      <c r="CT608" s="9"/>
      <c r="CU608" s="9"/>
      <c r="CV608" s="9"/>
      <c r="CW608" s="9"/>
      <c r="CX608" s="9"/>
      <c r="CY608" s="9"/>
      <c r="CZ608" s="9"/>
      <c r="DA608" s="9"/>
      <c r="DB608" s="9"/>
      <c r="DC608" s="9"/>
      <c r="DD608" s="9"/>
      <c r="DE608" s="9"/>
      <c r="DF608" s="9"/>
      <c r="DG608" s="9"/>
      <c r="DH608" s="9"/>
      <c r="DI608" s="9"/>
      <c r="DJ608" s="9"/>
      <c r="DK608" s="9"/>
      <c r="DL608" s="9"/>
      <c r="DM608" s="9"/>
      <c r="DN608" s="9"/>
      <c r="DO608" s="9"/>
      <c r="DP608" s="9"/>
      <c r="DQ608" s="9"/>
      <c r="DR608" s="9"/>
      <c r="DS608" s="9"/>
      <c r="DT608" s="9"/>
      <c r="DU608" s="9"/>
      <c r="DV608" s="9"/>
      <c r="DW608" s="9"/>
      <c r="DX608" s="9"/>
      <c r="DY608" s="9"/>
      <c r="DZ608" s="9"/>
      <c r="EA608" s="9"/>
      <c r="EB608" s="9"/>
      <c r="EC608" s="9"/>
      <c r="ED608" s="9"/>
      <c r="EE608" s="9"/>
      <c r="EF608" s="9"/>
      <c r="EG608" s="9"/>
      <c r="EH608" s="9"/>
      <c r="EI608" s="9"/>
      <c r="EJ608" s="9"/>
      <c r="EK608" s="9"/>
      <c r="EL608" s="9"/>
    </row>
    <row r="609" spans="1:142" x14ac:dyDescent="0.35">
      <c r="A609" s="9">
        <v>901292536</v>
      </c>
      <c r="B609" s="19">
        <v>6</v>
      </c>
      <c r="C609" s="9" t="str">
        <f>VLOOKUP(A609,'[1]terceros cto'!A$1:B$65536,2,0)</f>
        <v>SILEX INGENIEROS SAS</v>
      </c>
      <c r="D609" s="20" t="str">
        <f>VLOOKUP(C609,'[1]terceros cto'!B$1:F$65536,5,0)</f>
        <v>administracion@silexmineria.com.co</v>
      </c>
      <c r="E609" s="21" t="s">
        <v>2252</v>
      </c>
      <c r="F609" s="9" t="str">
        <f>VLOOKUP(C609,'[1]terceros cto'!B$1:D$65536,3,0)</f>
        <v>CRA 98C 135A 12</v>
      </c>
      <c r="G609" s="21">
        <v>15516</v>
      </c>
      <c r="H609" s="9">
        <v>212</v>
      </c>
      <c r="I609" s="28">
        <v>95018</v>
      </c>
      <c r="J609" s="29">
        <v>0</v>
      </c>
      <c r="K609" s="22">
        <v>0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  <c r="CA609" s="9"/>
      <c r="CB609" s="9"/>
      <c r="CC609" s="9"/>
      <c r="CD609" s="9"/>
      <c r="CE609" s="9"/>
      <c r="CF609" s="9"/>
      <c r="CG609" s="9"/>
      <c r="CH609" s="9"/>
      <c r="CI609" s="9"/>
      <c r="CJ609" s="9"/>
      <c r="CK609" s="9"/>
      <c r="CL609" s="9"/>
      <c r="CM609" s="9"/>
      <c r="CN609" s="9"/>
      <c r="CO609" s="9"/>
      <c r="CP609" s="9"/>
      <c r="CQ609" s="9"/>
      <c r="CR609" s="9"/>
      <c r="CS609" s="9"/>
      <c r="CT609" s="9"/>
      <c r="CU609" s="9"/>
      <c r="CV609" s="9"/>
      <c r="CW609" s="9"/>
      <c r="CX609" s="9"/>
      <c r="CY609" s="9"/>
      <c r="CZ609" s="9"/>
      <c r="DA609" s="9"/>
      <c r="DB609" s="9"/>
      <c r="DC609" s="9"/>
      <c r="DD609" s="9"/>
      <c r="DE609" s="9"/>
      <c r="DF609" s="9"/>
      <c r="DG609" s="9"/>
      <c r="DH609" s="9"/>
      <c r="DI609" s="9"/>
      <c r="DJ609" s="9"/>
      <c r="DK609" s="9"/>
      <c r="DL609" s="9"/>
      <c r="DM609" s="9"/>
      <c r="DN609" s="9"/>
      <c r="DO609" s="9"/>
      <c r="DP609" s="9"/>
      <c r="DQ609" s="9"/>
      <c r="DR609" s="9"/>
      <c r="DS609" s="9"/>
      <c r="DT609" s="9"/>
      <c r="DU609" s="9"/>
      <c r="DV609" s="9"/>
      <c r="DW609" s="9"/>
      <c r="DX609" s="9"/>
      <c r="DY609" s="9"/>
      <c r="DZ609" s="9"/>
      <c r="EA609" s="9"/>
      <c r="EB609" s="9"/>
      <c r="EC609" s="9"/>
      <c r="ED609" s="9"/>
      <c r="EE609" s="9"/>
      <c r="EF609" s="9"/>
      <c r="EG609" s="9"/>
      <c r="EH609" s="9"/>
      <c r="EI609" s="9"/>
      <c r="EJ609" s="9"/>
      <c r="EK609" s="9"/>
      <c r="EL609" s="9"/>
    </row>
    <row r="610" spans="1:142" x14ac:dyDescent="0.35">
      <c r="A610" s="9">
        <v>901297927</v>
      </c>
      <c r="B610" s="19">
        <v>5</v>
      </c>
      <c r="C610" s="9" t="str">
        <f>VLOOKUP(A610,'[1]terceros cto'!A$1:B$65536,2,0)</f>
        <v>ENERGY 8 NETWORK SAS</v>
      </c>
      <c r="D610" s="20" t="str">
        <f>VLOOKUP(C610,'[1]terceros cto'!B$1:F$65536,5,0)</f>
        <v>comercial@e8n.com.co</v>
      </c>
      <c r="E610" s="21" t="s">
        <v>2252</v>
      </c>
      <c r="F610" s="9" t="str">
        <f>VLOOKUP(C610,'[1]terceros cto'!B$1:D$65536,3,0)</f>
        <v>Paipa</v>
      </c>
      <c r="G610" s="21">
        <v>15516</v>
      </c>
      <c r="H610" s="9">
        <v>212</v>
      </c>
      <c r="I610" s="30">
        <v>100000</v>
      </c>
      <c r="J610" s="31">
        <v>0</v>
      </c>
      <c r="K610" s="22">
        <v>0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  <c r="CB610" s="9"/>
      <c r="CC610" s="9"/>
      <c r="CD610" s="9"/>
      <c r="CE610" s="9"/>
      <c r="CF610" s="9"/>
      <c r="CG610" s="9"/>
      <c r="CH610" s="9"/>
      <c r="CI610" s="9"/>
      <c r="CJ610" s="9"/>
      <c r="CK610" s="9"/>
      <c r="CL610" s="9"/>
      <c r="CM610" s="9"/>
      <c r="CN610" s="9"/>
      <c r="CO610" s="9"/>
      <c r="CP610" s="9"/>
      <c r="CQ610" s="9"/>
      <c r="CR610" s="9"/>
      <c r="CS610" s="9"/>
      <c r="CT610" s="9"/>
      <c r="CU610" s="9"/>
      <c r="CV610" s="9"/>
      <c r="CW610" s="9"/>
      <c r="CX610" s="9"/>
      <c r="CY610" s="9"/>
      <c r="CZ610" s="9"/>
      <c r="DA610" s="9"/>
      <c r="DB610" s="9"/>
      <c r="DC610" s="9"/>
      <c r="DD610" s="9"/>
      <c r="DE610" s="9"/>
      <c r="DF610" s="9"/>
      <c r="DG610" s="9"/>
      <c r="DH610" s="9"/>
      <c r="DI610" s="9"/>
      <c r="DJ610" s="9"/>
      <c r="DK610" s="9"/>
      <c r="DL610" s="9"/>
      <c r="DM610" s="9"/>
      <c r="DN610" s="9"/>
      <c r="DO610" s="9"/>
      <c r="DP610" s="9"/>
      <c r="DQ610" s="9"/>
      <c r="DR610" s="9"/>
      <c r="DS610" s="9"/>
      <c r="DT610" s="9"/>
      <c r="DU610" s="9"/>
      <c r="DV610" s="9"/>
      <c r="DW610" s="9"/>
      <c r="DX610" s="9"/>
      <c r="DY610" s="9"/>
      <c r="DZ610" s="9"/>
      <c r="EA610" s="9"/>
      <c r="EB610" s="9"/>
      <c r="EC610" s="9"/>
      <c r="ED610" s="9"/>
      <c r="EE610" s="9"/>
      <c r="EF610" s="9"/>
      <c r="EG610" s="9"/>
      <c r="EH610" s="9"/>
      <c r="EI610" s="9"/>
      <c r="EJ610" s="9"/>
      <c r="EK610" s="9"/>
      <c r="EL610" s="9"/>
    </row>
    <row r="611" spans="1:142" x14ac:dyDescent="0.35">
      <c r="A611" s="9">
        <v>901299987</v>
      </c>
      <c r="B611" s="19">
        <v>6</v>
      </c>
      <c r="C611" s="9" t="str">
        <f>VLOOKUP(A611,'[1]terceros cto'!A$1:B$65536,2,0)</f>
        <v>BRI GROUP ARQUITECTURA  Y CONSTRUCCION SAS</v>
      </c>
      <c r="D611" s="20" t="str">
        <f>VLOOKUP(C611,'[1]terceros cto'!B$1:F$65536,5,0)</f>
        <v>recepcionfacturasbri@gmail.com</v>
      </c>
      <c r="E611" s="21" t="s">
        <v>2252</v>
      </c>
      <c r="F611" s="9" t="str">
        <f>VLOOKUP(C611,'[1]terceros cto'!B$1:D$65536,3,0)</f>
        <v>KARRERA 11A 26 SUR</v>
      </c>
      <c r="G611" s="21">
        <v>15516</v>
      </c>
      <c r="H611" s="9">
        <v>212</v>
      </c>
      <c r="I611" s="28">
        <v>160010</v>
      </c>
      <c r="J611" s="29">
        <v>0</v>
      </c>
      <c r="K611" s="22">
        <v>0</v>
      </c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  <c r="CB611" s="9"/>
      <c r="CC611" s="9"/>
      <c r="CD611" s="9"/>
      <c r="CE611" s="9"/>
      <c r="CF611" s="9"/>
      <c r="CG611" s="9"/>
      <c r="CH611" s="9"/>
      <c r="CI611" s="9"/>
      <c r="CJ611" s="9"/>
      <c r="CK611" s="9"/>
      <c r="CL611" s="9"/>
      <c r="CM611" s="9"/>
      <c r="CN611" s="9"/>
      <c r="CO611" s="9"/>
      <c r="CP611" s="9"/>
      <c r="CQ611" s="9"/>
      <c r="CR611" s="9"/>
      <c r="CS611" s="9"/>
      <c r="CT611" s="9"/>
      <c r="CU611" s="9"/>
      <c r="CV611" s="9"/>
      <c r="CW611" s="9"/>
      <c r="CX611" s="9"/>
      <c r="CY611" s="9"/>
      <c r="CZ611" s="9"/>
      <c r="DA611" s="9"/>
      <c r="DB611" s="9"/>
      <c r="DC611" s="9"/>
      <c r="DD611" s="9"/>
      <c r="DE611" s="9"/>
      <c r="DF611" s="9"/>
      <c r="DG611" s="9"/>
      <c r="DH611" s="9"/>
      <c r="DI611" s="9"/>
      <c r="DJ611" s="9"/>
      <c r="DK611" s="9"/>
      <c r="DL611" s="9"/>
      <c r="DM611" s="9"/>
      <c r="DN611" s="9"/>
      <c r="DO611" s="9"/>
      <c r="DP611" s="9"/>
      <c r="DQ611" s="9"/>
      <c r="DR611" s="9"/>
      <c r="DS611" s="9"/>
      <c r="DT611" s="9"/>
      <c r="DU611" s="9"/>
      <c r="DV611" s="9"/>
      <c r="DW611" s="9"/>
      <c r="DX611" s="9"/>
      <c r="DY611" s="9"/>
      <c r="DZ611" s="9"/>
      <c r="EA611" s="9"/>
      <c r="EB611" s="9"/>
      <c r="EC611" s="9"/>
      <c r="ED611" s="9"/>
      <c r="EE611" s="9"/>
      <c r="EF611" s="9"/>
      <c r="EG611" s="9"/>
      <c r="EH611" s="9"/>
      <c r="EI611" s="9"/>
      <c r="EJ611" s="9"/>
      <c r="EK611" s="9"/>
      <c r="EL611" s="9"/>
    </row>
    <row r="612" spans="1:142" x14ac:dyDescent="0.35">
      <c r="A612" s="9">
        <v>901302424</v>
      </c>
      <c r="B612" s="19">
        <v>4</v>
      </c>
      <c r="C612" s="9" t="str">
        <f>VLOOKUP(A612,'[1]terceros cto'!A$1:B$65536,2,0)</f>
        <v>DEWHURST GROUP SAS</v>
      </c>
      <c r="D612" s="20" t="str">
        <f>VLOOKUP(C612,'[1]terceros cto'!B$1:F$65536,5,0)</f>
        <v>m.vargas@dewhurstgroup.us</v>
      </c>
      <c r="E612" s="21" t="s">
        <v>2252</v>
      </c>
      <c r="F612" s="9" t="str">
        <f>VLOOKUP(C612,'[1]terceros cto'!B$1:D$65536,3,0)</f>
        <v>No informada</v>
      </c>
      <c r="G612" s="21">
        <v>15516</v>
      </c>
      <c r="H612" s="9">
        <v>212</v>
      </c>
      <c r="I612" s="30">
        <v>763135</v>
      </c>
      <c r="J612" s="31">
        <v>0</v>
      </c>
      <c r="K612" s="22">
        <v>0</v>
      </c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/>
      <c r="CD612" s="9"/>
      <c r="CE612" s="9"/>
      <c r="CF612" s="9"/>
      <c r="CG612" s="9"/>
      <c r="CH612" s="9"/>
      <c r="CI612" s="9"/>
      <c r="CJ612" s="9"/>
      <c r="CK612" s="9"/>
      <c r="CL612" s="9"/>
      <c r="CM612" s="9"/>
      <c r="CN612" s="9"/>
      <c r="CO612" s="9"/>
      <c r="CP612" s="9"/>
      <c r="CQ612" s="9"/>
      <c r="CR612" s="9"/>
      <c r="CS612" s="9"/>
      <c r="CT612" s="9"/>
      <c r="CU612" s="9"/>
      <c r="CV612" s="9"/>
      <c r="CW612" s="9"/>
      <c r="CX612" s="9"/>
      <c r="CY612" s="9"/>
      <c r="CZ612" s="9"/>
      <c r="DA612" s="9"/>
      <c r="DB612" s="9"/>
      <c r="DC612" s="9"/>
      <c r="DD612" s="9"/>
      <c r="DE612" s="9"/>
      <c r="DF612" s="9"/>
      <c r="DG612" s="9"/>
      <c r="DH612" s="9"/>
      <c r="DI612" s="9"/>
      <c r="DJ612" s="9"/>
      <c r="DK612" s="9"/>
      <c r="DL612" s="9"/>
      <c r="DM612" s="9"/>
      <c r="DN612" s="9"/>
      <c r="DO612" s="9"/>
      <c r="DP612" s="9"/>
      <c r="DQ612" s="9"/>
      <c r="DR612" s="9"/>
      <c r="DS612" s="9"/>
      <c r="DT612" s="9"/>
      <c r="DU612" s="9"/>
      <c r="DV612" s="9"/>
      <c r="DW612" s="9"/>
      <c r="DX612" s="9"/>
      <c r="DY612" s="9"/>
      <c r="DZ612" s="9"/>
      <c r="EA612" s="9"/>
      <c r="EB612" s="9"/>
      <c r="EC612" s="9"/>
      <c r="ED612" s="9"/>
      <c r="EE612" s="9"/>
      <c r="EF612" s="9"/>
      <c r="EG612" s="9"/>
      <c r="EH612" s="9"/>
      <c r="EI612" s="9"/>
      <c r="EJ612" s="9"/>
      <c r="EK612" s="9"/>
      <c r="EL612" s="9"/>
    </row>
    <row r="613" spans="1:142" x14ac:dyDescent="0.35">
      <c r="A613" s="9">
        <v>901303870</v>
      </c>
      <c r="B613" s="19">
        <v>0</v>
      </c>
      <c r="C613" s="9" t="str">
        <f>VLOOKUP(A613,'[1]terceros cto'!A$1:B$65536,2,0)</f>
        <v>DIEGO FONSECA INGENIERÍA SAS</v>
      </c>
      <c r="D613" s="20" t="str">
        <f>VLOOKUP(C613,'[1]terceros cto'!B$1:F$65536,5,0)</f>
        <v>disalingenieria@gmail.com</v>
      </c>
      <c r="E613" s="21" t="s">
        <v>2252</v>
      </c>
      <c r="F613" s="9" t="str">
        <f>VLOOKUP(C613,'[1]terceros cto'!B$1:D$65536,3,0)</f>
        <v>PAIPA</v>
      </c>
      <c r="G613" s="21">
        <v>15516</v>
      </c>
      <c r="H613" s="9">
        <v>212</v>
      </c>
      <c r="I613" s="28">
        <v>3275367</v>
      </c>
      <c r="J613" s="29">
        <v>0</v>
      </c>
      <c r="K613" s="22">
        <v>0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  <c r="CD613" s="9"/>
      <c r="CE613" s="9"/>
      <c r="CF613" s="9"/>
      <c r="CG613" s="9"/>
      <c r="CH613" s="9"/>
      <c r="CI613" s="9"/>
      <c r="CJ613" s="9"/>
      <c r="CK613" s="9"/>
      <c r="CL613" s="9"/>
      <c r="CM613" s="9"/>
      <c r="CN613" s="9"/>
      <c r="CO613" s="9"/>
      <c r="CP613" s="9"/>
      <c r="CQ613" s="9"/>
      <c r="CR613" s="9"/>
      <c r="CS613" s="9"/>
      <c r="CT613" s="9"/>
      <c r="CU613" s="9"/>
      <c r="CV613" s="9"/>
      <c r="CW613" s="9"/>
      <c r="CX613" s="9"/>
      <c r="CY613" s="9"/>
      <c r="CZ613" s="9"/>
      <c r="DA613" s="9"/>
      <c r="DB613" s="9"/>
      <c r="DC613" s="9"/>
      <c r="DD613" s="9"/>
      <c r="DE613" s="9"/>
      <c r="DF613" s="9"/>
      <c r="DG613" s="9"/>
      <c r="DH613" s="9"/>
      <c r="DI613" s="9"/>
      <c r="DJ613" s="9"/>
      <c r="DK613" s="9"/>
      <c r="DL613" s="9"/>
      <c r="DM613" s="9"/>
      <c r="DN613" s="9"/>
      <c r="DO613" s="9"/>
      <c r="DP613" s="9"/>
      <c r="DQ613" s="9"/>
      <c r="DR613" s="9"/>
      <c r="DS613" s="9"/>
      <c r="DT613" s="9"/>
      <c r="DU613" s="9"/>
      <c r="DV613" s="9"/>
      <c r="DW613" s="9"/>
      <c r="DX613" s="9"/>
      <c r="DY613" s="9"/>
      <c r="DZ613" s="9"/>
      <c r="EA613" s="9"/>
      <c r="EB613" s="9"/>
      <c r="EC613" s="9"/>
      <c r="ED613" s="9"/>
      <c r="EE613" s="9"/>
      <c r="EF613" s="9"/>
      <c r="EG613" s="9"/>
      <c r="EH613" s="9"/>
      <c r="EI613" s="9"/>
      <c r="EJ613" s="9"/>
      <c r="EK613" s="9"/>
      <c r="EL613" s="9"/>
    </row>
    <row r="614" spans="1:142" x14ac:dyDescent="0.35">
      <c r="A614" s="9">
        <v>901335590</v>
      </c>
      <c r="B614" s="19">
        <v>0</v>
      </c>
      <c r="C614" s="9" t="str">
        <f>VLOOKUP(A614,'[1]terceros cto'!A$1:B$65536,2,0)</f>
        <v>PROYECTOS Y CONSTRUCCIONES NF SAS</v>
      </c>
      <c r="D614" s="20" t="str">
        <f>VLOOKUP(C614,'[1]terceros cto'!B$1:F$65536,5,0)</f>
        <v>proyectosconstruccionesnf@gmail.com</v>
      </c>
      <c r="E614" s="21" t="s">
        <v>2252</v>
      </c>
      <c r="F614" s="9" t="str">
        <f>VLOOKUP(C614,'[1]terceros cto'!B$1:D$65536,3,0)</f>
        <v>Paipa</v>
      </c>
      <c r="G614" s="21">
        <v>15516</v>
      </c>
      <c r="H614" s="9">
        <v>212</v>
      </c>
      <c r="I614" s="30">
        <v>440000</v>
      </c>
      <c r="J614" s="31">
        <v>0</v>
      </c>
      <c r="K614" s="22">
        <v>0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  <c r="CD614" s="9"/>
      <c r="CE614" s="9"/>
      <c r="CF614" s="9"/>
      <c r="CG614" s="9"/>
      <c r="CH614" s="9"/>
      <c r="CI614" s="9"/>
      <c r="CJ614" s="9"/>
      <c r="CK614" s="9"/>
      <c r="CL614" s="9"/>
      <c r="CM614" s="9"/>
      <c r="CN614" s="9"/>
      <c r="CO614" s="9"/>
      <c r="CP614" s="9"/>
      <c r="CQ614" s="9"/>
      <c r="CR614" s="9"/>
      <c r="CS614" s="9"/>
      <c r="CT614" s="9"/>
      <c r="CU614" s="9"/>
      <c r="CV614" s="9"/>
      <c r="CW614" s="9"/>
      <c r="CX614" s="9"/>
      <c r="CY614" s="9"/>
      <c r="CZ614" s="9"/>
      <c r="DA614" s="9"/>
      <c r="DB614" s="9"/>
      <c r="DC614" s="9"/>
      <c r="DD614" s="9"/>
      <c r="DE614" s="9"/>
      <c r="DF614" s="9"/>
      <c r="DG614" s="9"/>
      <c r="DH614" s="9"/>
      <c r="DI614" s="9"/>
      <c r="DJ614" s="9"/>
      <c r="DK614" s="9"/>
      <c r="DL614" s="9"/>
      <c r="DM614" s="9"/>
      <c r="DN614" s="9"/>
      <c r="DO614" s="9"/>
      <c r="DP614" s="9"/>
      <c r="DQ614" s="9"/>
      <c r="DR614" s="9"/>
      <c r="DS614" s="9"/>
      <c r="DT614" s="9"/>
      <c r="DU614" s="9"/>
      <c r="DV614" s="9"/>
      <c r="DW614" s="9"/>
      <c r="DX614" s="9"/>
      <c r="DY614" s="9"/>
      <c r="DZ614" s="9"/>
      <c r="EA614" s="9"/>
      <c r="EB614" s="9"/>
      <c r="EC614" s="9"/>
      <c r="ED614" s="9"/>
      <c r="EE614" s="9"/>
      <c r="EF614" s="9"/>
      <c r="EG614" s="9"/>
      <c r="EH614" s="9"/>
      <c r="EI614" s="9"/>
      <c r="EJ614" s="9"/>
      <c r="EK614" s="9"/>
      <c r="EL614" s="9"/>
    </row>
    <row r="615" spans="1:142" x14ac:dyDescent="0.35">
      <c r="A615" s="9">
        <v>901335884</v>
      </c>
      <c r="B615" s="19">
        <v>0</v>
      </c>
      <c r="C615" s="9" t="str">
        <f>VLOOKUP(A615,'[1]terceros cto'!A$1:B$65536,2,0)</f>
        <v>OPENBIKE CYCLING</v>
      </c>
      <c r="D615" s="20" t="str">
        <f>VLOOKUP(C615,'[1]terceros cto'!B$1:F$65536,5,0)</f>
        <v>contabilidadopenbike@gmail.com</v>
      </c>
      <c r="E615" s="21" t="s">
        <v>2252</v>
      </c>
      <c r="F615" s="9" t="str">
        <f>VLOOKUP(C615,'[1]terceros cto'!B$1:D$65536,3,0)</f>
        <v>Cl 30A #72A 60</v>
      </c>
      <c r="G615" s="21">
        <v>15516</v>
      </c>
      <c r="H615" s="9">
        <v>212</v>
      </c>
      <c r="I615" s="28">
        <v>196218</v>
      </c>
      <c r="J615" s="29">
        <v>0</v>
      </c>
      <c r="K615" s="22">
        <v>0</v>
      </c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  <c r="CD615" s="9"/>
      <c r="CE615" s="9"/>
      <c r="CF615" s="9"/>
      <c r="CG615" s="9"/>
      <c r="CH615" s="9"/>
      <c r="CI615" s="9"/>
      <c r="CJ615" s="9"/>
      <c r="CK615" s="9"/>
      <c r="CL615" s="9"/>
      <c r="CM615" s="9"/>
      <c r="CN615" s="9"/>
      <c r="CO615" s="9"/>
      <c r="CP615" s="9"/>
      <c r="CQ615" s="9"/>
      <c r="CR615" s="9"/>
      <c r="CS615" s="9"/>
      <c r="CT615" s="9"/>
      <c r="CU615" s="9"/>
      <c r="CV615" s="9"/>
      <c r="CW615" s="9"/>
      <c r="CX615" s="9"/>
      <c r="CY615" s="9"/>
      <c r="CZ615" s="9"/>
      <c r="DA615" s="9"/>
      <c r="DB615" s="9"/>
      <c r="DC615" s="9"/>
      <c r="DD615" s="9"/>
      <c r="DE615" s="9"/>
      <c r="DF615" s="9"/>
      <c r="DG615" s="9"/>
      <c r="DH615" s="9"/>
      <c r="DI615" s="9"/>
      <c r="DJ615" s="9"/>
      <c r="DK615" s="9"/>
      <c r="DL615" s="9"/>
      <c r="DM615" s="9"/>
      <c r="DN615" s="9"/>
      <c r="DO615" s="9"/>
      <c r="DP615" s="9"/>
      <c r="DQ615" s="9"/>
      <c r="DR615" s="9"/>
      <c r="DS615" s="9"/>
      <c r="DT615" s="9"/>
      <c r="DU615" s="9"/>
      <c r="DV615" s="9"/>
      <c r="DW615" s="9"/>
      <c r="DX615" s="9"/>
      <c r="DY615" s="9"/>
      <c r="DZ615" s="9"/>
      <c r="EA615" s="9"/>
      <c r="EB615" s="9"/>
      <c r="EC615" s="9"/>
      <c r="ED615" s="9"/>
      <c r="EE615" s="9"/>
      <c r="EF615" s="9"/>
      <c r="EG615" s="9"/>
      <c r="EH615" s="9"/>
      <c r="EI615" s="9"/>
      <c r="EJ615" s="9"/>
      <c r="EK615" s="9"/>
      <c r="EL615" s="9"/>
    </row>
    <row r="616" spans="1:142" x14ac:dyDescent="0.35">
      <c r="A616" s="9">
        <v>901338598</v>
      </c>
      <c r="B616" s="19">
        <v>2</v>
      </c>
      <c r="C616" s="9" t="str">
        <f>VLOOKUP(A616,'[1]terceros cto'!A$1:B$65536,2,0)</f>
        <v>SERVICIOS DE NEUROFISIOLOGIA Y SUEÑ</v>
      </c>
      <c r="D616" s="20" t="str">
        <f>VLOOKUP(C616,'[1]terceros cto'!B$1:F$65536,5,0)</f>
        <v>nysbethel@gmail.com</v>
      </c>
      <c r="E616" s="21" t="s">
        <v>2252</v>
      </c>
      <c r="F616" s="9" t="str">
        <f>VLOOKUP(C616,'[1]terceros cto'!B$1:D$65536,3,0)</f>
        <v>Paipa</v>
      </c>
      <c r="G616" s="21">
        <v>15516</v>
      </c>
      <c r="H616" s="9">
        <v>212</v>
      </c>
      <c r="I616" s="30">
        <v>130015</v>
      </c>
      <c r="J616" s="31">
        <v>0</v>
      </c>
      <c r="K616" s="22">
        <v>0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  <c r="CB616" s="9"/>
      <c r="CC616" s="9"/>
      <c r="CD616" s="9"/>
      <c r="CE616" s="9"/>
      <c r="CF616" s="9"/>
      <c r="CG616" s="9"/>
      <c r="CH616" s="9"/>
      <c r="CI616" s="9"/>
      <c r="CJ616" s="9"/>
      <c r="CK616" s="9"/>
      <c r="CL616" s="9"/>
      <c r="CM616" s="9"/>
      <c r="CN616" s="9"/>
      <c r="CO616" s="9"/>
      <c r="CP616" s="9"/>
      <c r="CQ616" s="9"/>
      <c r="CR616" s="9"/>
      <c r="CS616" s="9"/>
      <c r="CT616" s="9"/>
      <c r="CU616" s="9"/>
      <c r="CV616" s="9"/>
      <c r="CW616" s="9"/>
      <c r="CX616" s="9"/>
      <c r="CY616" s="9"/>
      <c r="CZ616" s="9"/>
      <c r="DA616" s="9"/>
      <c r="DB616" s="9"/>
      <c r="DC616" s="9"/>
      <c r="DD616" s="9"/>
      <c r="DE616" s="9"/>
      <c r="DF616" s="9"/>
      <c r="DG616" s="9"/>
      <c r="DH616" s="9"/>
      <c r="DI616" s="9"/>
      <c r="DJ616" s="9"/>
      <c r="DK616" s="9"/>
      <c r="DL616" s="9"/>
      <c r="DM616" s="9"/>
      <c r="DN616" s="9"/>
      <c r="DO616" s="9"/>
      <c r="DP616" s="9"/>
      <c r="DQ616" s="9"/>
      <c r="DR616" s="9"/>
      <c r="DS616" s="9"/>
      <c r="DT616" s="9"/>
      <c r="DU616" s="9"/>
      <c r="DV616" s="9"/>
      <c r="DW616" s="9"/>
      <c r="DX616" s="9"/>
      <c r="DY616" s="9"/>
      <c r="DZ616" s="9"/>
      <c r="EA616" s="9"/>
      <c r="EB616" s="9"/>
      <c r="EC616" s="9"/>
      <c r="ED616" s="9"/>
      <c r="EE616" s="9"/>
      <c r="EF616" s="9"/>
      <c r="EG616" s="9"/>
      <c r="EH616" s="9"/>
      <c r="EI616" s="9"/>
      <c r="EJ616" s="9"/>
      <c r="EK616" s="9"/>
      <c r="EL616" s="9"/>
    </row>
    <row r="617" spans="1:142" x14ac:dyDescent="0.35">
      <c r="A617" s="9">
        <v>901353286</v>
      </c>
      <c r="B617" s="19">
        <v>2</v>
      </c>
      <c r="C617" s="9" t="str">
        <f>VLOOKUP(A617,'[1]terceros cto'!A$1:B$65536,2,0)</f>
        <v>EMACT SAS</v>
      </c>
      <c r="D617" s="20" t="str">
        <f>VLOOKUP(C617,'[1]terceros cto'!B$1:F$65536,5,0)</f>
        <v>escueladelmetodoactoral@gmail.com</v>
      </c>
      <c r="E617" s="21" t="s">
        <v>2252</v>
      </c>
      <c r="F617" s="9" t="str">
        <f>VLOOKUP(C617,'[1]terceros cto'!B$1:D$65536,3,0)</f>
        <v>paipa</v>
      </c>
      <c r="G617" s="21">
        <v>15516</v>
      </c>
      <c r="H617" s="9">
        <v>212</v>
      </c>
      <c r="I617" s="28">
        <v>363497</v>
      </c>
      <c r="J617" s="29">
        <v>0</v>
      </c>
      <c r="K617" s="22">
        <v>0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  <c r="CB617" s="9"/>
      <c r="CC617" s="9"/>
      <c r="CD617" s="9"/>
      <c r="CE617" s="9"/>
      <c r="CF617" s="9"/>
      <c r="CG617" s="9"/>
      <c r="CH617" s="9"/>
      <c r="CI617" s="9"/>
      <c r="CJ617" s="9"/>
      <c r="CK617" s="9"/>
      <c r="CL617" s="9"/>
      <c r="CM617" s="9"/>
      <c r="CN617" s="9"/>
      <c r="CO617" s="9"/>
      <c r="CP617" s="9"/>
      <c r="CQ617" s="9"/>
      <c r="CR617" s="9"/>
      <c r="CS617" s="9"/>
      <c r="CT617" s="9"/>
      <c r="CU617" s="9"/>
      <c r="CV617" s="9"/>
      <c r="CW617" s="9"/>
      <c r="CX617" s="9"/>
      <c r="CY617" s="9"/>
      <c r="CZ617" s="9"/>
      <c r="DA617" s="9"/>
      <c r="DB617" s="9"/>
      <c r="DC617" s="9"/>
      <c r="DD617" s="9"/>
      <c r="DE617" s="9"/>
      <c r="DF617" s="9"/>
      <c r="DG617" s="9"/>
      <c r="DH617" s="9"/>
      <c r="DI617" s="9"/>
      <c r="DJ617" s="9"/>
      <c r="DK617" s="9"/>
      <c r="DL617" s="9"/>
      <c r="DM617" s="9"/>
      <c r="DN617" s="9"/>
      <c r="DO617" s="9"/>
      <c r="DP617" s="9"/>
      <c r="DQ617" s="9"/>
      <c r="DR617" s="9"/>
      <c r="DS617" s="9"/>
      <c r="DT617" s="9"/>
      <c r="DU617" s="9"/>
      <c r="DV617" s="9"/>
      <c r="DW617" s="9"/>
      <c r="DX617" s="9"/>
      <c r="DY617" s="9"/>
      <c r="DZ617" s="9"/>
      <c r="EA617" s="9"/>
      <c r="EB617" s="9"/>
      <c r="EC617" s="9"/>
      <c r="ED617" s="9"/>
      <c r="EE617" s="9"/>
      <c r="EF617" s="9"/>
      <c r="EG617" s="9"/>
      <c r="EH617" s="9"/>
      <c r="EI617" s="9"/>
      <c r="EJ617" s="9"/>
      <c r="EK617" s="9"/>
      <c r="EL617" s="9"/>
    </row>
    <row r="618" spans="1:142" x14ac:dyDescent="0.35">
      <c r="A618" s="9">
        <v>901365667</v>
      </c>
      <c r="B618" s="19">
        <v>7</v>
      </c>
      <c r="C618" s="9" t="str">
        <f>VLOOKUP(A618,'[1]terceros cto'!A$1:B$65536,2,0)</f>
        <v>CARNIVOROS CYJ S.A.S</v>
      </c>
      <c r="D618" s="20" t="str">
        <f>VLOOKUP(C618,'[1]terceros cto'!B$1:F$65536,5,0)</f>
        <v>contador@soycarnivoros.com</v>
      </c>
      <c r="E618" s="21" t="s">
        <v>2252</v>
      </c>
      <c r="F618" s="9" t="str">
        <f>VLOOKUP(C618,'[1]terceros cto'!B$1:D$65536,3,0)</f>
        <v>CL 120 A 6 A 32</v>
      </c>
      <c r="G618" s="21">
        <v>15516</v>
      </c>
      <c r="H618" s="9">
        <v>212</v>
      </c>
      <c r="I618" s="30">
        <v>165034</v>
      </c>
      <c r="J618" s="31">
        <v>0</v>
      </c>
      <c r="K618" s="22">
        <v>0</v>
      </c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  <c r="CD618" s="9"/>
      <c r="CE618" s="9"/>
      <c r="CF618" s="9"/>
      <c r="CG618" s="9"/>
      <c r="CH618" s="9"/>
      <c r="CI618" s="9"/>
      <c r="CJ618" s="9"/>
      <c r="CK618" s="9"/>
      <c r="CL618" s="9"/>
      <c r="CM618" s="9"/>
      <c r="CN618" s="9"/>
      <c r="CO618" s="9"/>
      <c r="CP618" s="9"/>
      <c r="CQ618" s="9"/>
      <c r="CR618" s="9"/>
      <c r="CS618" s="9"/>
      <c r="CT618" s="9"/>
      <c r="CU618" s="9"/>
      <c r="CV618" s="9"/>
      <c r="CW618" s="9"/>
      <c r="CX618" s="9"/>
      <c r="CY618" s="9"/>
      <c r="CZ618" s="9"/>
      <c r="DA618" s="9"/>
      <c r="DB618" s="9"/>
      <c r="DC618" s="9"/>
      <c r="DD618" s="9"/>
      <c r="DE618" s="9"/>
      <c r="DF618" s="9"/>
      <c r="DG618" s="9"/>
      <c r="DH618" s="9"/>
      <c r="DI618" s="9"/>
      <c r="DJ618" s="9"/>
      <c r="DK618" s="9"/>
      <c r="DL618" s="9"/>
      <c r="DM618" s="9"/>
      <c r="DN618" s="9"/>
      <c r="DO618" s="9"/>
      <c r="DP618" s="9"/>
      <c r="DQ618" s="9"/>
      <c r="DR618" s="9"/>
      <c r="DS618" s="9"/>
      <c r="DT618" s="9"/>
      <c r="DU618" s="9"/>
      <c r="DV618" s="9"/>
      <c r="DW618" s="9"/>
      <c r="DX618" s="9"/>
      <c r="DY618" s="9"/>
      <c r="DZ618" s="9"/>
      <c r="EA618" s="9"/>
      <c r="EB618" s="9"/>
      <c r="EC618" s="9"/>
      <c r="ED618" s="9"/>
      <c r="EE618" s="9"/>
      <c r="EF618" s="9"/>
      <c r="EG618" s="9"/>
      <c r="EH618" s="9"/>
      <c r="EI618" s="9"/>
      <c r="EJ618" s="9"/>
      <c r="EK618" s="9"/>
      <c r="EL618" s="9"/>
    </row>
    <row r="619" spans="1:142" x14ac:dyDescent="0.35">
      <c r="A619" s="9">
        <v>901371473</v>
      </c>
      <c r="B619" s="19">
        <v>1</v>
      </c>
      <c r="C619" s="9" t="str">
        <f>VLOOKUP(A619,'[1]terceros cto'!A$1:B$65536,2,0)</f>
        <v>INGENIEROS CIVILES CONSULTORES SAS</v>
      </c>
      <c r="D619" s="20" t="str">
        <f>VLOOKUP(C619,'[1]terceros cto'!B$1:F$65536,5,0)</f>
        <v>icivicolsas@gmail.com</v>
      </c>
      <c r="E619" s="21" t="s">
        <v>2252</v>
      </c>
      <c r="F619" s="9" t="str">
        <f>VLOOKUP(C619,'[1]terceros cto'!B$1:D$65536,3,0)</f>
        <v>Calle 24f#85B-05</v>
      </c>
      <c r="G619" s="21">
        <v>15516</v>
      </c>
      <c r="H619" s="9">
        <v>212</v>
      </c>
      <c r="I619" s="28">
        <v>100007</v>
      </c>
      <c r="J619" s="29">
        <v>0</v>
      </c>
      <c r="K619" s="22">
        <v>0</v>
      </c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  <c r="CD619" s="9"/>
      <c r="CE619" s="9"/>
      <c r="CF619" s="9"/>
      <c r="CG619" s="9"/>
      <c r="CH619" s="9"/>
      <c r="CI619" s="9"/>
      <c r="CJ619" s="9"/>
      <c r="CK619" s="9"/>
      <c r="CL619" s="9"/>
      <c r="CM619" s="9"/>
      <c r="CN619" s="9"/>
      <c r="CO619" s="9"/>
      <c r="CP619" s="9"/>
      <c r="CQ619" s="9"/>
      <c r="CR619" s="9"/>
      <c r="CS619" s="9"/>
      <c r="CT619" s="9"/>
      <c r="CU619" s="9"/>
      <c r="CV619" s="9"/>
      <c r="CW619" s="9"/>
      <c r="CX619" s="9"/>
      <c r="CY619" s="9"/>
      <c r="CZ619" s="9"/>
      <c r="DA619" s="9"/>
      <c r="DB619" s="9"/>
      <c r="DC619" s="9"/>
      <c r="DD619" s="9"/>
      <c r="DE619" s="9"/>
      <c r="DF619" s="9"/>
      <c r="DG619" s="9"/>
      <c r="DH619" s="9"/>
      <c r="DI619" s="9"/>
      <c r="DJ619" s="9"/>
      <c r="DK619" s="9"/>
      <c r="DL619" s="9"/>
      <c r="DM619" s="9"/>
      <c r="DN619" s="9"/>
      <c r="DO619" s="9"/>
      <c r="DP619" s="9"/>
      <c r="DQ619" s="9"/>
      <c r="DR619" s="9"/>
      <c r="DS619" s="9"/>
      <c r="DT619" s="9"/>
      <c r="DU619" s="9"/>
      <c r="DV619" s="9"/>
      <c r="DW619" s="9"/>
      <c r="DX619" s="9"/>
      <c r="DY619" s="9"/>
      <c r="DZ619" s="9"/>
      <c r="EA619" s="9"/>
      <c r="EB619" s="9"/>
      <c r="EC619" s="9"/>
      <c r="ED619" s="9"/>
      <c r="EE619" s="9"/>
      <c r="EF619" s="9"/>
      <c r="EG619" s="9"/>
      <c r="EH619" s="9"/>
      <c r="EI619" s="9"/>
      <c r="EJ619" s="9"/>
      <c r="EK619" s="9"/>
      <c r="EL619" s="9"/>
    </row>
    <row r="620" spans="1:142" x14ac:dyDescent="0.35">
      <c r="A620" s="9">
        <v>901385536</v>
      </c>
      <c r="B620" s="19">
        <v>6</v>
      </c>
      <c r="C620" s="9" t="str">
        <f>VLOOKUP(A620,'[1]terceros cto'!A$1:B$65536,2,0)</f>
        <v>GROUP SALCAR SAS ZOMAC</v>
      </c>
      <c r="D620" s="20" t="str">
        <f>VLOOKUP(C620,'[1]terceros cto'!B$1:F$65536,5,0)</f>
        <v>groupsalcarsas@gmail.com</v>
      </c>
      <c r="E620" s="21" t="s">
        <v>2252</v>
      </c>
      <c r="F620" s="9" t="str">
        <f>VLOOKUP(C620,'[1]terceros cto'!B$1:D$65536,3,0)</f>
        <v>Paipa</v>
      </c>
      <c r="G620" s="21">
        <v>15516</v>
      </c>
      <c r="H620" s="9">
        <v>212</v>
      </c>
      <c r="I620" s="30">
        <v>50086</v>
      </c>
      <c r="J620" s="31">
        <v>0</v>
      </c>
      <c r="K620" s="22">
        <v>0</v>
      </c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  <c r="CJ620" s="9"/>
      <c r="CK620" s="9"/>
      <c r="CL620" s="9"/>
      <c r="CM620" s="9"/>
      <c r="CN620" s="9"/>
      <c r="CO620" s="9"/>
      <c r="CP620" s="9"/>
      <c r="CQ620" s="9"/>
      <c r="CR620" s="9"/>
      <c r="CS620" s="9"/>
      <c r="CT620" s="9"/>
      <c r="CU620" s="9"/>
      <c r="CV620" s="9"/>
      <c r="CW620" s="9"/>
      <c r="CX620" s="9"/>
      <c r="CY620" s="9"/>
      <c r="CZ620" s="9"/>
      <c r="DA620" s="9"/>
      <c r="DB620" s="9"/>
      <c r="DC620" s="9"/>
      <c r="DD620" s="9"/>
      <c r="DE620" s="9"/>
      <c r="DF620" s="9"/>
      <c r="DG620" s="9"/>
      <c r="DH620" s="9"/>
      <c r="DI620" s="9"/>
      <c r="DJ620" s="9"/>
      <c r="DK620" s="9"/>
      <c r="DL620" s="9"/>
      <c r="DM620" s="9"/>
      <c r="DN620" s="9"/>
      <c r="DO620" s="9"/>
      <c r="DP620" s="9"/>
      <c r="DQ620" s="9"/>
      <c r="DR620" s="9"/>
      <c r="DS620" s="9"/>
      <c r="DT620" s="9"/>
      <c r="DU620" s="9"/>
      <c r="DV620" s="9"/>
      <c r="DW620" s="9"/>
      <c r="DX620" s="9"/>
      <c r="DY620" s="9"/>
      <c r="DZ620" s="9"/>
      <c r="EA620" s="9"/>
      <c r="EB620" s="9"/>
      <c r="EC620" s="9"/>
      <c r="ED620" s="9"/>
      <c r="EE620" s="9"/>
      <c r="EF620" s="9"/>
      <c r="EG620" s="9"/>
      <c r="EH620" s="9"/>
      <c r="EI620" s="9"/>
      <c r="EJ620" s="9"/>
      <c r="EK620" s="9"/>
      <c r="EL620" s="9"/>
    </row>
    <row r="621" spans="1:142" x14ac:dyDescent="0.35">
      <c r="A621" s="9">
        <v>901386558</v>
      </c>
      <c r="B621" s="19">
        <v>2</v>
      </c>
      <c r="C621" s="9" t="str">
        <f>VLOOKUP(A621,'[1]terceros cto'!A$1:B$65536,2,0)</f>
        <v>MIGUEL SANCHEZ ALFEREZ SAS</v>
      </c>
      <c r="D621" s="20" t="str">
        <f>VLOOKUP(C621,'[1]terceros cto'!B$1:F$65536,5,0)</f>
        <v>sancayetano-paipa@hotmail.com</v>
      </c>
      <c r="E621" s="21" t="s">
        <v>2252</v>
      </c>
      <c r="F621" s="9" t="str">
        <f>VLOOKUP(C621,'[1]terceros cto'!B$1:D$65536,3,0)</f>
        <v>PAIPA</v>
      </c>
      <c r="G621" s="21">
        <v>15516</v>
      </c>
      <c r="H621" s="9">
        <v>212</v>
      </c>
      <c r="I621" s="28">
        <v>461738</v>
      </c>
      <c r="J621" s="29">
        <v>0</v>
      </c>
      <c r="K621" s="22">
        <v>0</v>
      </c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  <c r="CJ621" s="9"/>
      <c r="CK621" s="9"/>
      <c r="CL621" s="9"/>
      <c r="CM621" s="9"/>
      <c r="CN621" s="9"/>
      <c r="CO621" s="9"/>
      <c r="CP621" s="9"/>
      <c r="CQ621" s="9"/>
      <c r="CR621" s="9"/>
      <c r="CS621" s="9"/>
      <c r="CT621" s="9"/>
      <c r="CU621" s="9"/>
      <c r="CV621" s="9"/>
      <c r="CW621" s="9"/>
      <c r="CX621" s="9"/>
      <c r="CY621" s="9"/>
      <c r="CZ621" s="9"/>
      <c r="DA621" s="9"/>
      <c r="DB621" s="9"/>
      <c r="DC621" s="9"/>
      <c r="DD621" s="9"/>
      <c r="DE621" s="9"/>
      <c r="DF621" s="9"/>
      <c r="DG621" s="9"/>
      <c r="DH621" s="9"/>
      <c r="DI621" s="9"/>
      <c r="DJ621" s="9"/>
      <c r="DK621" s="9"/>
      <c r="DL621" s="9"/>
      <c r="DM621" s="9"/>
      <c r="DN621" s="9"/>
      <c r="DO621" s="9"/>
      <c r="DP621" s="9"/>
      <c r="DQ621" s="9"/>
      <c r="DR621" s="9"/>
      <c r="DS621" s="9"/>
      <c r="DT621" s="9"/>
      <c r="DU621" s="9"/>
      <c r="DV621" s="9"/>
      <c r="DW621" s="9"/>
      <c r="DX621" s="9"/>
      <c r="DY621" s="9"/>
      <c r="DZ621" s="9"/>
      <c r="EA621" s="9"/>
      <c r="EB621" s="9"/>
      <c r="EC621" s="9"/>
      <c r="ED621" s="9"/>
      <c r="EE621" s="9"/>
      <c r="EF621" s="9"/>
      <c r="EG621" s="9"/>
      <c r="EH621" s="9"/>
      <c r="EI621" s="9"/>
      <c r="EJ621" s="9"/>
      <c r="EK621" s="9"/>
      <c r="EL621" s="9"/>
    </row>
    <row r="622" spans="1:142" x14ac:dyDescent="0.35">
      <c r="A622" s="9">
        <v>901414716</v>
      </c>
      <c r="B622" s="19">
        <v>0</v>
      </c>
      <c r="C622" s="9" t="str">
        <f>VLOOKUP(A622,'[1]terceros cto'!A$1:B$65536,2,0)</f>
        <v>CENTRO COLOMBIANO DE ENSEÑANZA AUTOMOVILISTICA SAS</v>
      </c>
      <c r="D622" s="20" t="str">
        <f>VLOOKUP(C622,'[1]terceros cto'!B$1:F$65536,5,0)</f>
        <v>cecolcea@outlook.com</v>
      </c>
      <c r="E622" s="21" t="s">
        <v>2252</v>
      </c>
      <c r="F622" s="9" t="str">
        <f>VLOOKUP(C622,'[1]terceros cto'!B$1:D$65536,3,0)</f>
        <v>CALKLE 25 19-124</v>
      </c>
      <c r="G622" s="21">
        <v>15516</v>
      </c>
      <c r="H622" s="9">
        <v>212</v>
      </c>
      <c r="I622" s="30">
        <v>40018</v>
      </c>
      <c r="J622" s="31">
        <v>0</v>
      </c>
      <c r="K622" s="22">
        <v>0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  <c r="CB622" s="9"/>
      <c r="CC622" s="9"/>
      <c r="CD622" s="9"/>
      <c r="CE622" s="9"/>
      <c r="CF622" s="9"/>
      <c r="CG622" s="9"/>
      <c r="CH622" s="9"/>
      <c r="CI622" s="9"/>
      <c r="CJ622" s="9"/>
      <c r="CK622" s="9"/>
      <c r="CL622" s="9"/>
      <c r="CM622" s="9"/>
      <c r="CN622" s="9"/>
      <c r="CO622" s="9"/>
      <c r="CP622" s="9"/>
      <c r="CQ622" s="9"/>
      <c r="CR622" s="9"/>
      <c r="CS622" s="9"/>
      <c r="CT622" s="9"/>
      <c r="CU622" s="9"/>
      <c r="CV622" s="9"/>
      <c r="CW622" s="9"/>
      <c r="CX622" s="9"/>
      <c r="CY622" s="9"/>
      <c r="CZ622" s="9"/>
      <c r="DA622" s="9"/>
      <c r="DB622" s="9"/>
      <c r="DC622" s="9"/>
      <c r="DD622" s="9"/>
      <c r="DE622" s="9"/>
      <c r="DF622" s="9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x14ac:dyDescent="0.35">
      <c r="A623" s="9">
        <v>901424598</v>
      </c>
      <c r="B623" s="19">
        <v>0</v>
      </c>
      <c r="C623" s="9" t="str">
        <f>VLOOKUP(A623,'[1]terceros cto'!A$1:B$65536,2,0)</f>
        <v>RC ASESORES EN SEGUROS PAIPA LTDA</v>
      </c>
      <c r="D623" s="20" t="str">
        <f>VLOOKUP(C623,'[1]terceros cto'!B$1:F$65536,5,0)</f>
        <v>rcasesorespaipa1@gmail.com</v>
      </c>
      <c r="E623" s="21" t="s">
        <v>2252</v>
      </c>
      <c r="F623" s="9" t="str">
        <f>VLOOKUP(C623,'[1]terceros cto'!B$1:D$65536,3,0)</f>
        <v>paipa</v>
      </c>
      <c r="G623" s="21">
        <v>15516</v>
      </c>
      <c r="H623" s="9">
        <v>212</v>
      </c>
      <c r="I623" s="28">
        <v>1071768</v>
      </c>
      <c r="J623" s="29">
        <v>0</v>
      </c>
      <c r="K623" s="22">
        <v>0</v>
      </c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  <c r="CB623" s="9"/>
      <c r="CC623" s="9"/>
      <c r="CD623" s="9"/>
      <c r="CE623" s="9"/>
      <c r="CF623" s="9"/>
      <c r="CG623" s="9"/>
      <c r="CH623" s="9"/>
      <c r="CI623" s="9"/>
      <c r="CJ623" s="9"/>
      <c r="CK623" s="9"/>
      <c r="CL623" s="9"/>
      <c r="CM623" s="9"/>
      <c r="CN623" s="9"/>
      <c r="CO623" s="9"/>
      <c r="CP623" s="9"/>
      <c r="CQ623" s="9"/>
      <c r="CR623" s="9"/>
      <c r="CS623" s="9"/>
      <c r="CT623" s="9"/>
      <c r="CU623" s="9"/>
      <c r="CV623" s="9"/>
      <c r="CW623" s="9"/>
      <c r="CX623" s="9"/>
      <c r="CY623" s="9"/>
      <c r="CZ623" s="9"/>
      <c r="DA623" s="9"/>
      <c r="DB623" s="9"/>
      <c r="DC623" s="9"/>
      <c r="DD623" s="9"/>
      <c r="DE623" s="9"/>
      <c r="DF623" s="9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x14ac:dyDescent="0.35">
      <c r="A624" s="9">
        <v>901424818</v>
      </c>
      <c r="B624" s="19">
        <v>6</v>
      </c>
      <c r="C624" s="9" t="str">
        <f>VLOOKUP(A624,'[1]terceros cto'!A$1:B$65536,2,0)</f>
        <v>WEISZ LC SAS</v>
      </c>
      <c r="D624" s="20" t="str">
        <f>VLOOKUP(C624,'[1]terceros cto'!B$1:F$65536,5,0)</f>
        <v>calibracion.colombia@weisz.com</v>
      </c>
      <c r="E624" s="21" t="s">
        <v>2252</v>
      </c>
      <c r="F624" s="9" t="str">
        <f>VLOOKUP(C624,'[1]terceros cto'!B$1:D$65536,3,0)</f>
        <v>Paipa</v>
      </c>
      <c r="G624" s="21">
        <v>15516</v>
      </c>
      <c r="H624" s="9">
        <v>212</v>
      </c>
      <c r="I624" s="30">
        <v>186028</v>
      </c>
      <c r="J624" s="31">
        <v>0</v>
      </c>
      <c r="K624" s="22">
        <v>0</v>
      </c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D624" s="9"/>
      <c r="CE624" s="9"/>
      <c r="CF624" s="9"/>
      <c r="CG624" s="9"/>
      <c r="CH624" s="9"/>
      <c r="CI624" s="9"/>
      <c r="CJ624" s="9"/>
      <c r="CK624" s="9"/>
      <c r="CL624" s="9"/>
      <c r="CM624" s="9"/>
      <c r="CN624" s="9"/>
      <c r="CO624" s="9"/>
      <c r="CP624" s="9"/>
      <c r="CQ624" s="9"/>
      <c r="CR624" s="9"/>
      <c r="CS624" s="9"/>
      <c r="CT624" s="9"/>
      <c r="CU624" s="9"/>
      <c r="CV624" s="9"/>
      <c r="CW624" s="9"/>
      <c r="CX624" s="9"/>
      <c r="CY624" s="9"/>
      <c r="CZ624" s="9"/>
      <c r="DA624" s="9"/>
      <c r="DB624" s="9"/>
      <c r="DC624" s="9"/>
      <c r="DD624" s="9"/>
      <c r="DE624" s="9"/>
      <c r="DF624" s="9"/>
      <c r="DG624" s="9"/>
      <c r="DH624" s="9"/>
      <c r="DI624" s="9"/>
      <c r="DJ624" s="9"/>
      <c r="DK624" s="9"/>
      <c r="DL624" s="9"/>
      <c r="DM624" s="9"/>
      <c r="DN624" s="9"/>
      <c r="DO624" s="9"/>
      <c r="DP624" s="9"/>
      <c r="DQ624" s="9"/>
      <c r="DR624" s="9"/>
      <c r="DS624" s="9"/>
      <c r="DT624" s="9"/>
      <c r="DU624" s="9"/>
      <c r="DV624" s="9"/>
      <c r="DW624" s="9"/>
      <c r="DX624" s="9"/>
      <c r="DY624" s="9"/>
      <c r="DZ624" s="9"/>
      <c r="EA624" s="9"/>
      <c r="EB624" s="9"/>
      <c r="EC624" s="9"/>
      <c r="ED624" s="9"/>
      <c r="EE624" s="9"/>
      <c r="EF624" s="9"/>
      <c r="EG624" s="9"/>
      <c r="EH624" s="9"/>
      <c r="EI624" s="9"/>
      <c r="EJ624" s="9"/>
      <c r="EK624" s="9"/>
      <c r="EL624" s="9"/>
    </row>
    <row r="625" spans="1:142" x14ac:dyDescent="0.35">
      <c r="A625" s="9">
        <v>901430727</v>
      </c>
      <c r="B625" s="19">
        <v>9</v>
      </c>
      <c r="C625" s="9" t="str">
        <f>VLOOKUP(A625,'[1]terceros cto'!A$1:B$65536,2,0)</f>
        <v>CONSTRUCTORA AUSTROS SAS</v>
      </c>
      <c r="D625" s="20" t="str">
        <f>VLOOKUP(C625,'[1]terceros cto'!B$1:F$65536,5,0)</f>
        <v>constructoraaustros@gmail.com</v>
      </c>
      <c r="E625" s="21" t="s">
        <v>2252</v>
      </c>
      <c r="F625" s="9" t="str">
        <f>VLOOKUP(C625,'[1]terceros cto'!B$1:D$65536,3,0)</f>
        <v>Paipa</v>
      </c>
      <c r="G625" s="21">
        <v>15516</v>
      </c>
      <c r="H625" s="9">
        <v>212</v>
      </c>
      <c r="I625" s="28">
        <v>167936</v>
      </c>
      <c r="J625" s="29">
        <v>0</v>
      </c>
      <c r="K625" s="22">
        <v>0</v>
      </c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  <c r="CJ625" s="9"/>
      <c r="CK625" s="9"/>
      <c r="CL625" s="9"/>
      <c r="CM625" s="9"/>
      <c r="CN625" s="9"/>
      <c r="CO625" s="9"/>
      <c r="CP625" s="9"/>
      <c r="CQ625" s="9"/>
      <c r="CR625" s="9"/>
      <c r="CS625" s="9"/>
      <c r="CT625" s="9"/>
      <c r="CU625" s="9"/>
      <c r="CV625" s="9"/>
      <c r="CW625" s="9"/>
      <c r="CX625" s="9"/>
      <c r="CY625" s="9"/>
      <c r="CZ625" s="9"/>
      <c r="DA625" s="9"/>
      <c r="DB625" s="9"/>
      <c r="DC625" s="9"/>
      <c r="DD625" s="9"/>
      <c r="DE625" s="9"/>
      <c r="DF625" s="9"/>
      <c r="DG625" s="9"/>
      <c r="DH625" s="9"/>
      <c r="DI625" s="9"/>
      <c r="DJ625" s="9"/>
      <c r="DK625" s="9"/>
      <c r="DL625" s="9"/>
      <c r="DM625" s="9"/>
      <c r="DN625" s="9"/>
      <c r="DO625" s="9"/>
      <c r="DP625" s="9"/>
      <c r="DQ625" s="9"/>
      <c r="DR625" s="9"/>
      <c r="DS625" s="9"/>
      <c r="DT625" s="9"/>
      <c r="DU625" s="9"/>
      <c r="DV625" s="9"/>
      <c r="DW625" s="9"/>
      <c r="DX625" s="9"/>
      <c r="DY625" s="9"/>
      <c r="DZ625" s="9"/>
      <c r="EA625" s="9"/>
      <c r="EB625" s="9"/>
      <c r="EC625" s="9"/>
      <c r="ED625" s="9"/>
      <c r="EE625" s="9"/>
      <c r="EF625" s="9"/>
      <c r="EG625" s="9"/>
      <c r="EH625" s="9"/>
      <c r="EI625" s="9"/>
      <c r="EJ625" s="9"/>
      <c r="EK625" s="9"/>
      <c r="EL625" s="9"/>
    </row>
    <row r="626" spans="1:142" x14ac:dyDescent="0.35">
      <c r="A626" s="9">
        <v>901440334</v>
      </c>
      <c r="B626" s="19">
        <v>0</v>
      </c>
      <c r="C626" s="9" t="str">
        <f>VLOOKUP(A626,'[1]terceros cto'!A$1:B$65536,2,0)</f>
        <v>RESPIL SAS</v>
      </c>
      <c r="D626" s="20" t="str">
        <f>VLOOKUP(C626,'[1]terceros cto'!B$1:F$65536,5,0)</f>
        <v>respilsas@gmail.com</v>
      </c>
      <c r="E626" s="21" t="s">
        <v>2252</v>
      </c>
      <c r="F626" s="9" t="str">
        <f>VLOOKUP(C626,'[1]terceros cto'!B$1:D$65536,3,0)</f>
        <v>Paipa</v>
      </c>
      <c r="G626" s="21">
        <v>15516</v>
      </c>
      <c r="H626" s="9">
        <v>212</v>
      </c>
      <c r="I626" s="30">
        <v>18108</v>
      </c>
      <c r="J626" s="31">
        <v>0</v>
      </c>
      <c r="K626" s="22">
        <v>0</v>
      </c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F626" s="9"/>
      <c r="CG626" s="9"/>
      <c r="CH626" s="9"/>
      <c r="CI626" s="9"/>
      <c r="CJ626" s="9"/>
      <c r="CK626" s="9"/>
      <c r="CL626" s="9"/>
      <c r="CM626" s="9"/>
      <c r="CN626" s="9"/>
      <c r="CO626" s="9"/>
      <c r="CP626" s="9"/>
      <c r="CQ626" s="9"/>
      <c r="CR626" s="9"/>
      <c r="CS626" s="9"/>
      <c r="CT626" s="9"/>
      <c r="CU626" s="9"/>
      <c r="CV626" s="9"/>
      <c r="CW626" s="9"/>
      <c r="CX626" s="9"/>
      <c r="CY626" s="9"/>
      <c r="CZ626" s="9"/>
      <c r="DA626" s="9"/>
      <c r="DB626" s="9"/>
      <c r="DC626" s="9"/>
      <c r="DD626" s="9"/>
      <c r="DE626" s="9"/>
      <c r="DF626" s="9"/>
      <c r="DG626" s="9"/>
      <c r="DH626" s="9"/>
      <c r="DI626" s="9"/>
      <c r="DJ626" s="9"/>
      <c r="DK626" s="9"/>
      <c r="DL626" s="9"/>
      <c r="DM626" s="9"/>
      <c r="DN626" s="9"/>
      <c r="DO626" s="9"/>
      <c r="DP626" s="9"/>
      <c r="DQ626" s="9"/>
      <c r="DR626" s="9"/>
      <c r="DS626" s="9"/>
      <c r="DT626" s="9"/>
      <c r="DU626" s="9"/>
      <c r="DV626" s="9"/>
      <c r="DW626" s="9"/>
      <c r="DX626" s="9"/>
      <c r="DY626" s="9"/>
      <c r="DZ626" s="9"/>
      <c r="EA626" s="9"/>
      <c r="EB626" s="9"/>
      <c r="EC626" s="9"/>
      <c r="ED626" s="9"/>
      <c r="EE626" s="9"/>
      <c r="EF626" s="9"/>
      <c r="EG626" s="9"/>
      <c r="EH626" s="9"/>
      <c r="EI626" s="9"/>
      <c r="EJ626" s="9"/>
      <c r="EK626" s="9"/>
      <c r="EL626" s="9"/>
    </row>
    <row r="627" spans="1:142" x14ac:dyDescent="0.35">
      <c r="A627" s="9">
        <v>901443117</v>
      </c>
      <c r="B627" s="19">
        <v>2</v>
      </c>
      <c r="C627" s="9" t="str">
        <f>VLOOKUP(A627,'[1]terceros cto'!A$1:B$65536,2,0)</f>
        <v>ALTA CONSTRUCTORES SAS</v>
      </c>
      <c r="D627" s="20" t="str">
        <f>VLOOKUP(C627,'[1]terceros cto'!B$1:F$65536,5,0)</f>
        <v>altaconstructoressas@gmail.com</v>
      </c>
      <c r="E627" s="21">
        <f>VLOOKUP(C627,'[1]terceros cto'!B$1:E$65536,4,0)</f>
        <v>3124489374</v>
      </c>
      <c r="F627" s="9" t="str">
        <f>VLOOKUP(C627,'[1]terceros cto'!B$1:D$65536,3,0)</f>
        <v>CARRERA 24 N 10-462</v>
      </c>
      <c r="G627" s="21">
        <v>15516</v>
      </c>
      <c r="H627" s="9">
        <v>212</v>
      </c>
      <c r="I627" s="28">
        <v>53229831</v>
      </c>
      <c r="J627" s="29">
        <v>0</v>
      </c>
      <c r="K627" s="22">
        <v>0</v>
      </c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  <c r="CJ627" s="9"/>
      <c r="CK627" s="9"/>
      <c r="CL627" s="9"/>
      <c r="CM627" s="9"/>
      <c r="CN627" s="9"/>
      <c r="CO627" s="9"/>
      <c r="CP627" s="9"/>
      <c r="CQ627" s="9"/>
      <c r="CR627" s="9"/>
      <c r="CS627" s="9"/>
      <c r="CT627" s="9"/>
      <c r="CU627" s="9"/>
      <c r="CV627" s="9"/>
      <c r="CW627" s="9"/>
      <c r="CX627" s="9"/>
      <c r="CY627" s="9"/>
      <c r="CZ627" s="9"/>
      <c r="DA627" s="9"/>
      <c r="DB627" s="9"/>
      <c r="DC627" s="9"/>
      <c r="DD627" s="9"/>
      <c r="DE627" s="9"/>
      <c r="DF627" s="9"/>
      <c r="DG627" s="9"/>
      <c r="DH627" s="9"/>
      <c r="DI627" s="9"/>
      <c r="DJ627" s="9"/>
      <c r="DK627" s="9"/>
      <c r="DL627" s="9"/>
      <c r="DM627" s="9"/>
      <c r="DN627" s="9"/>
      <c r="DO627" s="9"/>
      <c r="DP627" s="9"/>
      <c r="DQ627" s="9"/>
      <c r="DR627" s="9"/>
      <c r="DS627" s="9"/>
      <c r="DT627" s="9"/>
      <c r="DU627" s="9"/>
      <c r="DV627" s="9"/>
      <c r="DW627" s="9"/>
      <c r="DX627" s="9"/>
      <c r="DY627" s="9"/>
      <c r="DZ627" s="9"/>
      <c r="EA627" s="9"/>
      <c r="EB627" s="9"/>
      <c r="EC627" s="9"/>
      <c r="ED627" s="9"/>
      <c r="EE627" s="9"/>
      <c r="EF627" s="9"/>
      <c r="EG627" s="9"/>
      <c r="EH627" s="9"/>
      <c r="EI627" s="9"/>
      <c r="EJ627" s="9"/>
      <c r="EK627" s="9"/>
      <c r="EL627" s="9"/>
    </row>
    <row r="628" spans="1:142" x14ac:dyDescent="0.35">
      <c r="A628" s="9">
        <v>901443413</v>
      </c>
      <c r="B628" s="19">
        <v>8</v>
      </c>
      <c r="C628" s="9" t="str">
        <f>VLOOKUP(A628,'[1]terceros cto'!A$1:B$65536,2,0)</f>
        <v>INVERSIONES LA BODEGUITA SAS</v>
      </c>
      <c r="D628" s="20" t="str">
        <f>VLOOKUP(C628,'[1]terceros cto'!B$1:F$65536,5,0)</f>
        <v>invesrioneslabodeguitasas@gmail.com</v>
      </c>
      <c r="E628" s="21" t="s">
        <v>2252</v>
      </c>
      <c r="F628" s="9" t="str">
        <f>VLOOKUP(C628,'[1]terceros cto'!B$1:D$65536,3,0)</f>
        <v>KM VIA PATRIOTAS TUNJA SORACA</v>
      </c>
      <c r="G628" s="21">
        <v>15516</v>
      </c>
      <c r="H628" s="9">
        <v>212</v>
      </c>
      <c r="I628" s="30">
        <v>100000</v>
      </c>
      <c r="J628" s="31">
        <v>0</v>
      </c>
      <c r="K628" s="22">
        <v>0</v>
      </c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  <c r="CJ628" s="9"/>
      <c r="CK628" s="9"/>
      <c r="CL628" s="9"/>
      <c r="CM628" s="9"/>
      <c r="CN628" s="9"/>
      <c r="CO628" s="9"/>
      <c r="CP628" s="9"/>
      <c r="CQ628" s="9"/>
      <c r="CR628" s="9"/>
      <c r="CS628" s="9"/>
      <c r="CT628" s="9"/>
      <c r="CU628" s="9"/>
      <c r="CV628" s="9"/>
      <c r="CW628" s="9"/>
      <c r="CX628" s="9"/>
      <c r="CY628" s="9"/>
      <c r="CZ628" s="9"/>
      <c r="DA628" s="9"/>
      <c r="DB628" s="9"/>
      <c r="DC628" s="9"/>
      <c r="DD628" s="9"/>
      <c r="DE628" s="9"/>
      <c r="DF628" s="9"/>
      <c r="DG628" s="9"/>
      <c r="DH628" s="9"/>
      <c r="DI628" s="9"/>
      <c r="DJ628" s="9"/>
      <c r="DK628" s="9"/>
      <c r="DL628" s="9"/>
      <c r="DM628" s="9"/>
      <c r="DN628" s="9"/>
      <c r="DO628" s="9"/>
      <c r="DP628" s="9"/>
      <c r="DQ628" s="9"/>
      <c r="DR628" s="9"/>
      <c r="DS628" s="9"/>
      <c r="DT628" s="9"/>
      <c r="DU628" s="9"/>
      <c r="DV628" s="9"/>
      <c r="DW628" s="9"/>
      <c r="DX628" s="9"/>
      <c r="DY628" s="9"/>
      <c r="DZ628" s="9"/>
      <c r="EA628" s="9"/>
      <c r="EB628" s="9"/>
      <c r="EC628" s="9"/>
      <c r="ED628" s="9"/>
      <c r="EE628" s="9"/>
      <c r="EF628" s="9"/>
      <c r="EG628" s="9"/>
      <c r="EH628" s="9"/>
      <c r="EI628" s="9"/>
      <c r="EJ628" s="9"/>
      <c r="EK628" s="9"/>
      <c r="EL628" s="9"/>
    </row>
    <row r="629" spans="1:142" x14ac:dyDescent="0.35">
      <c r="A629" s="9">
        <v>901444796</v>
      </c>
      <c r="B629" s="19">
        <v>8</v>
      </c>
      <c r="C629" s="9" t="str">
        <f>VLOOKUP(A629,'[1]terceros cto'!A$1:B$65536,2,0)</f>
        <v>INVERSIONES MM KAPITAL BOYACA SAS</v>
      </c>
      <c r="D629" s="20" t="str">
        <f>VLOOKUP(C629,'[1]terceros cto'!B$1:F$65536,5,0)</f>
        <v>receptoriakapitalduitama@gmail.com</v>
      </c>
      <c r="E629" s="21" t="s">
        <v>2252</v>
      </c>
      <c r="F629" s="9" t="str">
        <f>VLOOKUP(C629,'[1]terceros cto'!B$1:D$65536,3,0)</f>
        <v>PAIPA</v>
      </c>
      <c r="G629" s="21">
        <v>15516</v>
      </c>
      <c r="H629" s="9">
        <v>212</v>
      </c>
      <c r="I629" s="28">
        <v>100000</v>
      </c>
      <c r="J629" s="29">
        <v>0</v>
      </c>
      <c r="K629" s="22">
        <v>0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  <c r="CJ629" s="9"/>
      <c r="CK629" s="9"/>
      <c r="CL629" s="9"/>
      <c r="CM629" s="9"/>
      <c r="CN629" s="9"/>
      <c r="CO629" s="9"/>
      <c r="CP629" s="9"/>
      <c r="CQ629" s="9"/>
      <c r="CR629" s="9"/>
      <c r="CS629" s="9"/>
      <c r="CT629" s="9"/>
      <c r="CU629" s="9"/>
      <c r="CV629" s="9"/>
      <c r="CW629" s="9"/>
      <c r="CX629" s="9"/>
      <c r="CY629" s="9"/>
      <c r="CZ629" s="9"/>
      <c r="DA629" s="9"/>
      <c r="DB629" s="9"/>
      <c r="DC629" s="9"/>
      <c r="DD629" s="9"/>
      <c r="DE629" s="9"/>
      <c r="DF629" s="9"/>
      <c r="DG629" s="9"/>
      <c r="DH629" s="9"/>
      <c r="DI629" s="9"/>
      <c r="DJ629" s="9"/>
      <c r="DK629" s="9"/>
      <c r="DL629" s="9"/>
      <c r="DM629" s="9"/>
      <c r="DN629" s="9"/>
      <c r="DO629" s="9"/>
      <c r="DP629" s="9"/>
      <c r="DQ629" s="9"/>
      <c r="DR629" s="9"/>
      <c r="DS629" s="9"/>
      <c r="DT629" s="9"/>
      <c r="DU629" s="9"/>
      <c r="DV629" s="9"/>
      <c r="DW629" s="9"/>
      <c r="DX629" s="9"/>
      <c r="DY629" s="9"/>
      <c r="DZ629" s="9"/>
      <c r="EA629" s="9"/>
      <c r="EB629" s="9"/>
      <c r="EC629" s="9"/>
      <c r="ED629" s="9"/>
      <c r="EE629" s="9"/>
      <c r="EF629" s="9"/>
      <c r="EG629" s="9"/>
      <c r="EH629" s="9"/>
      <c r="EI629" s="9"/>
      <c r="EJ629" s="9"/>
      <c r="EK629" s="9"/>
      <c r="EL629" s="9"/>
    </row>
    <row r="630" spans="1:142" x14ac:dyDescent="0.35">
      <c r="A630" s="9">
        <v>901446730</v>
      </c>
      <c r="B630" s="19">
        <v>1</v>
      </c>
      <c r="C630" s="9" t="str">
        <f>VLOOKUP(A630,'[1]terceros cto'!A$1:B$65536,2,0)</f>
        <v>AMPER ELECTRIC SAS</v>
      </c>
      <c r="D630" s="20" t="str">
        <f>VLOOKUP(C630,'[1]terceros cto'!B$1:F$65536,5,0)</f>
        <v>amperelectricsas@gmail.com</v>
      </c>
      <c r="E630" s="21" t="s">
        <v>2252</v>
      </c>
      <c r="F630" s="9" t="str">
        <f>VLOOKUP(C630,'[1]terceros cto'!B$1:D$65536,3,0)</f>
        <v>Paipa</v>
      </c>
      <c r="G630" s="21">
        <v>15516</v>
      </c>
      <c r="H630" s="9">
        <v>212</v>
      </c>
      <c r="I630" s="30">
        <v>590000</v>
      </c>
      <c r="J630" s="31">
        <v>0</v>
      </c>
      <c r="K630" s="22">
        <v>0</v>
      </c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  <c r="CJ630" s="9"/>
      <c r="CK630" s="9"/>
      <c r="CL630" s="9"/>
      <c r="CM630" s="9"/>
      <c r="CN630" s="9"/>
      <c r="CO630" s="9"/>
      <c r="CP630" s="9"/>
      <c r="CQ630" s="9"/>
      <c r="CR630" s="9"/>
      <c r="CS630" s="9"/>
      <c r="CT630" s="9"/>
      <c r="CU630" s="9"/>
      <c r="CV630" s="9"/>
      <c r="CW630" s="9"/>
      <c r="CX630" s="9"/>
      <c r="CY630" s="9"/>
      <c r="CZ630" s="9"/>
      <c r="DA630" s="9"/>
      <c r="DB630" s="9"/>
      <c r="DC630" s="9"/>
      <c r="DD630" s="9"/>
      <c r="DE630" s="9"/>
      <c r="DF630" s="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x14ac:dyDescent="0.35">
      <c r="A631" s="9">
        <v>901458504</v>
      </c>
      <c r="B631" s="19">
        <v>5</v>
      </c>
      <c r="C631" s="9" t="str">
        <f>VLOOKUP(A631,'[1]terceros cto'!A$1:B$65536,2,0)</f>
        <v>BERDU RENACIENDO EL CAMPO SAS</v>
      </c>
      <c r="D631" s="20" t="str">
        <f>VLOOKUP(C631,'[1]terceros cto'!B$1:F$65536,5,0)</f>
        <v>berduhortalizasgourmet@gmail.com</v>
      </c>
      <c r="E631" s="21" t="s">
        <v>2252</v>
      </c>
      <c r="F631" s="9" t="str">
        <f>VLOOKUP(C631,'[1]terceros cto'!B$1:D$65536,3,0)</f>
        <v>Paipa</v>
      </c>
      <c r="G631" s="21">
        <v>15516</v>
      </c>
      <c r="H631" s="9">
        <v>212</v>
      </c>
      <c r="I631" s="28">
        <v>30000</v>
      </c>
      <c r="J631" s="29">
        <v>0</v>
      </c>
      <c r="K631" s="22">
        <v>0</v>
      </c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  <c r="CJ631" s="9"/>
      <c r="CK631" s="9"/>
      <c r="CL631" s="9"/>
      <c r="CM631" s="9"/>
      <c r="CN631" s="9"/>
      <c r="CO631" s="9"/>
      <c r="CP631" s="9"/>
      <c r="CQ631" s="9"/>
      <c r="CR631" s="9"/>
      <c r="CS631" s="9"/>
      <c r="CT631" s="9"/>
      <c r="CU631" s="9"/>
      <c r="CV631" s="9"/>
      <c r="CW631" s="9"/>
      <c r="CX631" s="9"/>
      <c r="CY631" s="9"/>
      <c r="CZ631" s="9"/>
      <c r="DA631" s="9"/>
      <c r="DB631" s="9"/>
      <c r="DC631" s="9"/>
      <c r="DD631" s="9"/>
      <c r="DE631" s="9"/>
      <c r="DF631" s="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x14ac:dyDescent="0.35">
      <c r="A632" s="9">
        <v>901464404</v>
      </c>
      <c r="B632" s="19">
        <v>1</v>
      </c>
      <c r="C632" s="9" t="str">
        <f>VLOOKUP(A632,'[1]terceros cto'!A$1:B$65536,2,0)</f>
        <v>MYM RECICLAR |</v>
      </c>
      <c r="D632" s="20" t="str">
        <f>VLOOKUP(C632,'[1]terceros cto'!B$1:F$65536,5,0)</f>
        <v>mymreciclar2020@gmail.com</v>
      </c>
      <c r="E632" s="21" t="s">
        <v>2252</v>
      </c>
      <c r="F632" s="9" t="str">
        <f>VLOOKUP(C632,'[1]terceros cto'!B$1:D$65536,3,0)</f>
        <v>PAIP</v>
      </c>
      <c r="G632" s="21">
        <v>15516</v>
      </c>
      <c r="H632" s="9">
        <v>212</v>
      </c>
      <c r="I632" s="30">
        <v>50000</v>
      </c>
      <c r="J632" s="31">
        <v>0</v>
      </c>
      <c r="K632" s="22">
        <v>0</v>
      </c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  <c r="CJ632" s="9"/>
      <c r="CK632" s="9"/>
      <c r="CL632" s="9"/>
      <c r="CM632" s="9"/>
      <c r="CN632" s="9"/>
      <c r="CO632" s="9"/>
      <c r="CP632" s="9"/>
      <c r="CQ632" s="9"/>
      <c r="CR632" s="9"/>
      <c r="CS632" s="9"/>
      <c r="CT632" s="9"/>
      <c r="CU632" s="9"/>
      <c r="CV632" s="9"/>
      <c r="CW632" s="9"/>
      <c r="CX632" s="9"/>
      <c r="CY632" s="9"/>
      <c r="CZ632" s="9"/>
      <c r="DA632" s="9"/>
      <c r="DB632" s="9"/>
      <c r="DC632" s="9"/>
      <c r="DD632" s="9"/>
      <c r="DE632" s="9"/>
      <c r="DF632" s="9"/>
      <c r="DG632" s="9"/>
      <c r="DH632" s="9"/>
      <c r="DI632" s="9"/>
      <c r="DJ632" s="9"/>
      <c r="DK632" s="9"/>
      <c r="DL632" s="9"/>
      <c r="DM632" s="9"/>
      <c r="DN632" s="9"/>
      <c r="DO632" s="9"/>
      <c r="DP632" s="9"/>
      <c r="DQ632" s="9"/>
      <c r="DR632" s="9"/>
      <c r="DS632" s="9"/>
      <c r="DT632" s="9"/>
      <c r="DU632" s="9"/>
      <c r="DV632" s="9"/>
      <c r="DW632" s="9"/>
      <c r="DX632" s="9"/>
      <c r="DY632" s="9"/>
      <c r="DZ632" s="9"/>
      <c r="EA632" s="9"/>
      <c r="EB632" s="9"/>
      <c r="EC632" s="9"/>
      <c r="ED632" s="9"/>
      <c r="EE632" s="9"/>
      <c r="EF632" s="9"/>
      <c r="EG632" s="9"/>
      <c r="EH632" s="9"/>
      <c r="EI632" s="9"/>
      <c r="EJ632" s="9"/>
      <c r="EK632" s="9"/>
      <c r="EL632" s="9"/>
    </row>
    <row r="633" spans="1:142" x14ac:dyDescent="0.35">
      <c r="A633" s="9">
        <v>901465886</v>
      </c>
      <c r="B633" s="19">
        <v>2</v>
      </c>
      <c r="C633" s="9" t="str">
        <f>VLOOKUP(A633,'[1]terceros cto'!A$1:B$65536,2,0)</f>
        <v>SOLUCIONES EN FIBRA ÓPTICA E INTERN</v>
      </c>
      <c r="D633" s="20" t="str">
        <f>VLOOKUP(C633,'[1]terceros cto'!B$1:F$65536,5,0)</f>
        <v>admin@sofi-soluciones.com</v>
      </c>
      <c r="E633" s="21" t="s">
        <v>2252</v>
      </c>
      <c r="F633" s="9" t="str">
        <f>VLOOKUP(C633,'[1]terceros cto'!B$1:D$65536,3,0)</f>
        <v>Paipa</v>
      </c>
      <c r="G633" s="21">
        <v>15516</v>
      </c>
      <c r="H633" s="9">
        <v>212</v>
      </c>
      <c r="I633" s="28">
        <v>272032</v>
      </c>
      <c r="J633" s="29">
        <v>0</v>
      </c>
      <c r="K633" s="22">
        <v>0</v>
      </c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  <c r="CJ633" s="9"/>
      <c r="CK633" s="9"/>
      <c r="CL633" s="9"/>
      <c r="CM633" s="9"/>
      <c r="CN633" s="9"/>
      <c r="CO633" s="9"/>
      <c r="CP633" s="9"/>
      <c r="CQ633" s="9"/>
      <c r="CR633" s="9"/>
      <c r="CS633" s="9"/>
      <c r="CT633" s="9"/>
      <c r="CU633" s="9"/>
      <c r="CV633" s="9"/>
      <c r="CW633" s="9"/>
      <c r="CX633" s="9"/>
      <c r="CY633" s="9"/>
      <c r="CZ633" s="9"/>
      <c r="DA633" s="9"/>
      <c r="DB633" s="9"/>
      <c r="DC633" s="9"/>
      <c r="DD633" s="9"/>
      <c r="DE633" s="9"/>
      <c r="DF633" s="9"/>
      <c r="DG633" s="9"/>
      <c r="DH633" s="9"/>
      <c r="DI633" s="9"/>
      <c r="DJ633" s="9"/>
      <c r="DK633" s="9"/>
      <c r="DL633" s="9"/>
      <c r="DM633" s="9"/>
      <c r="DN633" s="9"/>
      <c r="DO633" s="9"/>
      <c r="DP633" s="9"/>
      <c r="DQ633" s="9"/>
      <c r="DR633" s="9"/>
      <c r="DS633" s="9"/>
      <c r="DT633" s="9"/>
      <c r="DU633" s="9"/>
      <c r="DV633" s="9"/>
      <c r="DW633" s="9"/>
      <c r="DX633" s="9"/>
      <c r="DY633" s="9"/>
      <c r="DZ633" s="9"/>
      <c r="EA633" s="9"/>
      <c r="EB633" s="9"/>
      <c r="EC633" s="9"/>
      <c r="ED633" s="9"/>
      <c r="EE633" s="9"/>
      <c r="EF633" s="9"/>
      <c r="EG633" s="9"/>
      <c r="EH633" s="9"/>
      <c r="EI633" s="9"/>
      <c r="EJ633" s="9"/>
      <c r="EK633" s="9"/>
      <c r="EL633" s="9"/>
    </row>
    <row r="634" spans="1:142" x14ac:dyDescent="0.35">
      <c r="A634" s="9">
        <v>901469513</v>
      </c>
      <c r="B634" s="19">
        <v>9</v>
      </c>
      <c r="C634" s="9" t="str">
        <f>VLOOKUP(A634,'[1]terceros cto'!A$1:B$65536,2,0)</f>
        <v>INVERSIONES TORO AZUL</v>
      </c>
      <c r="D634" s="20" t="str">
        <f>VLOOKUP(C634,'[1]terceros cto'!B$1:F$65536,5,0)</f>
        <v>restaurantetoroazul@gmail.com</v>
      </c>
      <c r="E634" s="21" t="s">
        <v>2252</v>
      </c>
      <c r="F634" s="9" t="str">
        <f>VLOOKUP(C634,'[1]terceros cto'!B$1:D$65536,3,0)</f>
        <v>paipa</v>
      </c>
      <c r="G634" s="21">
        <v>15516</v>
      </c>
      <c r="H634" s="9">
        <v>212</v>
      </c>
      <c r="I634" s="30">
        <v>724106</v>
      </c>
      <c r="J634" s="31">
        <v>0</v>
      </c>
      <c r="K634" s="22">
        <v>0</v>
      </c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  <c r="CJ634" s="9"/>
      <c r="CK634" s="9"/>
      <c r="CL634" s="9"/>
      <c r="CM634" s="9"/>
      <c r="CN634" s="9"/>
      <c r="CO634" s="9"/>
      <c r="CP634" s="9"/>
      <c r="CQ634" s="9"/>
      <c r="CR634" s="9"/>
      <c r="CS634" s="9"/>
      <c r="CT634" s="9"/>
      <c r="CU634" s="9"/>
      <c r="CV634" s="9"/>
      <c r="CW634" s="9"/>
      <c r="CX634" s="9"/>
      <c r="CY634" s="9"/>
      <c r="CZ634" s="9"/>
      <c r="DA634" s="9"/>
      <c r="DB634" s="9"/>
      <c r="DC634" s="9"/>
      <c r="DD634" s="9"/>
      <c r="DE634" s="9"/>
      <c r="DF634" s="9"/>
      <c r="DG634" s="9"/>
      <c r="DH634" s="9"/>
      <c r="DI634" s="9"/>
      <c r="DJ634" s="9"/>
      <c r="DK634" s="9"/>
      <c r="DL634" s="9"/>
      <c r="DM634" s="9"/>
      <c r="DN634" s="9"/>
      <c r="DO634" s="9"/>
      <c r="DP634" s="9"/>
      <c r="DQ634" s="9"/>
      <c r="DR634" s="9"/>
      <c r="DS634" s="9"/>
      <c r="DT634" s="9"/>
      <c r="DU634" s="9"/>
      <c r="DV634" s="9"/>
      <c r="DW634" s="9"/>
      <c r="DX634" s="9"/>
      <c r="DY634" s="9"/>
      <c r="DZ634" s="9"/>
      <c r="EA634" s="9"/>
      <c r="EB634" s="9"/>
      <c r="EC634" s="9"/>
      <c r="ED634" s="9"/>
      <c r="EE634" s="9"/>
      <c r="EF634" s="9"/>
      <c r="EG634" s="9"/>
      <c r="EH634" s="9"/>
      <c r="EI634" s="9"/>
      <c r="EJ634" s="9"/>
      <c r="EK634" s="9"/>
      <c r="EL634" s="9"/>
    </row>
    <row r="635" spans="1:142" x14ac:dyDescent="0.35">
      <c r="A635" s="9">
        <v>901473498</v>
      </c>
      <c r="B635" s="19">
        <v>1</v>
      </c>
      <c r="C635" s="9" t="str">
        <f>VLOOKUP(A635,'[1]terceros cto'!A$1:B$65536,2,0)</f>
        <v>ZELDA INGENIERIA SAS</v>
      </c>
      <c r="D635" s="20" t="str">
        <f>VLOOKUP(C635,'[1]terceros cto'!B$1:F$65536,5,0)</f>
        <v>jaime.vasquez@zelda.com.co</v>
      </c>
      <c r="E635" s="21" t="s">
        <v>2252</v>
      </c>
      <c r="F635" s="9" t="str">
        <f>VLOOKUP(C635,'[1]terceros cto'!B$1:D$65536,3,0)</f>
        <v>PAIPA</v>
      </c>
      <c r="G635" s="21">
        <v>15516</v>
      </c>
      <c r="H635" s="9">
        <v>212</v>
      </c>
      <c r="I635" s="28">
        <v>30000</v>
      </c>
      <c r="J635" s="29">
        <v>0</v>
      </c>
      <c r="K635" s="22">
        <v>0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  <c r="CJ635" s="9"/>
      <c r="CK635" s="9"/>
      <c r="CL635" s="9"/>
      <c r="CM635" s="9"/>
      <c r="CN635" s="9"/>
      <c r="CO635" s="9"/>
      <c r="CP635" s="9"/>
      <c r="CQ635" s="9"/>
      <c r="CR635" s="9"/>
      <c r="CS635" s="9"/>
      <c r="CT635" s="9"/>
      <c r="CU635" s="9"/>
      <c r="CV635" s="9"/>
      <c r="CW635" s="9"/>
      <c r="CX635" s="9"/>
      <c r="CY635" s="9"/>
      <c r="CZ635" s="9"/>
      <c r="DA635" s="9"/>
      <c r="DB635" s="9"/>
      <c r="DC635" s="9"/>
      <c r="DD635" s="9"/>
      <c r="DE635" s="9"/>
      <c r="DF635" s="9"/>
      <c r="DG635" s="9"/>
      <c r="DH635" s="9"/>
      <c r="DI635" s="9"/>
      <c r="DJ635" s="9"/>
      <c r="DK635" s="9"/>
      <c r="DL635" s="9"/>
      <c r="DM635" s="9"/>
      <c r="DN635" s="9"/>
      <c r="DO635" s="9"/>
      <c r="DP635" s="9"/>
      <c r="DQ635" s="9"/>
      <c r="DR635" s="9"/>
      <c r="DS635" s="9"/>
      <c r="DT635" s="9"/>
      <c r="DU635" s="9"/>
      <c r="DV635" s="9"/>
      <c r="DW635" s="9"/>
      <c r="DX635" s="9"/>
      <c r="DY635" s="9"/>
      <c r="DZ635" s="9"/>
      <c r="EA635" s="9"/>
      <c r="EB635" s="9"/>
      <c r="EC635" s="9"/>
      <c r="ED635" s="9"/>
      <c r="EE635" s="9"/>
      <c r="EF635" s="9"/>
      <c r="EG635" s="9"/>
      <c r="EH635" s="9"/>
      <c r="EI635" s="9"/>
      <c r="EJ635" s="9"/>
      <c r="EK635" s="9"/>
      <c r="EL635" s="9"/>
    </row>
    <row r="636" spans="1:142" x14ac:dyDescent="0.35">
      <c r="A636" s="9">
        <v>901511836</v>
      </c>
      <c r="B636" s="19">
        <v>1</v>
      </c>
      <c r="C636" s="9" t="str">
        <f>VLOOKUP(A636,'[1]terceros cto'!A$1:B$65536,2,0)</f>
        <v>CONSTRUCTORA AMAYA SAS</v>
      </c>
      <c r="D636" s="20" t="str">
        <f>VLOOKUP(C636,'[1]terceros cto'!B$1:F$65536,5,0)</f>
        <v>andres.trujillo@amavia.com.co</v>
      </c>
      <c r="E636" s="21" t="s">
        <v>2252</v>
      </c>
      <c r="F636" s="9" t="str">
        <f>VLOOKUP(C636,'[1]terceros cto'!B$1:D$65536,3,0)</f>
        <v>Paipa</v>
      </c>
      <c r="G636" s="21">
        <v>15516</v>
      </c>
      <c r="H636" s="9">
        <v>212</v>
      </c>
      <c r="I636" s="30">
        <v>2126085</v>
      </c>
      <c r="J636" s="31">
        <v>0</v>
      </c>
      <c r="K636" s="22">
        <v>0</v>
      </c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  <c r="CD636" s="9"/>
      <c r="CE636" s="9"/>
      <c r="CF636" s="9"/>
      <c r="CG636" s="9"/>
      <c r="CH636" s="9"/>
      <c r="CI636" s="9"/>
      <c r="CJ636" s="9"/>
      <c r="CK636" s="9"/>
      <c r="CL636" s="9"/>
      <c r="CM636" s="9"/>
      <c r="CN636" s="9"/>
      <c r="CO636" s="9"/>
      <c r="CP636" s="9"/>
      <c r="CQ636" s="9"/>
      <c r="CR636" s="9"/>
      <c r="CS636" s="9"/>
      <c r="CT636" s="9"/>
      <c r="CU636" s="9"/>
      <c r="CV636" s="9"/>
      <c r="CW636" s="9"/>
      <c r="CX636" s="9"/>
      <c r="CY636" s="9"/>
      <c r="CZ636" s="9"/>
      <c r="DA636" s="9"/>
      <c r="DB636" s="9"/>
      <c r="DC636" s="9"/>
      <c r="DD636" s="9"/>
      <c r="DE636" s="9"/>
      <c r="DF636" s="9"/>
      <c r="DG636" s="9"/>
      <c r="DH636" s="9"/>
      <c r="DI636" s="9"/>
      <c r="DJ636" s="9"/>
      <c r="DK636" s="9"/>
      <c r="DL636" s="9"/>
      <c r="DM636" s="9"/>
      <c r="DN636" s="9"/>
      <c r="DO636" s="9"/>
      <c r="DP636" s="9"/>
      <c r="DQ636" s="9"/>
      <c r="DR636" s="9"/>
      <c r="DS636" s="9"/>
      <c r="DT636" s="9"/>
      <c r="DU636" s="9"/>
      <c r="DV636" s="9"/>
      <c r="DW636" s="9"/>
      <c r="DX636" s="9"/>
      <c r="DY636" s="9"/>
      <c r="DZ636" s="9"/>
      <c r="EA636" s="9"/>
      <c r="EB636" s="9"/>
      <c r="EC636" s="9"/>
      <c r="ED636" s="9"/>
      <c r="EE636" s="9"/>
      <c r="EF636" s="9"/>
      <c r="EG636" s="9"/>
      <c r="EH636" s="9"/>
      <c r="EI636" s="9"/>
      <c r="EJ636" s="9"/>
      <c r="EK636" s="9"/>
      <c r="EL636" s="9"/>
    </row>
    <row r="637" spans="1:142" x14ac:dyDescent="0.35">
      <c r="A637" s="9">
        <v>901514279</v>
      </c>
      <c r="B637" s="19">
        <v>2</v>
      </c>
      <c r="C637" s="9" t="str">
        <f>VLOOKUP(A637,'[1]terceros cto'!A$1:B$65536,2,0)</f>
        <v>SOLUTIONS FORTALEZA GROUP SAS</v>
      </c>
      <c r="D637" s="20" t="str">
        <f>VLOOKUP(C637,'[1]terceros cto'!B$1:F$65536,5,0)</f>
        <v>lafortalezalt@gmail.com</v>
      </c>
      <c r="E637" s="21" t="s">
        <v>2252</v>
      </c>
      <c r="F637" s="9" t="str">
        <f>VLOOKUP(C637,'[1]terceros cto'!B$1:D$65536,3,0)</f>
        <v>paipa</v>
      </c>
      <c r="G637" s="21">
        <v>15516</v>
      </c>
      <c r="H637" s="9">
        <v>212</v>
      </c>
      <c r="I637" s="28">
        <v>154586</v>
      </c>
      <c r="J637" s="29">
        <v>0</v>
      </c>
      <c r="K637" s="22">
        <v>0</v>
      </c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  <c r="CJ637" s="9"/>
      <c r="CK637" s="9"/>
      <c r="CL637" s="9"/>
      <c r="CM637" s="9"/>
      <c r="CN637" s="9"/>
      <c r="CO637" s="9"/>
      <c r="CP637" s="9"/>
      <c r="CQ637" s="9"/>
      <c r="CR637" s="9"/>
      <c r="CS637" s="9"/>
      <c r="CT637" s="9"/>
      <c r="CU637" s="9"/>
      <c r="CV637" s="9"/>
      <c r="CW637" s="9"/>
      <c r="CX637" s="9"/>
      <c r="CY637" s="9"/>
      <c r="CZ637" s="9"/>
      <c r="DA637" s="9"/>
      <c r="DB637" s="9"/>
      <c r="DC637" s="9"/>
      <c r="DD637" s="9"/>
      <c r="DE637" s="9"/>
      <c r="DF637" s="9"/>
      <c r="DG637" s="9"/>
      <c r="DH637" s="9"/>
      <c r="DI637" s="9"/>
      <c r="DJ637" s="9"/>
      <c r="DK637" s="9"/>
      <c r="DL637" s="9"/>
      <c r="DM637" s="9"/>
      <c r="DN637" s="9"/>
      <c r="DO637" s="9"/>
      <c r="DP637" s="9"/>
      <c r="DQ637" s="9"/>
      <c r="DR637" s="9"/>
      <c r="DS637" s="9"/>
      <c r="DT637" s="9"/>
      <c r="DU637" s="9"/>
      <c r="DV637" s="9"/>
      <c r="DW637" s="9"/>
      <c r="DX637" s="9"/>
      <c r="DY637" s="9"/>
      <c r="DZ637" s="9"/>
      <c r="EA637" s="9"/>
      <c r="EB637" s="9"/>
      <c r="EC637" s="9"/>
      <c r="ED637" s="9"/>
      <c r="EE637" s="9"/>
      <c r="EF637" s="9"/>
      <c r="EG637" s="9"/>
      <c r="EH637" s="9"/>
      <c r="EI637" s="9"/>
      <c r="EJ637" s="9"/>
      <c r="EK637" s="9"/>
      <c r="EL637" s="9"/>
    </row>
    <row r="638" spans="1:142" x14ac:dyDescent="0.35">
      <c r="A638" s="9">
        <v>901523946</v>
      </c>
      <c r="B638" s="19">
        <v>5</v>
      </c>
      <c r="C638" s="9" t="str">
        <f>VLOOKUP(A638,'[1]terceros cto'!A$1:B$65536,2,0)</f>
        <v>INGENIERÍA Y CONSTRUCCIÓN GREENSOLU</v>
      </c>
      <c r="D638" s="20" t="str">
        <f>VLOOKUP(C638,'[1]terceros cto'!B$1:F$65536,5,0)</f>
        <v>greensolutionsas01@gmail.com</v>
      </c>
      <c r="E638" s="21" t="s">
        <v>2252</v>
      </c>
      <c r="F638" s="9" t="str">
        <f>VLOOKUP(C638,'[1]terceros cto'!B$1:D$65536,3,0)</f>
        <v>Paipa</v>
      </c>
      <c r="G638" s="21">
        <v>15516</v>
      </c>
      <c r="H638" s="9">
        <v>212</v>
      </c>
      <c r="I638" s="30">
        <v>60000</v>
      </c>
      <c r="J638" s="31">
        <v>0</v>
      </c>
      <c r="K638" s="22">
        <v>0</v>
      </c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  <c r="CJ638" s="9"/>
      <c r="CK638" s="9"/>
      <c r="CL638" s="9"/>
      <c r="CM638" s="9"/>
      <c r="CN638" s="9"/>
      <c r="CO638" s="9"/>
      <c r="CP638" s="9"/>
      <c r="CQ638" s="9"/>
      <c r="CR638" s="9"/>
      <c r="CS638" s="9"/>
      <c r="CT638" s="9"/>
      <c r="CU638" s="9"/>
      <c r="CV638" s="9"/>
      <c r="CW638" s="9"/>
      <c r="CX638" s="9"/>
      <c r="CY638" s="9"/>
      <c r="CZ638" s="9"/>
      <c r="DA638" s="9"/>
      <c r="DB638" s="9"/>
      <c r="DC638" s="9"/>
      <c r="DD638" s="9"/>
      <c r="DE638" s="9"/>
      <c r="DF638" s="9"/>
      <c r="DG638" s="9"/>
      <c r="DH638" s="9"/>
      <c r="DI638" s="9"/>
      <c r="DJ638" s="9"/>
      <c r="DK638" s="9"/>
      <c r="DL638" s="9"/>
      <c r="DM638" s="9"/>
      <c r="DN638" s="9"/>
      <c r="DO638" s="9"/>
      <c r="DP638" s="9"/>
      <c r="DQ638" s="9"/>
      <c r="DR638" s="9"/>
      <c r="DS638" s="9"/>
      <c r="DT638" s="9"/>
      <c r="DU638" s="9"/>
      <c r="DV638" s="9"/>
      <c r="DW638" s="9"/>
      <c r="DX638" s="9"/>
      <c r="DY638" s="9"/>
      <c r="DZ638" s="9"/>
      <c r="EA638" s="9"/>
      <c r="EB638" s="9"/>
      <c r="EC638" s="9"/>
      <c r="ED638" s="9"/>
      <c r="EE638" s="9"/>
      <c r="EF638" s="9"/>
      <c r="EG638" s="9"/>
      <c r="EH638" s="9"/>
      <c r="EI638" s="9"/>
      <c r="EJ638" s="9"/>
      <c r="EK638" s="9"/>
      <c r="EL638" s="9"/>
    </row>
    <row r="639" spans="1:142" x14ac:dyDescent="0.35">
      <c r="A639" s="9">
        <v>901527108</v>
      </c>
      <c r="B639" s="19">
        <v>8</v>
      </c>
      <c r="C639" s="9" t="str">
        <f>VLOOKUP(A639,'[1]terceros cto'!A$1:B$65536,2,0)</f>
        <v>G&amp;G MOTOS SAS</v>
      </c>
      <c r="D639" s="20" t="str">
        <f>VLOOKUP(C639,'[1]terceros cto'!B$1:F$65536,5,0)</f>
        <v>gilfonse24@gmail.com</v>
      </c>
      <c r="E639" s="21" t="s">
        <v>2252</v>
      </c>
      <c r="F639" s="9" t="str">
        <f>VLOOKUP(C639,'[1]terceros cto'!B$1:D$65536,3,0)</f>
        <v>CALLE 6 9 46</v>
      </c>
      <c r="G639" s="21">
        <v>15516</v>
      </c>
      <c r="H639" s="9">
        <v>212</v>
      </c>
      <c r="I639" s="28">
        <v>1057065</v>
      </c>
      <c r="J639" s="29">
        <v>0</v>
      </c>
      <c r="K639" s="22">
        <v>0</v>
      </c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  <c r="CJ639" s="9"/>
      <c r="CK639" s="9"/>
      <c r="CL639" s="9"/>
      <c r="CM639" s="9"/>
      <c r="CN639" s="9"/>
      <c r="CO639" s="9"/>
      <c r="CP639" s="9"/>
      <c r="CQ639" s="9"/>
      <c r="CR639" s="9"/>
      <c r="CS639" s="9"/>
      <c r="CT639" s="9"/>
      <c r="CU639" s="9"/>
      <c r="CV639" s="9"/>
      <c r="CW639" s="9"/>
      <c r="CX639" s="9"/>
      <c r="CY639" s="9"/>
      <c r="CZ639" s="9"/>
      <c r="DA639" s="9"/>
      <c r="DB639" s="9"/>
      <c r="DC639" s="9"/>
      <c r="DD639" s="9"/>
      <c r="DE639" s="9"/>
      <c r="DF639" s="9"/>
      <c r="DG639" s="9"/>
      <c r="DH639" s="9"/>
      <c r="DI639" s="9"/>
      <c r="DJ639" s="9"/>
      <c r="DK639" s="9"/>
      <c r="DL639" s="9"/>
      <c r="DM639" s="9"/>
      <c r="DN639" s="9"/>
      <c r="DO639" s="9"/>
      <c r="DP639" s="9"/>
      <c r="DQ639" s="9"/>
      <c r="DR639" s="9"/>
      <c r="DS639" s="9"/>
      <c r="DT639" s="9"/>
      <c r="DU639" s="9"/>
      <c r="DV639" s="9"/>
      <c r="DW639" s="9"/>
      <c r="DX639" s="9"/>
      <c r="DY639" s="9"/>
      <c r="DZ639" s="9"/>
      <c r="EA639" s="9"/>
      <c r="EB639" s="9"/>
      <c r="EC639" s="9"/>
      <c r="ED639" s="9"/>
      <c r="EE639" s="9"/>
      <c r="EF639" s="9"/>
      <c r="EG639" s="9"/>
      <c r="EH639" s="9"/>
      <c r="EI639" s="9"/>
      <c r="EJ639" s="9"/>
      <c r="EK639" s="9"/>
      <c r="EL639" s="9"/>
    </row>
    <row r="640" spans="1:142" x14ac:dyDescent="0.35">
      <c r="A640" s="9">
        <v>901541975</v>
      </c>
      <c r="B640" s="19">
        <v>5</v>
      </c>
      <c r="C640" s="9" t="str">
        <f>VLOOKUP(A640,'[1]terceros cto'!A$1:B$65536,2,0)</f>
        <v>GRUPO DELTA MOTORS</v>
      </c>
      <c r="D640" s="20" t="str">
        <f>VLOOKUP(C640,'[1]terceros cto'!B$1:F$65536,5,0)</f>
        <v>grupodetacolcontabilidaf@gmail.com</v>
      </c>
      <c r="E640" s="21" t="s">
        <v>2252</v>
      </c>
      <c r="F640" s="9" t="str">
        <f>VLOOKUP(C640,'[1]terceros cto'!B$1:D$65536,3,0)</f>
        <v>CRA 14 22 31</v>
      </c>
      <c r="G640" s="21">
        <v>15516</v>
      </c>
      <c r="H640" s="9">
        <v>212</v>
      </c>
      <c r="I640" s="30">
        <v>140295</v>
      </c>
      <c r="J640" s="31">
        <v>0</v>
      </c>
      <c r="K640" s="22">
        <v>0</v>
      </c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  <c r="CJ640" s="9"/>
      <c r="CK640" s="9"/>
      <c r="CL640" s="9"/>
      <c r="CM640" s="9"/>
      <c r="CN640" s="9"/>
      <c r="CO640" s="9"/>
      <c r="CP640" s="9"/>
      <c r="CQ640" s="9"/>
      <c r="CR640" s="9"/>
      <c r="CS640" s="9"/>
      <c r="CT640" s="9"/>
      <c r="CU640" s="9"/>
      <c r="CV640" s="9"/>
      <c r="CW640" s="9"/>
      <c r="CX640" s="9"/>
      <c r="CY640" s="9"/>
      <c r="CZ640" s="9"/>
      <c r="DA640" s="9"/>
      <c r="DB640" s="9"/>
      <c r="DC640" s="9"/>
      <c r="DD640" s="9"/>
      <c r="DE640" s="9"/>
      <c r="DF640" s="9"/>
      <c r="DG640" s="9"/>
      <c r="DH640" s="9"/>
      <c r="DI640" s="9"/>
      <c r="DJ640" s="9"/>
      <c r="DK640" s="9"/>
      <c r="DL640" s="9"/>
      <c r="DM640" s="9"/>
      <c r="DN640" s="9"/>
      <c r="DO640" s="9"/>
      <c r="DP640" s="9"/>
      <c r="DQ640" s="9"/>
      <c r="DR640" s="9"/>
      <c r="DS640" s="9"/>
      <c r="DT640" s="9"/>
      <c r="DU640" s="9"/>
      <c r="DV640" s="9"/>
      <c r="DW640" s="9"/>
      <c r="DX640" s="9"/>
      <c r="DY640" s="9"/>
      <c r="DZ640" s="9"/>
      <c r="EA640" s="9"/>
      <c r="EB640" s="9"/>
      <c r="EC640" s="9"/>
      <c r="ED640" s="9"/>
      <c r="EE640" s="9"/>
      <c r="EF640" s="9"/>
      <c r="EG640" s="9"/>
      <c r="EH640" s="9"/>
      <c r="EI640" s="9"/>
      <c r="EJ640" s="9"/>
      <c r="EK640" s="9"/>
      <c r="EL640" s="9"/>
    </row>
    <row r="641" spans="1:142" x14ac:dyDescent="0.35">
      <c r="A641" s="9">
        <v>901552915</v>
      </c>
      <c r="B641" s="19">
        <v>0</v>
      </c>
      <c r="C641" s="9" t="str">
        <f>VLOOKUP(A641,'[1]terceros cto'!A$1:B$65536,2,0)</f>
        <v>MARIA MONTESSORI SCHOOL S.A.S ZOMAC</v>
      </c>
      <c r="D641" s="20" t="str">
        <f>VLOOKUP(C641,'[1]terceros cto'!B$1:F$65536,5,0)</f>
        <v>contacto@fedmariamontessori.edu.co</v>
      </c>
      <c r="E641" s="21" t="s">
        <v>2252</v>
      </c>
      <c r="F641" s="9" t="str">
        <f>VLOOKUP(C641,'[1]terceros cto'!B$1:D$65536,3,0)</f>
        <v>Paipa</v>
      </c>
      <c r="G641" s="21">
        <v>15516</v>
      </c>
      <c r="H641" s="9">
        <v>212</v>
      </c>
      <c r="I641" s="28">
        <v>115073</v>
      </c>
      <c r="J641" s="29">
        <v>0</v>
      </c>
      <c r="K641" s="22">
        <v>0</v>
      </c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  <c r="CJ641" s="9"/>
      <c r="CK641" s="9"/>
      <c r="CL641" s="9"/>
      <c r="CM641" s="9"/>
      <c r="CN641" s="9"/>
      <c r="CO641" s="9"/>
      <c r="CP641" s="9"/>
      <c r="CQ641" s="9"/>
      <c r="CR641" s="9"/>
      <c r="CS641" s="9"/>
      <c r="CT641" s="9"/>
      <c r="CU641" s="9"/>
      <c r="CV641" s="9"/>
      <c r="CW641" s="9"/>
      <c r="CX641" s="9"/>
      <c r="CY641" s="9"/>
      <c r="CZ641" s="9"/>
      <c r="DA641" s="9"/>
      <c r="DB641" s="9"/>
      <c r="DC641" s="9"/>
      <c r="DD641" s="9"/>
      <c r="DE641" s="9"/>
      <c r="DF641" s="9"/>
      <c r="DG641" s="9"/>
      <c r="DH641" s="9"/>
      <c r="DI641" s="9"/>
      <c r="DJ641" s="9"/>
      <c r="DK641" s="9"/>
      <c r="DL641" s="9"/>
      <c r="DM641" s="9"/>
      <c r="DN641" s="9"/>
      <c r="DO641" s="9"/>
      <c r="DP641" s="9"/>
      <c r="DQ641" s="9"/>
      <c r="DR641" s="9"/>
      <c r="DS641" s="9"/>
      <c r="DT641" s="9"/>
      <c r="DU641" s="9"/>
      <c r="DV641" s="9"/>
      <c r="DW641" s="9"/>
      <c r="DX641" s="9"/>
      <c r="DY641" s="9"/>
      <c r="DZ641" s="9"/>
      <c r="EA641" s="9"/>
      <c r="EB641" s="9"/>
      <c r="EC641" s="9"/>
      <c r="ED641" s="9"/>
      <c r="EE641" s="9"/>
      <c r="EF641" s="9"/>
      <c r="EG641" s="9"/>
      <c r="EH641" s="9"/>
      <c r="EI641" s="9"/>
      <c r="EJ641" s="9"/>
      <c r="EK641" s="9"/>
      <c r="EL641" s="9"/>
    </row>
    <row r="642" spans="1:142" x14ac:dyDescent="0.35">
      <c r="A642" s="9">
        <v>901562092</v>
      </c>
      <c r="B642" s="19">
        <v>7</v>
      </c>
      <c r="C642" s="9" t="str">
        <f>VLOOKUP(A642,'[1]terceros cto'!A$1:B$65536,2,0)</f>
        <v>CAMPEON CENTRO AGROPECUARIO SAS</v>
      </c>
      <c r="D642" s="20" t="str">
        <f>VLOOKUP(C642,'[1]terceros cto'!B$1:F$65536,5,0)</f>
        <v>facturacion@campeonsas.co</v>
      </c>
      <c r="E642" s="21" t="s">
        <v>2252</v>
      </c>
      <c r="F642" s="9" t="str">
        <f>VLOOKUP(C642,'[1]terceros cto'!B$1:D$65536,3,0)</f>
        <v>Paipa</v>
      </c>
      <c r="G642" s="21">
        <v>15516</v>
      </c>
      <c r="H642" s="9">
        <v>212</v>
      </c>
      <c r="I642" s="30">
        <v>400044</v>
      </c>
      <c r="J642" s="31">
        <v>0</v>
      </c>
      <c r="K642" s="22">
        <v>0</v>
      </c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  <c r="CD642" s="9"/>
      <c r="CE642" s="9"/>
      <c r="CF642" s="9"/>
      <c r="CG642" s="9"/>
      <c r="CH642" s="9"/>
      <c r="CI642" s="9"/>
      <c r="CJ642" s="9"/>
      <c r="CK642" s="9"/>
      <c r="CL642" s="9"/>
      <c r="CM642" s="9"/>
      <c r="CN642" s="9"/>
      <c r="CO642" s="9"/>
      <c r="CP642" s="9"/>
      <c r="CQ642" s="9"/>
      <c r="CR642" s="9"/>
      <c r="CS642" s="9"/>
      <c r="CT642" s="9"/>
      <c r="CU642" s="9"/>
      <c r="CV642" s="9"/>
      <c r="CW642" s="9"/>
      <c r="CX642" s="9"/>
      <c r="CY642" s="9"/>
      <c r="CZ642" s="9"/>
      <c r="DA642" s="9"/>
      <c r="DB642" s="9"/>
      <c r="DC642" s="9"/>
      <c r="DD642" s="9"/>
      <c r="DE642" s="9"/>
      <c r="DF642" s="9"/>
      <c r="DG642" s="9"/>
      <c r="DH642" s="9"/>
      <c r="DI642" s="9"/>
      <c r="DJ642" s="9"/>
      <c r="DK642" s="9"/>
      <c r="DL642" s="9"/>
      <c r="DM642" s="9"/>
      <c r="DN642" s="9"/>
      <c r="DO642" s="9"/>
      <c r="DP642" s="9"/>
      <c r="DQ642" s="9"/>
      <c r="DR642" s="9"/>
      <c r="DS642" s="9"/>
      <c r="DT642" s="9"/>
      <c r="DU642" s="9"/>
      <c r="DV642" s="9"/>
      <c r="DW642" s="9"/>
      <c r="DX642" s="9"/>
      <c r="DY642" s="9"/>
      <c r="DZ642" s="9"/>
      <c r="EA642" s="9"/>
      <c r="EB642" s="9"/>
      <c r="EC642" s="9"/>
      <c r="ED642" s="9"/>
      <c r="EE642" s="9"/>
      <c r="EF642" s="9"/>
      <c r="EG642" s="9"/>
      <c r="EH642" s="9"/>
      <c r="EI642" s="9"/>
      <c r="EJ642" s="9"/>
      <c r="EK642" s="9"/>
      <c r="EL642" s="9"/>
    </row>
    <row r="643" spans="1:142" x14ac:dyDescent="0.35">
      <c r="A643" s="9">
        <v>901562217</v>
      </c>
      <c r="B643" s="19">
        <v>0</v>
      </c>
      <c r="C643" s="9" t="str">
        <f>VLOOKUP(A643,'[1]terceros cto'!A$1:B$65536,2,0)</f>
        <v>FACTORES INTEGRALES SAS</v>
      </c>
      <c r="D643" s="20" t="str">
        <f>VLOOKUP(C643,'[1]terceros cto'!B$1:F$65536,5,0)</f>
        <v>factoresintegralessas@gmail.com</v>
      </c>
      <c r="E643" s="21" t="s">
        <v>2252</v>
      </c>
      <c r="F643" s="9" t="str">
        <f>VLOOKUP(C643,'[1]terceros cto'!B$1:D$65536,3,0)</f>
        <v>Paipa</v>
      </c>
      <c r="G643" s="21">
        <v>15516</v>
      </c>
      <c r="H643" s="9">
        <v>212</v>
      </c>
      <c r="I643" s="28">
        <v>100000</v>
      </c>
      <c r="J643" s="29">
        <v>0</v>
      </c>
      <c r="K643" s="22">
        <v>0</v>
      </c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  <c r="CJ643" s="9"/>
      <c r="CK643" s="9"/>
      <c r="CL643" s="9"/>
      <c r="CM643" s="9"/>
      <c r="CN643" s="9"/>
      <c r="CO643" s="9"/>
      <c r="CP643" s="9"/>
      <c r="CQ643" s="9"/>
      <c r="CR643" s="9"/>
      <c r="CS643" s="9"/>
      <c r="CT643" s="9"/>
      <c r="CU643" s="9"/>
      <c r="CV643" s="9"/>
      <c r="CW643" s="9"/>
      <c r="CX643" s="9"/>
      <c r="CY643" s="9"/>
      <c r="CZ643" s="9"/>
      <c r="DA643" s="9"/>
      <c r="DB643" s="9"/>
      <c r="DC643" s="9"/>
      <c r="DD643" s="9"/>
      <c r="DE643" s="9"/>
      <c r="DF643" s="9"/>
      <c r="DG643" s="9"/>
      <c r="DH643" s="9"/>
      <c r="DI643" s="9"/>
      <c r="DJ643" s="9"/>
      <c r="DK643" s="9"/>
      <c r="DL643" s="9"/>
      <c r="DM643" s="9"/>
      <c r="DN643" s="9"/>
      <c r="DO643" s="9"/>
      <c r="DP643" s="9"/>
      <c r="DQ643" s="9"/>
      <c r="DR643" s="9"/>
      <c r="DS643" s="9"/>
      <c r="DT643" s="9"/>
      <c r="DU643" s="9"/>
      <c r="DV643" s="9"/>
      <c r="DW643" s="9"/>
      <c r="DX643" s="9"/>
      <c r="DY643" s="9"/>
      <c r="DZ643" s="9"/>
      <c r="EA643" s="9"/>
      <c r="EB643" s="9"/>
      <c r="EC643" s="9"/>
      <c r="ED643" s="9"/>
      <c r="EE643" s="9"/>
      <c r="EF643" s="9"/>
      <c r="EG643" s="9"/>
      <c r="EH643" s="9"/>
      <c r="EI643" s="9"/>
      <c r="EJ643" s="9"/>
      <c r="EK643" s="9"/>
      <c r="EL643" s="9"/>
    </row>
    <row r="644" spans="1:142" x14ac:dyDescent="0.35">
      <c r="A644" s="9">
        <v>901563214</v>
      </c>
      <c r="B644" s="19">
        <v>3</v>
      </c>
      <c r="C644" s="9" t="str">
        <f>VLOOKUP(A644,'[1]terceros cto'!A$1:B$65536,2,0)</f>
        <v>RGLOGISTICS SAS</v>
      </c>
      <c r="D644" s="20" t="str">
        <f>VLOOKUP(C644,'[1]terceros cto'!B$1:F$65536,5,0)</f>
        <v>info@rglogisticssas.com</v>
      </c>
      <c r="E644" s="21" t="s">
        <v>2252</v>
      </c>
      <c r="F644" s="9" t="str">
        <f>VLOOKUP(C644,'[1]terceros cto'!B$1:D$65536,3,0)</f>
        <v>Paipa</v>
      </c>
      <c r="G644" s="21">
        <v>15516</v>
      </c>
      <c r="H644" s="9">
        <v>212</v>
      </c>
      <c r="I644" s="30">
        <v>20000</v>
      </c>
      <c r="J644" s="31">
        <v>0</v>
      </c>
      <c r="K644" s="22">
        <v>0</v>
      </c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  <c r="CJ644" s="9"/>
      <c r="CK644" s="9"/>
      <c r="CL644" s="9"/>
      <c r="CM644" s="9"/>
      <c r="CN644" s="9"/>
      <c r="CO644" s="9"/>
      <c r="CP644" s="9"/>
      <c r="CQ644" s="9"/>
      <c r="CR644" s="9"/>
      <c r="CS644" s="9"/>
      <c r="CT644" s="9"/>
      <c r="CU644" s="9"/>
      <c r="CV644" s="9"/>
      <c r="CW644" s="9"/>
      <c r="CX644" s="9"/>
      <c r="CY644" s="9"/>
      <c r="CZ644" s="9"/>
      <c r="DA644" s="9"/>
      <c r="DB644" s="9"/>
      <c r="DC644" s="9"/>
      <c r="DD644" s="9"/>
      <c r="DE644" s="9"/>
      <c r="DF644" s="9"/>
      <c r="DG644" s="9"/>
      <c r="DH644" s="9"/>
      <c r="DI644" s="9"/>
      <c r="DJ644" s="9"/>
      <c r="DK644" s="9"/>
      <c r="DL644" s="9"/>
      <c r="DM644" s="9"/>
      <c r="DN644" s="9"/>
      <c r="DO644" s="9"/>
      <c r="DP644" s="9"/>
      <c r="DQ644" s="9"/>
      <c r="DR644" s="9"/>
      <c r="DS644" s="9"/>
      <c r="DT644" s="9"/>
      <c r="DU644" s="9"/>
      <c r="DV644" s="9"/>
      <c r="DW644" s="9"/>
      <c r="DX644" s="9"/>
      <c r="DY644" s="9"/>
      <c r="DZ644" s="9"/>
      <c r="EA644" s="9"/>
      <c r="EB644" s="9"/>
      <c r="EC644" s="9"/>
      <c r="ED644" s="9"/>
      <c r="EE644" s="9"/>
      <c r="EF644" s="9"/>
      <c r="EG644" s="9"/>
      <c r="EH644" s="9"/>
      <c r="EI644" s="9"/>
      <c r="EJ644" s="9"/>
      <c r="EK644" s="9"/>
      <c r="EL644" s="9"/>
    </row>
    <row r="645" spans="1:142" x14ac:dyDescent="0.35">
      <c r="A645" s="9">
        <v>901581523</v>
      </c>
      <c r="B645" s="19">
        <v>0</v>
      </c>
      <c r="C645" s="9" t="str">
        <f>VLOOKUP(A645,'[1]terceros cto'!A$1:B$65536,2,0)</f>
        <v>SALAZAR ARIAS COMPANY S.A.S</v>
      </c>
      <c r="D645" s="20" t="str">
        <f>VLOOKUP(C645,'[1]terceros cto'!B$1:F$65536,5,0)</f>
        <v>salazarariassas@gmail.com</v>
      </c>
      <c r="E645" s="21" t="s">
        <v>2252</v>
      </c>
      <c r="F645" s="9" t="str">
        <f>VLOOKUP(C645,'[1]terceros cto'!B$1:D$65536,3,0)</f>
        <v>Paipa</v>
      </c>
      <c r="G645" s="21">
        <v>15516</v>
      </c>
      <c r="H645" s="9">
        <v>212</v>
      </c>
      <c r="I645" s="28">
        <v>192059</v>
      </c>
      <c r="J645" s="29">
        <v>0</v>
      </c>
      <c r="K645" s="22">
        <v>0</v>
      </c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  <c r="CJ645" s="9"/>
      <c r="CK645" s="9"/>
      <c r="CL645" s="9"/>
      <c r="CM645" s="9"/>
      <c r="CN645" s="9"/>
      <c r="CO645" s="9"/>
      <c r="CP645" s="9"/>
      <c r="CQ645" s="9"/>
      <c r="CR645" s="9"/>
      <c r="CS645" s="9"/>
      <c r="CT645" s="9"/>
      <c r="CU645" s="9"/>
      <c r="CV645" s="9"/>
      <c r="CW645" s="9"/>
      <c r="CX645" s="9"/>
      <c r="CY645" s="9"/>
      <c r="CZ645" s="9"/>
      <c r="DA645" s="9"/>
      <c r="DB645" s="9"/>
      <c r="DC645" s="9"/>
      <c r="DD645" s="9"/>
      <c r="DE645" s="9"/>
      <c r="DF645" s="9"/>
      <c r="DG645" s="9"/>
      <c r="DH645" s="9"/>
      <c r="DI645" s="9"/>
      <c r="DJ645" s="9"/>
      <c r="DK645" s="9"/>
      <c r="DL645" s="9"/>
      <c r="DM645" s="9"/>
      <c r="DN645" s="9"/>
      <c r="DO645" s="9"/>
      <c r="DP645" s="9"/>
      <c r="DQ645" s="9"/>
      <c r="DR645" s="9"/>
      <c r="DS645" s="9"/>
      <c r="DT645" s="9"/>
      <c r="DU645" s="9"/>
      <c r="DV645" s="9"/>
      <c r="DW645" s="9"/>
      <c r="DX645" s="9"/>
      <c r="DY645" s="9"/>
      <c r="DZ645" s="9"/>
      <c r="EA645" s="9"/>
      <c r="EB645" s="9"/>
      <c r="EC645" s="9"/>
      <c r="ED645" s="9"/>
      <c r="EE645" s="9"/>
      <c r="EF645" s="9"/>
      <c r="EG645" s="9"/>
      <c r="EH645" s="9"/>
      <c r="EI645" s="9"/>
      <c r="EJ645" s="9"/>
      <c r="EK645" s="9"/>
      <c r="EL645" s="9"/>
    </row>
    <row r="646" spans="1:142" x14ac:dyDescent="0.35">
      <c r="A646" s="9">
        <v>901582583</v>
      </c>
      <c r="B646" s="19">
        <v>7</v>
      </c>
      <c r="C646" s="9" t="str">
        <f>VLOOKUP(A646,'[1]terceros cto'!A$1:B$65536,2,0)</f>
        <v>SECUENCIAL INGENIERIA SOCIEDAD POR ACCIONES SIMPLIFICADAS</v>
      </c>
      <c r="D646" s="20" t="str">
        <f>VLOOKUP(C646,'[1]terceros cto'!B$1:F$65536,5,0)</f>
        <v>secuencialingenieria@gmail.com</v>
      </c>
      <c r="E646" s="21" t="s">
        <v>2252</v>
      </c>
      <c r="F646" s="9" t="str">
        <f>VLOOKUP(C646,'[1]terceros cto'!B$1:D$65536,3,0)</f>
        <v>CALLE  21 17 51</v>
      </c>
      <c r="G646" s="21">
        <v>15516</v>
      </c>
      <c r="H646" s="9">
        <v>212</v>
      </c>
      <c r="I646" s="30">
        <v>2229882</v>
      </c>
      <c r="J646" s="31">
        <v>0</v>
      </c>
      <c r="K646" s="22">
        <v>0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  <c r="CJ646" s="9"/>
      <c r="CK646" s="9"/>
      <c r="CL646" s="9"/>
      <c r="CM646" s="9"/>
      <c r="CN646" s="9"/>
      <c r="CO646" s="9"/>
      <c r="CP646" s="9"/>
      <c r="CQ646" s="9"/>
      <c r="CR646" s="9"/>
      <c r="CS646" s="9"/>
      <c r="CT646" s="9"/>
      <c r="CU646" s="9"/>
      <c r="CV646" s="9"/>
      <c r="CW646" s="9"/>
      <c r="CX646" s="9"/>
      <c r="CY646" s="9"/>
      <c r="CZ646" s="9"/>
      <c r="DA646" s="9"/>
      <c r="DB646" s="9"/>
      <c r="DC646" s="9"/>
      <c r="DD646" s="9"/>
      <c r="DE646" s="9"/>
      <c r="DF646" s="9"/>
      <c r="DG646" s="9"/>
      <c r="DH646" s="9"/>
      <c r="DI646" s="9"/>
      <c r="DJ646" s="9"/>
      <c r="DK646" s="9"/>
      <c r="DL646" s="9"/>
      <c r="DM646" s="9"/>
      <c r="DN646" s="9"/>
      <c r="DO646" s="9"/>
      <c r="DP646" s="9"/>
      <c r="DQ646" s="9"/>
      <c r="DR646" s="9"/>
      <c r="DS646" s="9"/>
      <c r="DT646" s="9"/>
      <c r="DU646" s="9"/>
      <c r="DV646" s="9"/>
      <c r="DW646" s="9"/>
      <c r="DX646" s="9"/>
      <c r="DY646" s="9"/>
      <c r="DZ646" s="9"/>
      <c r="EA646" s="9"/>
      <c r="EB646" s="9"/>
      <c r="EC646" s="9"/>
      <c r="ED646" s="9"/>
      <c r="EE646" s="9"/>
      <c r="EF646" s="9"/>
      <c r="EG646" s="9"/>
      <c r="EH646" s="9"/>
      <c r="EI646" s="9"/>
      <c r="EJ646" s="9"/>
      <c r="EK646" s="9"/>
      <c r="EL646" s="9"/>
    </row>
    <row r="647" spans="1:142" x14ac:dyDescent="0.35">
      <c r="A647" s="9">
        <v>901587894</v>
      </c>
      <c r="B647" s="19">
        <v>5</v>
      </c>
      <c r="C647" s="9" t="str">
        <f>VLOOKUP(A647,'[1]terceros cto'!A$1:B$65536,2,0)</f>
        <v>IDEARK DISEÑO CONSULTORIA Y CONSTRU</v>
      </c>
      <c r="D647" s="20" t="str">
        <f>VLOOKUP(C647,'[1]terceros cto'!B$1:F$65536,5,0)</f>
        <v>ideark01ideark@gmail.com</v>
      </c>
      <c r="E647" s="21" t="s">
        <v>2252</v>
      </c>
      <c r="F647" s="9" t="str">
        <f>VLOOKUP(C647,'[1]terceros cto'!B$1:D$65536,3,0)</f>
        <v>Paipa</v>
      </c>
      <c r="G647" s="21">
        <v>15516</v>
      </c>
      <c r="H647" s="9">
        <v>212</v>
      </c>
      <c r="I647" s="28">
        <v>100000</v>
      </c>
      <c r="J647" s="29">
        <v>0</v>
      </c>
      <c r="K647" s="22">
        <v>0</v>
      </c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  <c r="CJ647" s="9"/>
      <c r="CK647" s="9"/>
      <c r="CL647" s="9"/>
      <c r="CM647" s="9"/>
      <c r="CN647" s="9"/>
      <c r="CO647" s="9"/>
      <c r="CP647" s="9"/>
      <c r="CQ647" s="9"/>
      <c r="CR647" s="9"/>
      <c r="CS647" s="9"/>
      <c r="CT647" s="9"/>
      <c r="CU647" s="9"/>
      <c r="CV647" s="9"/>
      <c r="CW647" s="9"/>
      <c r="CX647" s="9"/>
      <c r="CY647" s="9"/>
      <c r="CZ647" s="9"/>
      <c r="DA647" s="9"/>
      <c r="DB647" s="9"/>
      <c r="DC647" s="9"/>
      <c r="DD647" s="9"/>
      <c r="DE647" s="9"/>
      <c r="DF647" s="9"/>
      <c r="DG647" s="9"/>
      <c r="DH647" s="9"/>
      <c r="DI647" s="9"/>
      <c r="DJ647" s="9"/>
      <c r="DK647" s="9"/>
      <c r="DL647" s="9"/>
      <c r="DM647" s="9"/>
      <c r="DN647" s="9"/>
      <c r="DO647" s="9"/>
      <c r="DP647" s="9"/>
      <c r="DQ647" s="9"/>
      <c r="DR647" s="9"/>
      <c r="DS647" s="9"/>
      <c r="DT647" s="9"/>
      <c r="DU647" s="9"/>
      <c r="DV647" s="9"/>
      <c r="DW647" s="9"/>
      <c r="DX647" s="9"/>
      <c r="DY647" s="9"/>
      <c r="DZ647" s="9"/>
      <c r="EA647" s="9"/>
      <c r="EB647" s="9"/>
      <c r="EC647" s="9"/>
      <c r="ED647" s="9"/>
      <c r="EE647" s="9"/>
      <c r="EF647" s="9"/>
      <c r="EG647" s="9"/>
      <c r="EH647" s="9"/>
      <c r="EI647" s="9"/>
      <c r="EJ647" s="9"/>
      <c r="EK647" s="9"/>
      <c r="EL647" s="9"/>
    </row>
    <row r="648" spans="1:142" s="23" customFormat="1" x14ac:dyDescent="0.35">
      <c r="A648" s="23">
        <v>901589233</v>
      </c>
      <c r="B648" s="19">
        <v>6</v>
      </c>
      <c r="C648" s="9" t="str">
        <f>VLOOKUP(A648,'[1]terceros cto'!A$1:B$65536,2,0)</f>
        <v>DOTACIONES Y SUMINISTROS LA SISO</v>
      </c>
      <c r="D648" s="20" t="str">
        <f>VLOOKUP(C648,'[1]terceros cto'!B$1:F$65536,5,0)</f>
        <v>facturacion@lasiso.com</v>
      </c>
      <c r="E648" s="21" t="s">
        <v>2252</v>
      </c>
      <c r="F648" s="9" t="str">
        <f>VLOOKUP(C648,'[1]terceros cto'!B$1:D$65536,3,0)</f>
        <v>Paipa</v>
      </c>
      <c r="G648" s="21">
        <v>15516</v>
      </c>
      <c r="H648" s="9">
        <v>212</v>
      </c>
      <c r="I648" s="34">
        <v>116029</v>
      </c>
      <c r="J648" s="35">
        <v>0</v>
      </c>
      <c r="K648" s="26">
        <v>0</v>
      </c>
    </row>
    <row r="649" spans="1:142" s="23" customFormat="1" x14ac:dyDescent="0.35">
      <c r="A649" s="23">
        <v>901601057</v>
      </c>
      <c r="B649" s="19">
        <v>7</v>
      </c>
      <c r="C649" s="9" t="str">
        <f>VLOOKUP(A649,'[1]terceros cto'!A$1:B$65536,2,0)</f>
        <v>NOVAPLAT SAS</v>
      </c>
      <c r="D649" s="20" t="str">
        <f>VLOOKUP(C649,'[1]terceros cto'!B$1:F$65536,5,0)</f>
        <v>novaplatsas@gmail.com</v>
      </c>
      <c r="E649" s="21" t="s">
        <v>2252</v>
      </c>
      <c r="F649" s="9" t="str">
        <f>VLOOKUP(C649,'[1]terceros cto'!B$1:D$65536,3,0)</f>
        <v>paip</v>
      </c>
      <c r="G649" s="21">
        <v>15516</v>
      </c>
      <c r="H649" s="9">
        <v>212</v>
      </c>
      <c r="I649" s="32">
        <v>460000</v>
      </c>
      <c r="J649" s="33">
        <v>0</v>
      </c>
      <c r="K649" s="26">
        <v>0</v>
      </c>
    </row>
    <row r="650" spans="1:142" x14ac:dyDescent="0.35">
      <c r="A650" s="9">
        <v>901607049</v>
      </c>
      <c r="B650" s="19">
        <v>5</v>
      </c>
      <c r="C650" s="9" t="str">
        <f>VLOOKUP(A650,'[1]terceros cto'!A$1:B$65536,2,0)</f>
        <v>SERVIEVENTOS COLOMBIA SAS</v>
      </c>
      <c r="D650" s="20" t="str">
        <f>VLOOKUP(C650,'[1]terceros cto'!B$1:F$65536,5,0)</f>
        <v>facturasservieventoscol@gmail.com</v>
      </c>
      <c r="E650" s="21" t="s">
        <v>2252</v>
      </c>
      <c r="F650" s="9" t="str">
        <f>VLOOKUP(C650,'[1]terceros cto'!B$1:D$65536,3,0)</f>
        <v>PAIPA</v>
      </c>
      <c r="G650" s="21">
        <v>15516</v>
      </c>
      <c r="H650" s="9">
        <v>212</v>
      </c>
      <c r="I650" s="30">
        <v>1063137</v>
      </c>
      <c r="J650" s="31">
        <v>0</v>
      </c>
      <c r="K650" s="22">
        <v>0</v>
      </c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  <c r="CJ650" s="9"/>
      <c r="CK650" s="9"/>
      <c r="CL650" s="9"/>
      <c r="CM650" s="9"/>
      <c r="CN650" s="9"/>
      <c r="CO650" s="9"/>
      <c r="CP650" s="9"/>
      <c r="CQ650" s="9"/>
      <c r="CR650" s="9"/>
      <c r="CS650" s="9"/>
      <c r="CT650" s="9"/>
      <c r="CU650" s="9"/>
      <c r="CV650" s="9"/>
      <c r="CW650" s="9"/>
      <c r="CX650" s="9"/>
      <c r="CY650" s="9"/>
      <c r="CZ650" s="9"/>
      <c r="DA650" s="9"/>
      <c r="DB650" s="9"/>
      <c r="DC650" s="9"/>
      <c r="DD650" s="9"/>
      <c r="DE650" s="9"/>
      <c r="DF650" s="9"/>
      <c r="DG650" s="9"/>
      <c r="DH650" s="9"/>
      <c r="DI650" s="9"/>
      <c r="DJ650" s="9"/>
      <c r="DK650" s="9"/>
      <c r="DL650" s="9"/>
      <c r="DM650" s="9"/>
      <c r="DN650" s="9"/>
      <c r="DO650" s="9"/>
      <c r="DP650" s="9"/>
      <c r="DQ650" s="9"/>
      <c r="DR650" s="9"/>
      <c r="DS650" s="9"/>
      <c r="DT650" s="9"/>
      <c r="DU650" s="9"/>
      <c r="DV650" s="9"/>
      <c r="DW650" s="9"/>
      <c r="DX650" s="9"/>
      <c r="DY650" s="9"/>
      <c r="DZ650" s="9"/>
      <c r="EA650" s="9"/>
      <c r="EB650" s="9"/>
      <c r="EC650" s="9"/>
      <c r="ED650" s="9"/>
      <c r="EE650" s="9"/>
      <c r="EF650" s="9"/>
      <c r="EG650" s="9"/>
      <c r="EH650" s="9"/>
      <c r="EI650" s="9"/>
      <c r="EJ650" s="9"/>
      <c r="EK650" s="9"/>
      <c r="EL650" s="9"/>
    </row>
    <row r="651" spans="1:142" x14ac:dyDescent="0.35">
      <c r="A651" s="9">
        <v>901608694</v>
      </c>
      <c r="B651" s="19">
        <v>0</v>
      </c>
      <c r="C651" s="9" t="str">
        <f>VLOOKUP(A651,'[1]terceros cto'!A$1:B$65536,2,0)</f>
        <v>IEW DEVELOPMENT SAS</v>
      </c>
      <c r="D651" s="20" t="str">
        <f>VLOOKUP(C651,'[1]terceros cto'!B$1:F$65536,5,0)</f>
        <v>desarrollo@iewdevelopment.com.co</v>
      </c>
      <c r="E651" s="21" t="s">
        <v>2252</v>
      </c>
      <c r="F651" s="9" t="str">
        <f>VLOOKUP(C651,'[1]terceros cto'!B$1:D$65536,3,0)</f>
        <v>Paipa</v>
      </c>
      <c r="G651" s="21">
        <v>15516</v>
      </c>
      <c r="H651" s="9">
        <v>212</v>
      </c>
      <c r="I651" s="28">
        <v>50000</v>
      </c>
      <c r="J651" s="29">
        <v>0</v>
      </c>
      <c r="K651" s="22">
        <v>0</v>
      </c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  <c r="CD651" s="9"/>
      <c r="CE651" s="9"/>
      <c r="CF651" s="9"/>
      <c r="CG651" s="9"/>
      <c r="CH651" s="9"/>
      <c r="CI651" s="9"/>
      <c r="CJ651" s="9"/>
      <c r="CK651" s="9"/>
      <c r="CL651" s="9"/>
      <c r="CM651" s="9"/>
      <c r="CN651" s="9"/>
      <c r="CO651" s="9"/>
      <c r="CP651" s="9"/>
      <c r="CQ651" s="9"/>
      <c r="CR651" s="9"/>
      <c r="CS651" s="9"/>
      <c r="CT651" s="9"/>
      <c r="CU651" s="9"/>
      <c r="CV651" s="9"/>
      <c r="CW651" s="9"/>
      <c r="CX651" s="9"/>
      <c r="CY651" s="9"/>
      <c r="CZ651" s="9"/>
      <c r="DA651" s="9"/>
      <c r="DB651" s="9"/>
      <c r="DC651" s="9"/>
      <c r="DD651" s="9"/>
      <c r="DE651" s="9"/>
      <c r="DF651" s="9"/>
      <c r="DG651" s="9"/>
      <c r="DH651" s="9"/>
      <c r="DI651" s="9"/>
      <c r="DJ651" s="9"/>
      <c r="DK651" s="9"/>
      <c r="DL651" s="9"/>
      <c r="DM651" s="9"/>
      <c r="DN651" s="9"/>
      <c r="DO651" s="9"/>
      <c r="DP651" s="9"/>
      <c r="DQ651" s="9"/>
      <c r="DR651" s="9"/>
      <c r="DS651" s="9"/>
      <c r="DT651" s="9"/>
      <c r="DU651" s="9"/>
      <c r="DV651" s="9"/>
      <c r="DW651" s="9"/>
      <c r="DX651" s="9"/>
      <c r="DY651" s="9"/>
      <c r="DZ651" s="9"/>
      <c r="EA651" s="9"/>
      <c r="EB651" s="9"/>
      <c r="EC651" s="9"/>
      <c r="ED651" s="9"/>
      <c r="EE651" s="9"/>
      <c r="EF651" s="9"/>
      <c r="EG651" s="9"/>
      <c r="EH651" s="9"/>
      <c r="EI651" s="9"/>
      <c r="EJ651" s="9"/>
      <c r="EK651" s="9"/>
      <c r="EL651" s="9"/>
    </row>
    <row r="652" spans="1:142" x14ac:dyDescent="0.35">
      <c r="A652" s="9">
        <v>901631802</v>
      </c>
      <c r="B652" s="19">
        <v>6</v>
      </c>
      <c r="C652" s="9" t="str">
        <f>VLOOKUP(A652,'[1]terceros cto'!A$1:B$65536,2,0)</f>
        <v>INDUSTRIA SANTIVAL SAS</v>
      </c>
      <c r="D652" s="20" t="str">
        <f>VLOOKUP(C652,'[1]terceros cto'!B$1:F$65536,5,0)</f>
        <v>productosantival@gmail.com</v>
      </c>
      <c r="E652" s="21" t="s">
        <v>2252</v>
      </c>
      <c r="F652" s="9" t="str">
        <f>VLOOKUP(C652,'[1]terceros cto'!B$1:D$65536,3,0)</f>
        <v>FINCA VILLA LIZ</v>
      </c>
      <c r="G652" s="21">
        <v>15516</v>
      </c>
      <c r="H652" s="9">
        <v>212</v>
      </c>
      <c r="I652" s="30">
        <v>150004</v>
      </c>
      <c r="J652" s="31">
        <v>0</v>
      </c>
      <c r="K652" s="22">
        <v>0</v>
      </c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  <c r="CJ652" s="9"/>
      <c r="CK652" s="9"/>
      <c r="CL652" s="9"/>
      <c r="CM652" s="9"/>
      <c r="CN652" s="9"/>
      <c r="CO652" s="9"/>
      <c r="CP652" s="9"/>
      <c r="CQ652" s="9"/>
      <c r="CR652" s="9"/>
      <c r="CS652" s="9"/>
      <c r="CT652" s="9"/>
      <c r="CU652" s="9"/>
      <c r="CV652" s="9"/>
      <c r="CW652" s="9"/>
      <c r="CX652" s="9"/>
      <c r="CY652" s="9"/>
      <c r="CZ652" s="9"/>
      <c r="DA652" s="9"/>
      <c r="DB652" s="9"/>
      <c r="DC652" s="9"/>
      <c r="DD652" s="9"/>
      <c r="DE652" s="9"/>
      <c r="DF652" s="9"/>
      <c r="DG652" s="9"/>
      <c r="DH652" s="9"/>
      <c r="DI652" s="9"/>
      <c r="DJ652" s="9"/>
      <c r="DK652" s="9"/>
      <c r="DL652" s="9"/>
      <c r="DM652" s="9"/>
      <c r="DN652" s="9"/>
      <c r="DO652" s="9"/>
      <c r="DP652" s="9"/>
      <c r="DQ652" s="9"/>
      <c r="DR652" s="9"/>
      <c r="DS652" s="9"/>
      <c r="DT652" s="9"/>
      <c r="DU652" s="9"/>
      <c r="DV652" s="9"/>
      <c r="DW652" s="9"/>
      <c r="DX652" s="9"/>
      <c r="DY652" s="9"/>
      <c r="DZ652" s="9"/>
      <c r="EA652" s="9"/>
      <c r="EB652" s="9"/>
      <c r="EC652" s="9"/>
      <c r="ED652" s="9"/>
      <c r="EE652" s="9"/>
      <c r="EF652" s="9"/>
      <c r="EG652" s="9"/>
      <c r="EH652" s="9"/>
      <c r="EI652" s="9"/>
      <c r="EJ652" s="9"/>
      <c r="EK652" s="9"/>
      <c r="EL652" s="9"/>
    </row>
    <row r="653" spans="1:142" x14ac:dyDescent="0.35">
      <c r="A653" s="9">
        <v>901635085</v>
      </c>
      <c r="B653" s="19">
        <v>1</v>
      </c>
      <c r="C653" s="9" t="str">
        <f>VLOOKUP(A653,'[1]terceros cto'!A$1:B$65536,2,0)</f>
        <v>SIN REPORTES Y SOLUCIONES SAS</v>
      </c>
      <c r="D653" s="20" t="str">
        <f>VLOOKUP(C653,'[1]terceros cto'!B$1:F$65536,5,0)</f>
        <v>sinreportessas@hotmail.com</v>
      </c>
      <c r="E653" s="21" t="s">
        <v>2252</v>
      </c>
      <c r="F653" s="9" t="str">
        <f>VLOOKUP(C653,'[1]terceros cto'!B$1:D$65536,3,0)</f>
        <v>Paipa</v>
      </c>
      <c r="G653" s="21">
        <v>15516</v>
      </c>
      <c r="H653" s="9">
        <v>212</v>
      </c>
      <c r="I653" s="28">
        <v>160065</v>
      </c>
      <c r="J653" s="29">
        <v>0</v>
      </c>
      <c r="K653" s="22">
        <v>0</v>
      </c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  <c r="CD653" s="9"/>
      <c r="CE653" s="9"/>
      <c r="CF653" s="9"/>
      <c r="CG653" s="9"/>
      <c r="CH653" s="9"/>
      <c r="CI653" s="9"/>
      <c r="CJ653" s="9"/>
      <c r="CK653" s="9"/>
      <c r="CL653" s="9"/>
      <c r="CM653" s="9"/>
      <c r="CN653" s="9"/>
      <c r="CO653" s="9"/>
      <c r="CP653" s="9"/>
      <c r="CQ653" s="9"/>
      <c r="CR653" s="9"/>
      <c r="CS653" s="9"/>
      <c r="CT653" s="9"/>
      <c r="CU653" s="9"/>
      <c r="CV653" s="9"/>
      <c r="CW653" s="9"/>
      <c r="CX653" s="9"/>
      <c r="CY653" s="9"/>
      <c r="CZ653" s="9"/>
      <c r="DA653" s="9"/>
      <c r="DB653" s="9"/>
      <c r="DC653" s="9"/>
      <c r="DD653" s="9"/>
      <c r="DE653" s="9"/>
      <c r="DF653" s="9"/>
      <c r="DG653" s="9"/>
      <c r="DH653" s="9"/>
      <c r="DI653" s="9"/>
      <c r="DJ653" s="9"/>
      <c r="DK653" s="9"/>
      <c r="DL653" s="9"/>
      <c r="DM653" s="9"/>
      <c r="DN653" s="9"/>
      <c r="DO653" s="9"/>
      <c r="DP653" s="9"/>
      <c r="DQ653" s="9"/>
      <c r="DR653" s="9"/>
      <c r="DS653" s="9"/>
      <c r="DT653" s="9"/>
      <c r="DU653" s="9"/>
      <c r="DV653" s="9"/>
      <c r="DW653" s="9"/>
      <c r="DX653" s="9"/>
      <c r="DY653" s="9"/>
      <c r="DZ653" s="9"/>
      <c r="EA653" s="9"/>
      <c r="EB653" s="9"/>
      <c r="EC653" s="9"/>
      <c r="ED653" s="9"/>
      <c r="EE653" s="9"/>
      <c r="EF653" s="9"/>
      <c r="EG653" s="9"/>
      <c r="EH653" s="9"/>
      <c r="EI653" s="9"/>
      <c r="EJ653" s="9"/>
      <c r="EK653" s="9"/>
      <c r="EL653" s="9"/>
    </row>
    <row r="654" spans="1:142" x14ac:dyDescent="0.35">
      <c r="A654" s="9">
        <v>901636044</v>
      </c>
      <c r="B654" s="19">
        <v>2</v>
      </c>
      <c r="C654" s="9" t="str">
        <f>VLOOKUP(A654,'[1]terceros cto'!A$1:B$65536,2,0)</f>
        <v>BAC CONSTRUCTORES</v>
      </c>
      <c r="D654" s="20" t="str">
        <f>VLOOKUP(C654,'[1]terceros cto'!B$1:F$65536,5,0)</f>
        <v>constructoresbac@gmail.com</v>
      </c>
      <c r="E654" s="21" t="s">
        <v>2252</v>
      </c>
      <c r="F654" s="9" t="str">
        <f>VLOOKUP(C654,'[1]terceros cto'!B$1:D$65536,3,0)</f>
        <v>Carrera 26#2-06</v>
      </c>
      <c r="G654" s="21">
        <v>15516</v>
      </c>
      <c r="H654" s="9">
        <v>212</v>
      </c>
      <c r="I654" s="30">
        <v>50005</v>
      </c>
      <c r="J654" s="31">
        <v>0</v>
      </c>
      <c r="K654" s="22">
        <v>0</v>
      </c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  <c r="CJ654" s="9"/>
      <c r="CK654" s="9"/>
      <c r="CL654" s="9"/>
      <c r="CM654" s="9"/>
      <c r="CN654" s="9"/>
      <c r="CO654" s="9"/>
      <c r="CP654" s="9"/>
      <c r="CQ654" s="9"/>
      <c r="CR654" s="9"/>
      <c r="CS654" s="9"/>
      <c r="CT654" s="9"/>
      <c r="CU654" s="9"/>
      <c r="CV654" s="9"/>
      <c r="CW654" s="9"/>
      <c r="CX654" s="9"/>
      <c r="CY654" s="9"/>
      <c r="CZ654" s="9"/>
      <c r="DA654" s="9"/>
      <c r="DB654" s="9"/>
      <c r="DC654" s="9"/>
      <c r="DD654" s="9"/>
      <c r="DE654" s="9"/>
      <c r="DF654" s="9"/>
      <c r="DG654" s="9"/>
      <c r="DH654" s="9"/>
      <c r="DI654" s="9"/>
      <c r="DJ654" s="9"/>
      <c r="DK654" s="9"/>
      <c r="DL654" s="9"/>
      <c r="DM654" s="9"/>
      <c r="DN654" s="9"/>
      <c r="DO654" s="9"/>
      <c r="DP654" s="9"/>
      <c r="DQ654" s="9"/>
      <c r="DR654" s="9"/>
      <c r="DS654" s="9"/>
      <c r="DT654" s="9"/>
      <c r="DU654" s="9"/>
      <c r="DV654" s="9"/>
      <c r="DW654" s="9"/>
      <c r="DX654" s="9"/>
      <c r="DY654" s="9"/>
      <c r="DZ654" s="9"/>
      <c r="EA654" s="9"/>
      <c r="EB654" s="9"/>
      <c r="EC654" s="9"/>
      <c r="ED654" s="9"/>
      <c r="EE654" s="9"/>
      <c r="EF654" s="9"/>
      <c r="EG654" s="9"/>
      <c r="EH654" s="9"/>
      <c r="EI654" s="9"/>
      <c r="EJ654" s="9"/>
      <c r="EK654" s="9"/>
      <c r="EL654" s="9"/>
    </row>
    <row r="655" spans="1:142" x14ac:dyDescent="0.35">
      <c r="A655" s="9">
        <v>901658117</v>
      </c>
      <c r="B655" s="19">
        <v>6</v>
      </c>
      <c r="C655" s="9" t="str">
        <f>VLOOKUP(A655,'[1]terceros cto'!A$1:B$65536,2,0)</f>
        <v>IDEARK OBRAS CIVILES SAS</v>
      </c>
      <c r="D655" s="20" t="str">
        <f>VLOOKUP(C655,'[1]terceros cto'!B$1:F$65536,5,0)</f>
        <v>idearkobrasciviles@gmail.com</v>
      </c>
      <c r="E655" s="21" t="s">
        <v>2252</v>
      </c>
      <c r="F655" s="9" t="str">
        <f>VLOOKUP(C655,'[1]terceros cto'!B$1:D$65536,3,0)</f>
        <v>CR 27 20 A -41</v>
      </c>
      <c r="G655" s="21">
        <v>15516</v>
      </c>
      <c r="H655" s="9">
        <v>212</v>
      </c>
      <c r="I655" s="28">
        <v>1975933</v>
      </c>
      <c r="J655" s="29">
        <v>0</v>
      </c>
      <c r="K655" s="22">
        <v>0</v>
      </c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  <c r="CJ655" s="9"/>
      <c r="CK655" s="9"/>
      <c r="CL655" s="9"/>
      <c r="CM655" s="9"/>
      <c r="CN655" s="9"/>
      <c r="CO655" s="9"/>
      <c r="CP655" s="9"/>
      <c r="CQ655" s="9"/>
      <c r="CR655" s="9"/>
      <c r="CS655" s="9"/>
      <c r="CT655" s="9"/>
      <c r="CU655" s="9"/>
      <c r="CV655" s="9"/>
      <c r="CW655" s="9"/>
      <c r="CX655" s="9"/>
      <c r="CY655" s="9"/>
      <c r="CZ655" s="9"/>
      <c r="DA655" s="9"/>
      <c r="DB655" s="9"/>
      <c r="DC655" s="9"/>
      <c r="DD655" s="9"/>
      <c r="DE655" s="9"/>
      <c r="DF655" s="9"/>
      <c r="DG655" s="9"/>
      <c r="DH655" s="9"/>
      <c r="DI655" s="9"/>
      <c r="DJ655" s="9"/>
      <c r="DK655" s="9"/>
      <c r="DL655" s="9"/>
      <c r="DM655" s="9"/>
      <c r="DN655" s="9"/>
      <c r="DO655" s="9"/>
      <c r="DP655" s="9"/>
      <c r="DQ655" s="9"/>
      <c r="DR655" s="9"/>
      <c r="DS655" s="9"/>
      <c r="DT655" s="9"/>
      <c r="DU655" s="9"/>
      <c r="DV655" s="9"/>
      <c r="DW655" s="9"/>
      <c r="DX655" s="9"/>
      <c r="DY655" s="9"/>
      <c r="DZ655" s="9"/>
      <c r="EA655" s="9"/>
      <c r="EB655" s="9"/>
      <c r="EC655" s="9"/>
      <c r="ED655" s="9"/>
      <c r="EE655" s="9"/>
      <c r="EF655" s="9"/>
      <c r="EG655" s="9"/>
      <c r="EH655" s="9"/>
      <c r="EI655" s="9"/>
      <c r="EJ655" s="9"/>
      <c r="EK655" s="9"/>
      <c r="EL655" s="9"/>
    </row>
    <row r="656" spans="1:142" x14ac:dyDescent="0.35">
      <c r="A656" s="9">
        <v>901660889</v>
      </c>
      <c r="B656" s="19">
        <v>1</v>
      </c>
      <c r="C656" s="9" t="str">
        <f>VLOOKUP(A656,'[1]terceros cto'!A$1:B$65536,2,0)</f>
        <v>CLUB DEPORTIVO TALENTOS COLOMBIA</v>
      </c>
      <c r="D656" s="20" t="str">
        <f>VLOOKUP(C656,'[1]terceros cto'!B$1:F$65536,5,0)</f>
        <v>ctalentoscolombia@gmail.com</v>
      </c>
      <c r="E656" s="21" t="s">
        <v>2252</v>
      </c>
      <c r="F656" s="9" t="str">
        <f>VLOOKUP(C656,'[1]terceros cto'!B$1:D$65536,3,0)</f>
        <v>PAIPA</v>
      </c>
      <c r="G656" s="21">
        <v>15516</v>
      </c>
      <c r="H656" s="9">
        <v>212</v>
      </c>
      <c r="I656" s="30">
        <v>100000</v>
      </c>
      <c r="J656" s="31">
        <v>0</v>
      </c>
      <c r="K656" s="22">
        <v>0</v>
      </c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9"/>
      <c r="CF656" s="9"/>
      <c r="CG656" s="9"/>
      <c r="CH656" s="9"/>
      <c r="CI656" s="9"/>
      <c r="CJ656" s="9"/>
      <c r="CK656" s="9"/>
      <c r="CL656" s="9"/>
      <c r="CM656" s="9"/>
      <c r="CN656" s="9"/>
      <c r="CO656" s="9"/>
      <c r="CP656" s="9"/>
      <c r="CQ656" s="9"/>
      <c r="CR656" s="9"/>
      <c r="CS656" s="9"/>
      <c r="CT656" s="9"/>
      <c r="CU656" s="9"/>
      <c r="CV656" s="9"/>
      <c r="CW656" s="9"/>
      <c r="CX656" s="9"/>
      <c r="CY656" s="9"/>
      <c r="CZ656" s="9"/>
      <c r="DA656" s="9"/>
      <c r="DB656" s="9"/>
      <c r="DC656" s="9"/>
      <c r="DD656" s="9"/>
      <c r="DE656" s="9"/>
      <c r="DF656" s="9"/>
      <c r="DG656" s="9"/>
      <c r="DH656" s="9"/>
      <c r="DI656" s="9"/>
      <c r="DJ656" s="9"/>
      <c r="DK656" s="9"/>
      <c r="DL656" s="9"/>
      <c r="DM656" s="9"/>
      <c r="DN656" s="9"/>
      <c r="DO656" s="9"/>
      <c r="DP656" s="9"/>
      <c r="DQ656" s="9"/>
      <c r="DR656" s="9"/>
      <c r="DS656" s="9"/>
      <c r="DT656" s="9"/>
      <c r="DU656" s="9"/>
      <c r="DV656" s="9"/>
      <c r="DW656" s="9"/>
      <c r="DX656" s="9"/>
      <c r="DY656" s="9"/>
      <c r="DZ656" s="9"/>
      <c r="EA656" s="9"/>
      <c r="EB656" s="9"/>
      <c r="EC656" s="9"/>
      <c r="ED656" s="9"/>
      <c r="EE656" s="9"/>
      <c r="EF656" s="9"/>
      <c r="EG656" s="9"/>
      <c r="EH656" s="9"/>
      <c r="EI656" s="9"/>
      <c r="EJ656" s="9"/>
      <c r="EK656" s="9"/>
      <c r="EL656" s="9"/>
    </row>
    <row r="657" spans="1:142" x14ac:dyDescent="0.35">
      <c r="A657" s="9">
        <v>901662139</v>
      </c>
      <c r="B657" s="19">
        <v>3</v>
      </c>
      <c r="C657" s="9" t="str">
        <f>VLOOKUP(A657,'[1]terceros cto'!A$1:B$65536,2,0)</f>
        <v>CORPOAVANZANDO</v>
      </c>
      <c r="D657" s="20" t="str">
        <f>VLOOKUP(C657,'[1]terceros cto'!B$1:F$65536,5,0)</f>
        <v>corpoavanza@gmail.com</v>
      </c>
      <c r="E657" s="21" t="s">
        <v>2252</v>
      </c>
      <c r="F657" s="9" t="str">
        <f>VLOOKUP(C657,'[1]terceros cto'!B$1:D$65536,3,0)</f>
        <v>Paipa</v>
      </c>
      <c r="G657" s="21">
        <v>15516</v>
      </c>
      <c r="H657" s="9">
        <v>212</v>
      </c>
      <c r="I657" s="28">
        <v>50000</v>
      </c>
      <c r="J657" s="29">
        <v>0</v>
      </c>
      <c r="K657" s="22">
        <v>0</v>
      </c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  <c r="CJ657" s="9"/>
      <c r="CK657" s="9"/>
      <c r="CL657" s="9"/>
      <c r="CM657" s="9"/>
      <c r="CN657" s="9"/>
      <c r="CO657" s="9"/>
      <c r="CP657" s="9"/>
      <c r="CQ657" s="9"/>
      <c r="CR657" s="9"/>
      <c r="CS657" s="9"/>
      <c r="CT657" s="9"/>
      <c r="CU657" s="9"/>
      <c r="CV657" s="9"/>
      <c r="CW657" s="9"/>
      <c r="CX657" s="9"/>
      <c r="CY657" s="9"/>
      <c r="CZ657" s="9"/>
      <c r="DA657" s="9"/>
      <c r="DB657" s="9"/>
      <c r="DC657" s="9"/>
      <c r="DD657" s="9"/>
      <c r="DE657" s="9"/>
      <c r="DF657" s="9"/>
      <c r="DG657" s="9"/>
      <c r="DH657" s="9"/>
      <c r="DI657" s="9"/>
      <c r="DJ657" s="9"/>
      <c r="DK657" s="9"/>
      <c r="DL657" s="9"/>
      <c r="DM657" s="9"/>
      <c r="DN657" s="9"/>
      <c r="DO657" s="9"/>
      <c r="DP657" s="9"/>
      <c r="DQ657" s="9"/>
      <c r="DR657" s="9"/>
      <c r="DS657" s="9"/>
      <c r="DT657" s="9"/>
      <c r="DU657" s="9"/>
      <c r="DV657" s="9"/>
      <c r="DW657" s="9"/>
      <c r="DX657" s="9"/>
      <c r="DY657" s="9"/>
      <c r="DZ657" s="9"/>
      <c r="EA657" s="9"/>
      <c r="EB657" s="9"/>
      <c r="EC657" s="9"/>
      <c r="ED657" s="9"/>
      <c r="EE657" s="9"/>
      <c r="EF657" s="9"/>
      <c r="EG657" s="9"/>
      <c r="EH657" s="9"/>
      <c r="EI657" s="9"/>
      <c r="EJ657" s="9"/>
      <c r="EK657" s="9"/>
      <c r="EL657" s="9"/>
    </row>
    <row r="658" spans="1:142" x14ac:dyDescent="0.35">
      <c r="A658" s="9">
        <v>901662589</v>
      </c>
      <c r="B658" s="19">
        <v>4</v>
      </c>
      <c r="C658" s="9" t="str">
        <f>VLOOKUP(A658,'[1]terceros cto'!A$1:B$65536,2,0)</f>
        <v>LEGUIZAMO IDEARK SAS</v>
      </c>
      <c r="D658" s="20" t="str">
        <f>VLOOKUP(C658,'[1]terceros cto'!B$1:F$65536,5,0)</f>
        <v>leguizamoidearksas@gmail.com</v>
      </c>
      <c r="E658" s="21" t="s">
        <v>2252</v>
      </c>
      <c r="F658" s="9" t="str">
        <f>VLOOKUP(C658,'[1]terceros cto'!B$1:D$65536,3,0)</f>
        <v>PAIPA</v>
      </c>
      <c r="G658" s="21">
        <v>15516</v>
      </c>
      <c r="H658" s="9">
        <v>212</v>
      </c>
      <c r="I658" s="30">
        <v>152773</v>
      </c>
      <c r="J658" s="31">
        <v>0</v>
      </c>
      <c r="K658" s="22">
        <v>0</v>
      </c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  <c r="CJ658" s="9"/>
      <c r="CK658" s="9"/>
      <c r="CL658" s="9"/>
      <c r="CM658" s="9"/>
      <c r="CN658" s="9"/>
      <c r="CO658" s="9"/>
      <c r="CP658" s="9"/>
      <c r="CQ658" s="9"/>
      <c r="CR658" s="9"/>
      <c r="CS658" s="9"/>
      <c r="CT658" s="9"/>
      <c r="CU658" s="9"/>
      <c r="CV658" s="9"/>
      <c r="CW658" s="9"/>
      <c r="CX658" s="9"/>
      <c r="CY658" s="9"/>
      <c r="CZ658" s="9"/>
      <c r="DA658" s="9"/>
      <c r="DB658" s="9"/>
      <c r="DC658" s="9"/>
      <c r="DD658" s="9"/>
      <c r="DE658" s="9"/>
      <c r="DF658" s="9"/>
      <c r="DG658" s="9"/>
      <c r="DH658" s="9"/>
      <c r="DI658" s="9"/>
      <c r="DJ658" s="9"/>
      <c r="DK658" s="9"/>
      <c r="DL658" s="9"/>
      <c r="DM658" s="9"/>
      <c r="DN658" s="9"/>
      <c r="DO658" s="9"/>
      <c r="DP658" s="9"/>
      <c r="DQ658" s="9"/>
      <c r="DR658" s="9"/>
      <c r="DS658" s="9"/>
      <c r="DT658" s="9"/>
      <c r="DU658" s="9"/>
      <c r="DV658" s="9"/>
      <c r="DW658" s="9"/>
      <c r="DX658" s="9"/>
      <c r="DY658" s="9"/>
      <c r="DZ658" s="9"/>
      <c r="EA658" s="9"/>
      <c r="EB658" s="9"/>
      <c r="EC658" s="9"/>
      <c r="ED658" s="9"/>
      <c r="EE658" s="9"/>
      <c r="EF658" s="9"/>
      <c r="EG658" s="9"/>
      <c r="EH658" s="9"/>
      <c r="EI658" s="9"/>
      <c r="EJ658" s="9"/>
      <c r="EK658" s="9"/>
      <c r="EL658" s="9"/>
    </row>
    <row r="659" spans="1:142" x14ac:dyDescent="0.35">
      <c r="A659" s="9">
        <v>901668793</v>
      </c>
      <c r="B659" s="19">
        <v>8</v>
      </c>
      <c r="C659" s="9" t="str">
        <f>VLOOKUP(A659,'[1]terceros cto'!A$1:B$65536,2,0)</f>
        <v>MUNDIAL DE CAMARAS S.A.S</v>
      </c>
      <c r="D659" s="20" t="str">
        <f>VLOOKUP(C659,'[1]terceros cto'!B$1:F$65536,5,0)</f>
        <v>servialar@hotmail.com</v>
      </c>
      <c r="E659" s="21" t="s">
        <v>2252</v>
      </c>
      <c r="F659" s="9" t="str">
        <f>VLOOKUP(C659,'[1]terceros cto'!B$1:D$65536,3,0)</f>
        <v>CRA 10 N-21-35</v>
      </c>
      <c r="G659" s="21">
        <v>15516</v>
      </c>
      <c r="H659" s="9">
        <v>212</v>
      </c>
      <c r="I659" s="28">
        <v>80036</v>
      </c>
      <c r="J659" s="29">
        <v>0</v>
      </c>
      <c r="K659" s="22">
        <v>0</v>
      </c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  <c r="CD659" s="9"/>
      <c r="CE659" s="9"/>
      <c r="CF659" s="9"/>
      <c r="CG659" s="9"/>
      <c r="CH659" s="9"/>
      <c r="CI659" s="9"/>
      <c r="CJ659" s="9"/>
      <c r="CK659" s="9"/>
      <c r="CL659" s="9"/>
      <c r="CM659" s="9"/>
      <c r="CN659" s="9"/>
      <c r="CO659" s="9"/>
      <c r="CP659" s="9"/>
      <c r="CQ659" s="9"/>
      <c r="CR659" s="9"/>
      <c r="CS659" s="9"/>
      <c r="CT659" s="9"/>
      <c r="CU659" s="9"/>
      <c r="CV659" s="9"/>
      <c r="CW659" s="9"/>
      <c r="CX659" s="9"/>
      <c r="CY659" s="9"/>
      <c r="CZ659" s="9"/>
      <c r="DA659" s="9"/>
      <c r="DB659" s="9"/>
      <c r="DC659" s="9"/>
      <c r="DD659" s="9"/>
      <c r="DE659" s="9"/>
      <c r="DF659" s="9"/>
      <c r="DG659" s="9"/>
      <c r="DH659" s="9"/>
      <c r="DI659" s="9"/>
      <c r="DJ659" s="9"/>
      <c r="DK659" s="9"/>
      <c r="DL659" s="9"/>
      <c r="DM659" s="9"/>
      <c r="DN659" s="9"/>
      <c r="DO659" s="9"/>
      <c r="DP659" s="9"/>
      <c r="DQ659" s="9"/>
      <c r="DR659" s="9"/>
      <c r="DS659" s="9"/>
      <c r="DT659" s="9"/>
      <c r="DU659" s="9"/>
      <c r="DV659" s="9"/>
      <c r="DW659" s="9"/>
      <c r="DX659" s="9"/>
      <c r="DY659" s="9"/>
      <c r="DZ659" s="9"/>
      <c r="EA659" s="9"/>
      <c r="EB659" s="9"/>
      <c r="EC659" s="9"/>
      <c r="ED659" s="9"/>
      <c r="EE659" s="9"/>
      <c r="EF659" s="9"/>
      <c r="EG659" s="9"/>
      <c r="EH659" s="9"/>
      <c r="EI659" s="9"/>
      <c r="EJ659" s="9"/>
      <c r="EK659" s="9"/>
      <c r="EL659" s="9"/>
    </row>
    <row r="660" spans="1:142" x14ac:dyDescent="0.35">
      <c r="A660" s="9">
        <v>901671691</v>
      </c>
      <c r="B660" s="19">
        <v>6</v>
      </c>
      <c r="C660" s="9" t="str">
        <f>VLOOKUP(A660,'[1]terceros cto'!A$1:B$65536,2,0)</f>
        <v>AMA GROUP COLOMBIA SAS</v>
      </c>
      <c r="D660" s="20" t="str">
        <f>VLOOKUP(C660,'[1]terceros cto'!B$1:F$65536,5,0)</f>
        <v>amagroupcolombiasas@gmail.com</v>
      </c>
      <c r="E660" s="21" t="s">
        <v>2252</v>
      </c>
      <c r="F660" s="9" t="str">
        <f>VLOOKUP(C660,'[1]terceros cto'!B$1:D$65536,3,0)</f>
        <v>Paipa</v>
      </c>
      <c r="G660" s="21">
        <v>15516</v>
      </c>
      <c r="H660" s="9">
        <v>212</v>
      </c>
      <c r="I660" s="30">
        <v>132261</v>
      </c>
      <c r="J660" s="31">
        <v>0</v>
      </c>
      <c r="K660" s="22">
        <v>0</v>
      </c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  <c r="CJ660" s="9"/>
      <c r="CK660" s="9"/>
      <c r="CL660" s="9"/>
      <c r="CM660" s="9"/>
      <c r="CN660" s="9"/>
      <c r="CO660" s="9"/>
      <c r="CP660" s="9"/>
      <c r="CQ660" s="9"/>
      <c r="CR660" s="9"/>
      <c r="CS660" s="9"/>
      <c r="CT660" s="9"/>
      <c r="CU660" s="9"/>
      <c r="CV660" s="9"/>
      <c r="CW660" s="9"/>
      <c r="CX660" s="9"/>
      <c r="CY660" s="9"/>
      <c r="CZ660" s="9"/>
      <c r="DA660" s="9"/>
      <c r="DB660" s="9"/>
      <c r="DC660" s="9"/>
      <c r="DD660" s="9"/>
      <c r="DE660" s="9"/>
      <c r="DF660" s="9"/>
      <c r="DG660" s="9"/>
      <c r="DH660" s="9"/>
      <c r="DI660" s="9"/>
      <c r="DJ660" s="9"/>
      <c r="DK660" s="9"/>
      <c r="DL660" s="9"/>
      <c r="DM660" s="9"/>
      <c r="DN660" s="9"/>
      <c r="DO660" s="9"/>
      <c r="DP660" s="9"/>
      <c r="DQ660" s="9"/>
      <c r="DR660" s="9"/>
      <c r="DS660" s="9"/>
      <c r="DT660" s="9"/>
      <c r="DU660" s="9"/>
      <c r="DV660" s="9"/>
      <c r="DW660" s="9"/>
      <c r="DX660" s="9"/>
      <c r="DY660" s="9"/>
      <c r="DZ660" s="9"/>
      <c r="EA660" s="9"/>
      <c r="EB660" s="9"/>
      <c r="EC660" s="9"/>
      <c r="ED660" s="9"/>
      <c r="EE660" s="9"/>
      <c r="EF660" s="9"/>
      <c r="EG660" s="9"/>
      <c r="EH660" s="9"/>
      <c r="EI660" s="9"/>
      <c r="EJ660" s="9"/>
      <c r="EK660" s="9"/>
      <c r="EL660" s="9"/>
    </row>
    <row r="661" spans="1:142" x14ac:dyDescent="0.35">
      <c r="A661" s="9">
        <v>901684842</v>
      </c>
      <c r="B661" s="19">
        <v>8</v>
      </c>
      <c r="C661" s="9" t="str">
        <f>VLOOKUP(A661,'[1]terceros cto'!A$1:B$65536,2,0)</f>
        <v>COMERCIALIZADORA DE EXCEDENTES INDU</v>
      </c>
      <c r="D661" s="20" t="str">
        <f>VLOOKUP(C661,'[1]terceros cto'!B$1:F$65536,5,0)</f>
        <v>cenincolsas@gmail.com</v>
      </c>
      <c r="E661" s="21" t="s">
        <v>2252</v>
      </c>
      <c r="F661" s="9" t="str">
        <f>VLOOKUP(C661,'[1]terceros cto'!B$1:D$65536,3,0)</f>
        <v>CARRERA 28 # 7-52</v>
      </c>
      <c r="G661" s="21">
        <v>15516</v>
      </c>
      <c r="H661" s="9">
        <v>212</v>
      </c>
      <c r="I661" s="28">
        <v>100008</v>
      </c>
      <c r="J661" s="29">
        <v>0</v>
      </c>
      <c r="K661" s="22">
        <v>0</v>
      </c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/>
      <c r="CD661" s="9"/>
      <c r="CE661" s="9"/>
      <c r="CF661" s="9"/>
      <c r="CG661" s="9"/>
      <c r="CH661" s="9"/>
      <c r="CI661" s="9"/>
      <c r="CJ661" s="9"/>
      <c r="CK661" s="9"/>
      <c r="CL661" s="9"/>
      <c r="CM661" s="9"/>
      <c r="CN661" s="9"/>
      <c r="CO661" s="9"/>
      <c r="CP661" s="9"/>
      <c r="CQ661" s="9"/>
      <c r="CR661" s="9"/>
      <c r="CS661" s="9"/>
      <c r="CT661" s="9"/>
      <c r="CU661" s="9"/>
      <c r="CV661" s="9"/>
      <c r="CW661" s="9"/>
      <c r="CX661" s="9"/>
      <c r="CY661" s="9"/>
      <c r="CZ661" s="9"/>
      <c r="DA661" s="9"/>
      <c r="DB661" s="9"/>
      <c r="DC661" s="9"/>
      <c r="DD661" s="9"/>
      <c r="DE661" s="9"/>
      <c r="DF661" s="9"/>
      <c r="DG661" s="9"/>
      <c r="DH661" s="9"/>
      <c r="DI661" s="9"/>
      <c r="DJ661" s="9"/>
      <c r="DK661" s="9"/>
      <c r="DL661" s="9"/>
      <c r="DM661" s="9"/>
      <c r="DN661" s="9"/>
      <c r="DO661" s="9"/>
      <c r="DP661" s="9"/>
      <c r="DQ661" s="9"/>
      <c r="DR661" s="9"/>
      <c r="DS661" s="9"/>
      <c r="DT661" s="9"/>
      <c r="DU661" s="9"/>
      <c r="DV661" s="9"/>
      <c r="DW661" s="9"/>
      <c r="DX661" s="9"/>
      <c r="DY661" s="9"/>
      <c r="DZ661" s="9"/>
      <c r="EA661" s="9"/>
      <c r="EB661" s="9"/>
      <c r="EC661" s="9"/>
      <c r="ED661" s="9"/>
      <c r="EE661" s="9"/>
      <c r="EF661" s="9"/>
      <c r="EG661" s="9"/>
      <c r="EH661" s="9"/>
      <c r="EI661" s="9"/>
      <c r="EJ661" s="9"/>
      <c r="EK661" s="9"/>
      <c r="EL661" s="9"/>
    </row>
    <row r="662" spans="1:142" x14ac:dyDescent="0.35">
      <c r="A662" s="9">
        <v>901700644</v>
      </c>
      <c r="B662" s="19">
        <v>5</v>
      </c>
      <c r="C662" s="9" t="str">
        <f>VLOOKUP(A662,'[1]terceros cto'!A$1:B$65536,2,0)</f>
        <v>GESSTA CONSULTORÍA SAS</v>
      </c>
      <c r="D662" s="20" t="str">
        <f>VLOOKUP(C662,'[1]terceros cto'!B$1:F$65536,5,0)</f>
        <v>gestaconsultoria@gmail.com</v>
      </c>
      <c r="E662" s="21" t="s">
        <v>2252</v>
      </c>
      <c r="F662" s="9" t="str">
        <f>VLOOKUP(C662,'[1]terceros cto'!B$1:D$65536,3,0)</f>
        <v>Paipa</v>
      </c>
      <c r="G662" s="21">
        <v>15516</v>
      </c>
      <c r="H662" s="9">
        <v>212</v>
      </c>
      <c r="I662" s="30">
        <v>50000</v>
      </c>
      <c r="J662" s="31">
        <v>0</v>
      </c>
      <c r="K662" s="22">
        <v>0</v>
      </c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  <c r="CJ662" s="9"/>
      <c r="CK662" s="9"/>
      <c r="CL662" s="9"/>
      <c r="CM662" s="9"/>
      <c r="CN662" s="9"/>
      <c r="CO662" s="9"/>
      <c r="CP662" s="9"/>
      <c r="CQ662" s="9"/>
      <c r="CR662" s="9"/>
      <c r="CS662" s="9"/>
      <c r="CT662" s="9"/>
      <c r="CU662" s="9"/>
      <c r="CV662" s="9"/>
      <c r="CW662" s="9"/>
      <c r="CX662" s="9"/>
      <c r="CY662" s="9"/>
      <c r="CZ662" s="9"/>
      <c r="DA662" s="9"/>
      <c r="DB662" s="9"/>
      <c r="DC662" s="9"/>
      <c r="DD662" s="9"/>
      <c r="DE662" s="9"/>
      <c r="DF662" s="9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x14ac:dyDescent="0.35">
      <c r="A663" s="9">
        <v>901710303</v>
      </c>
      <c r="B663" s="19">
        <v>1</v>
      </c>
      <c r="C663" s="9" t="str">
        <f>VLOOKUP(A663,'[1]terceros cto'!A$1:B$65536,2,0)</f>
        <v>LEAF LABS</v>
      </c>
      <c r="D663" s="20" t="str">
        <f>VLOOKUP(C663,'[1]terceros cto'!B$1:F$65536,5,0)</f>
        <v>sebastian.roa@live.com</v>
      </c>
      <c r="E663" s="21" t="s">
        <v>2252</v>
      </c>
      <c r="F663" s="9" t="str">
        <f>VLOOKUP(C663,'[1]terceros cto'!B$1:D$65536,3,0)</f>
        <v>Paipa</v>
      </c>
      <c r="G663" s="21">
        <v>15516</v>
      </c>
      <c r="H663" s="9">
        <v>212</v>
      </c>
      <c r="I663" s="28">
        <v>2838975</v>
      </c>
      <c r="J663" s="29">
        <v>0</v>
      </c>
      <c r="K663" s="22">
        <v>0</v>
      </c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  <c r="CJ663" s="9"/>
      <c r="CK663" s="9"/>
      <c r="CL663" s="9"/>
      <c r="CM663" s="9"/>
      <c r="CN663" s="9"/>
      <c r="CO663" s="9"/>
      <c r="CP663" s="9"/>
      <c r="CQ663" s="9"/>
      <c r="CR663" s="9"/>
      <c r="CS663" s="9"/>
      <c r="CT663" s="9"/>
      <c r="CU663" s="9"/>
      <c r="CV663" s="9"/>
      <c r="CW663" s="9"/>
      <c r="CX663" s="9"/>
      <c r="CY663" s="9"/>
      <c r="CZ663" s="9"/>
      <c r="DA663" s="9"/>
      <c r="DB663" s="9"/>
      <c r="DC663" s="9"/>
      <c r="DD663" s="9"/>
      <c r="DE663" s="9"/>
      <c r="DF663" s="9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x14ac:dyDescent="0.35">
      <c r="A664" s="9">
        <v>901713311</v>
      </c>
      <c r="B664" s="19">
        <v>4</v>
      </c>
      <c r="C664" s="9" t="str">
        <f>VLOOKUP(A664,'[1]terceros cto'!A$1:B$65536,2,0)</f>
        <v>EMPRESA CONSTRUCTORA DE OBRAS ELÉCT</v>
      </c>
      <c r="D664" s="20" t="str">
        <f>VLOOKUP(C664,'[1]terceros cto'!B$1:F$65536,5,0)</f>
        <v>ecoelci65@gmail.com</v>
      </c>
      <c r="E664" s="21" t="s">
        <v>2252</v>
      </c>
      <c r="F664" s="9" t="str">
        <f>VLOOKUP(C664,'[1]terceros cto'!B$1:D$65536,3,0)</f>
        <v>CASA 106 MANZANA 4 PUEBLITO BOYACEN</v>
      </c>
      <c r="G664" s="21">
        <v>15516</v>
      </c>
      <c r="H664" s="9">
        <v>212</v>
      </c>
      <c r="I664" s="30">
        <v>8356269</v>
      </c>
      <c r="J664" s="31">
        <v>0</v>
      </c>
      <c r="K664" s="22">
        <v>0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  <c r="CJ664" s="9"/>
      <c r="CK664" s="9"/>
      <c r="CL664" s="9"/>
      <c r="CM664" s="9"/>
      <c r="CN664" s="9"/>
      <c r="CO664" s="9"/>
      <c r="CP664" s="9"/>
      <c r="CQ664" s="9"/>
      <c r="CR664" s="9"/>
      <c r="CS664" s="9"/>
      <c r="CT664" s="9"/>
      <c r="CU664" s="9"/>
      <c r="CV664" s="9"/>
      <c r="CW664" s="9"/>
      <c r="CX664" s="9"/>
      <c r="CY664" s="9"/>
      <c r="CZ664" s="9"/>
      <c r="DA664" s="9"/>
      <c r="DB664" s="9"/>
      <c r="DC664" s="9"/>
      <c r="DD664" s="9"/>
      <c r="DE664" s="9"/>
      <c r="DF664" s="9"/>
      <c r="DG664" s="9"/>
      <c r="DH664" s="9"/>
      <c r="DI664" s="9"/>
      <c r="DJ664" s="9"/>
      <c r="DK664" s="9"/>
      <c r="DL664" s="9"/>
      <c r="DM664" s="9"/>
      <c r="DN664" s="9"/>
      <c r="DO664" s="9"/>
      <c r="DP664" s="9"/>
      <c r="DQ664" s="9"/>
      <c r="DR664" s="9"/>
      <c r="DS664" s="9"/>
      <c r="DT664" s="9"/>
      <c r="DU664" s="9"/>
      <c r="DV664" s="9"/>
      <c r="DW664" s="9"/>
      <c r="DX664" s="9"/>
      <c r="DY664" s="9"/>
      <c r="DZ664" s="9"/>
      <c r="EA664" s="9"/>
      <c r="EB664" s="9"/>
      <c r="EC664" s="9"/>
      <c r="ED664" s="9"/>
      <c r="EE664" s="9"/>
      <c r="EF664" s="9"/>
      <c r="EG664" s="9"/>
      <c r="EH664" s="9"/>
      <c r="EI664" s="9"/>
      <c r="EJ664" s="9"/>
      <c r="EK664" s="9"/>
      <c r="EL664" s="9"/>
    </row>
    <row r="665" spans="1:142" x14ac:dyDescent="0.35">
      <c r="A665" s="9">
        <v>901716812</v>
      </c>
      <c r="B665" s="19">
        <v>6</v>
      </c>
      <c r="C665" s="9" t="str">
        <f>VLOOKUP(A665,'[1]terceros cto'!A$1:B$65536,2,0)</f>
        <v>CONSORCIO GCIPA 2023</v>
      </c>
      <c r="D665" s="20" t="str">
        <f>VLOOKUP(C665,'[1]terceros cto'!B$1:F$65536,5,0)</f>
        <v>consorciogcipa@gmail.com</v>
      </c>
      <c r="E665" s="21" t="s">
        <v>2252</v>
      </c>
      <c r="F665" s="9" t="str">
        <f>VLOOKUP(C665,'[1]terceros cto'!B$1:D$65536,3,0)</f>
        <v>Paipa</v>
      </c>
      <c r="G665" s="21">
        <v>15516</v>
      </c>
      <c r="H665" s="9">
        <v>212</v>
      </c>
      <c r="I665" s="28">
        <v>50000</v>
      </c>
      <c r="J665" s="29">
        <v>0</v>
      </c>
      <c r="K665" s="22">
        <v>0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  <c r="CJ665" s="9"/>
      <c r="CK665" s="9"/>
      <c r="CL665" s="9"/>
      <c r="CM665" s="9"/>
      <c r="CN665" s="9"/>
      <c r="CO665" s="9"/>
      <c r="CP665" s="9"/>
      <c r="CQ665" s="9"/>
      <c r="CR665" s="9"/>
      <c r="CS665" s="9"/>
      <c r="CT665" s="9"/>
      <c r="CU665" s="9"/>
      <c r="CV665" s="9"/>
      <c r="CW665" s="9"/>
      <c r="CX665" s="9"/>
      <c r="CY665" s="9"/>
      <c r="CZ665" s="9"/>
      <c r="DA665" s="9"/>
      <c r="DB665" s="9"/>
      <c r="DC665" s="9"/>
      <c r="DD665" s="9"/>
      <c r="DE665" s="9"/>
      <c r="DF665" s="9"/>
      <c r="DG665" s="9"/>
      <c r="DH665" s="9"/>
      <c r="DI665" s="9"/>
      <c r="DJ665" s="9"/>
      <c r="DK665" s="9"/>
      <c r="DL665" s="9"/>
      <c r="DM665" s="9"/>
      <c r="DN665" s="9"/>
      <c r="DO665" s="9"/>
      <c r="DP665" s="9"/>
      <c r="DQ665" s="9"/>
      <c r="DR665" s="9"/>
      <c r="DS665" s="9"/>
      <c r="DT665" s="9"/>
      <c r="DU665" s="9"/>
      <c r="DV665" s="9"/>
      <c r="DW665" s="9"/>
      <c r="DX665" s="9"/>
      <c r="DY665" s="9"/>
      <c r="DZ665" s="9"/>
      <c r="EA665" s="9"/>
      <c r="EB665" s="9"/>
      <c r="EC665" s="9"/>
      <c r="ED665" s="9"/>
      <c r="EE665" s="9"/>
      <c r="EF665" s="9"/>
      <c r="EG665" s="9"/>
      <c r="EH665" s="9"/>
      <c r="EI665" s="9"/>
      <c r="EJ665" s="9"/>
      <c r="EK665" s="9"/>
      <c r="EL665" s="9"/>
    </row>
    <row r="666" spans="1:142" x14ac:dyDescent="0.35">
      <c r="A666" s="9">
        <v>901723708</v>
      </c>
      <c r="B666" s="19">
        <v>7</v>
      </c>
      <c r="C666" s="9" t="str">
        <f>VLOOKUP(A666,'[1]terceros cto'!A$1:B$65536,2,0)</f>
        <v>OBEC SAS</v>
      </c>
      <c r="D666" s="20" t="str">
        <f>VLOOKUP(C666,'[1]terceros cto'!B$1:F$65536,5,0)</f>
        <v>adm.obecsas@outlook.com</v>
      </c>
      <c r="E666" s="21" t="s">
        <v>2252</v>
      </c>
      <c r="F666" s="9" t="str">
        <f>VLOOKUP(C666,'[1]terceros cto'!B$1:D$65536,3,0)</f>
        <v>CARRERA 24A NO. 20A - 84</v>
      </c>
      <c r="G666" s="21">
        <v>15516</v>
      </c>
      <c r="H666" s="9">
        <v>212</v>
      </c>
      <c r="I666" s="30">
        <v>156223</v>
      </c>
      <c r="J666" s="31">
        <v>0</v>
      </c>
      <c r="K666" s="22">
        <v>0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  <c r="CJ666" s="9"/>
      <c r="CK666" s="9"/>
      <c r="CL666" s="9"/>
      <c r="CM666" s="9"/>
      <c r="CN666" s="9"/>
      <c r="CO666" s="9"/>
      <c r="CP666" s="9"/>
      <c r="CQ666" s="9"/>
      <c r="CR666" s="9"/>
      <c r="CS666" s="9"/>
      <c r="CT666" s="9"/>
      <c r="CU666" s="9"/>
      <c r="CV666" s="9"/>
      <c r="CW666" s="9"/>
      <c r="CX666" s="9"/>
      <c r="CY666" s="9"/>
      <c r="CZ666" s="9"/>
      <c r="DA666" s="9"/>
      <c r="DB666" s="9"/>
      <c r="DC666" s="9"/>
      <c r="DD666" s="9"/>
      <c r="DE666" s="9"/>
      <c r="DF666" s="9"/>
      <c r="DG666" s="9"/>
      <c r="DH666" s="9"/>
      <c r="DI666" s="9"/>
      <c r="DJ666" s="9"/>
      <c r="DK666" s="9"/>
      <c r="DL666" s="9"/>
      <c r="DM666" s="9"/>
      <c r="DN666" s="9"/>
      <c r="DO666" s="9"/>
      <c r="DP666" s="9"/>
      <c r="DQ666" s="9"/>
      <c r="DR666" s="9"/>
      <c r="DS666" s="9"/>
      <c r="DT666" s="9"/>
      <c r="DU666" s="9"/>
      <c r="DV666" s="9"/>
      <c r="DW666" s="9"/>
      <c r="DX666" s="9"/>
      <c r="DY666" s="9"/>
      <c r="DZ666" s="9"/>
      <c r="EA666" s="9"/>
      <c r="EB666" s="9"/>
      <c r="EC666" s="9"/>
      <c r="ED666" s="9"/>
      <c r="EE666" s="9"/>
      <c r="EF666" s="9"/>
      <c r="EG666" s="9"/>
      <c r="EH666" s="9"/>
      <c r="EI666" s="9"/>
      <c r="EJ666" s="9"/>
      <c r="EK666" s="9"/>
      <c r="EL666" s="9"/>
    </row>
    <row r="667" spans="1:142" x14ac:dyDescent="0.35">
      <c r="A667" s="9">
        <v>901728604</v>
      </c>
      <c r="B667" s="19">
        <v>2</v>
      </c>
      <c r="C667" s="9" t="str">
        <f>VLOOKUP(A667,'[1]terceros cto'!A$1:B$65536,2,0)</f>
        <v>ESTRATEGIA RURAL Y URBANA S.A.S</v>
      </c>
      <c r="D667" s="20" t="str">
        <f>VLOOKUP(C667,'[1]terceros cto'!B$1:F$65536,5,0)</f>
        <v>estrategiarur@gmail.com</v>
      </c>
      <c r="E667" s="21" t="s">
        <v>2252</v>
      </c>
      <c r="F667" s="9" t="str">
        <f>VLOOKUP(C667,'[1]terceros cto'!B$1:D$65536,3,0)</f>
        <v>PAIPA</v>
      </c>
      <c r="G667" s="21">
        <v>15516</v>
      </c>
      <c r="H667" s="9">
        <v>212</v>
      </c>
      <c r="I667" s="28">
        <v>50000</v>
      </c>
      <c r="J667" s="29">
        <v>0</v>
      </c>
      <c r="K667" s="22">
        <v>0</v>
      </c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  <c r="CJ667" s="9"/>
      <c r="CK667" s="9"/>
      <c r="CL667" s="9"/>
      <c r="CM667" s="9"/>
      <c r="CN667" s="9"/>
      <c r="CO667" s="9"/>
      <c r="CP667" s="9"/>
      <c r="CQ667" s="9"/>
      <c r="CR667" s="9"/>
      <c r="CS667" s="9"/>
      <c r="CT667" s="9"/>
      <c r="CU667" s="9"/>
      <c r="CV667" s="9"/>
      <c r="CW667" s="9"/>
      <c r="CX667" s="9"/>
      <c r="CY667" s="9"/>
      <c r="CZ667" s="9"/>
      <c r="DA667" s="9"/>
      <c r="DB667" s="9"/>
      <c r="DC667" s="9"/>
      <c r="DD667" s="9"/>
      <c r="DE667" s="9"/>
      <c r="DF667" s="9"/>
      <c r="DG667" s="9"/>
      <c r="DH667" s="9"/>
      <c r="DI667" s="9"/>
      <c r="DJ667" s="9"/>
      <c r="DK667" s="9"/>
      <c r="DL667" s="9"/>
      <c r="DM667" s="9"/>
      <c r="DN667" s="9"/>
      <c r="DO667" s="9"/>
      <c r="DP667" s="9"/>
      <c r="DQ667" s="9"/>
      <c r="DR667" s="9"/>
      <c r="DS667" s="9"/>
      <c r="DT667" s="9"/>
      <c r="DU667" s="9"/>
      <c r="DV667" s="9"/>
      <c r="DW667" s="9"/>
      <c r="DX667" s="9"/>
      <c r="DY667" s="9"/>
      <c r="DZ667" s="9"/>
      <c r="EA667" s="9"/>
      <c r="EB667" s="9"/>
      <c r="EC667" s="9"/>
      <c r="ED667" s="9"/>
      <c r="EE667" s="9"/>
      <c r="EF667" s="9"/>
      <c r="EG667" s="9"/>
      <c r="EH667" s="9"/>
      <c r="EI667" s="9"/>
      <c r="EJ667" s="9"/>
      <c r="EK667" s="9"/>
      <c r="EL667" s="9"/>
    </row>
    <row r="668" spans="1:142" x14ac:dyDescent="0.35">
      <c r="A668" s="9">
        <v>901732642</v>
      </c>
      <c r="B668" s="19">
        <v>8</v>
      </c>
      <c r="C668" s="9" t="str">
        <f>VLOOKUP(A668,'[1]terceros cto'!A$1:B$65536,2,0)</f>
        <v>DISTRELEC S.A.S PAIPA</v>
      </c>
      <c r="D668" s="20" t="str">
        <f>VLOOKUP(C668,'[1]terceros cto'!B$1:F$65536,5,0)</f>
        <v>distrelecsaspaipa@gmail.com</v>
      </c>
      <c r="E668" s="21" t="s">
        <v>2252</v>
      </c>
      <c r="F668" s="9" t="str">
        <f>VLOOKUP(C668,'[1]terceros cto'!B$1:D$65536,3,0)</f>
        <v>Paipa</v>
      </c>
      <c r="G668" s="21">
        <v>15516</v>
      </c>
      <c r="H668" s="9">
        <v>212</v>
      </c>
      <c r="I668" s="30">
        <v>201030</v>
      </c>
      <c r="J668" s="31">
        <v>0</v>
      </c>
      <c r="K668" s="22">
        <v>0</v>
      </c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  <c r="CJ668" s="9"/>
      <c r="CK668" s="9"/>
      <c r="CL668" s="9"/>
      <c r="CM668" s="9"/>
      <c r="CN668" s="9"/>
      <c r="CO668" s="9"/>
      <c r="CP668" s="9"/>
      <c r="CQ668" s="9"/>
      <c r="CR668" s="9"/>
      <c r="CS668" s="9"/>
      <c r="CT668" s="9"/>
      <c r="CU668" s="9"/>
      <c r="CV668" s="9"/>
      <c r="CW668" s="9"/>
      <c r="CX668" s="9"/>
      <c r="CY668" s="9"/>
      <c r="CZ668" s="9"/>
      <c r="DA668" s="9"/>
      <c r="DB668" s="9"/>
      <c r="DC668" s="9"/>
      <c r="DD668" s="9"/>
      <c r="DE668" s="9"/>
      <c r="DF668" s="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x14ac:dyDescent="0.35">
      <c r="A669" s="9">
        <v>901749037</v>
      </c>
      <c r="B669" s="19">
        <v>6</v>
      </c>
      <c r="C669" s="9" t="str">
        <f>VLOOKUP(A669,'[1]terceros cto'!A$1:B$65536,2,0)</f>
        <v>HERMANOS PP SAS</v>
      </c>
      <c r="D669" s="20" t="str">
        <f>VLOOKUP(C669,'[1]terceros cto'!B$1:F$65536,5,0)</f>
        <v>mercadocardozo@gmail.com</v>
      </c>
      <c r="E669" s="21" t="s">
        <v>2252</v>
      </c>
      <c r="F669" s="9" t="str">
        <f>VLOOKUP(C669,'[1]terceros cto'!B$1:D$65536,3,0)</f>
        <v>Paipa</v>
      </c>
      <c r="G669" s="21">
        <v>15516</v>
      </c>
      <c r="H669" s="9">
        <v>212</v>
      </c>
      <c r="I669" s="28">
        <v>30000</v>
      </c>
      <c r="J669" s="29">
        <v>0</v>
      </c>
      <c r="K669" s="22">
        <v>0</v>
      </c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  <c r="CJ669" s="9"/>
      <c r="CK669" s="9"/>
      <c r="CL669" s="9"/>
      <c r="CM669" s="9"/>
      <c r="CN669" s="9"/>
      <c r="CO669" s="9"/>
      <c r="CP669" s="9"/>
      <c r="CQ669" s="9"/>
      <c r="CR669" s="9"/>
      <c r="CS669" s="9"/>
      <c r="CT669" s="9"/>
      <c r="CU669" s="9"/>
      <c r="CV669" s="9"/>
      <c r="CW669" s="9"/>
      <c r="CX669" s="9"/>
      <c r="CY669" s="9"/>
      <c r="CZ669" s="9"/>
      <c r="DA669" s="9"/>
      <c r="DB669" s="9"/>
      <c r="DC669" s="9"/>
      <c r="DD669" s="9"/>
      <c r="DE669" s="9"/>
      <c r="DF669" s="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x14ac:dyDescent="0.35">
      <c r="A670" s="9">
        <v>901769197</v>
      </c>
      <c r="B670" s="19">
        <v>1</v>
      </c>
      <c r="C670" s="9" t="str">
        <f>VLOOKUP(A670,'[1]terceros cto'!A$1:B$65536,2,0)</f>
        <v>ETHICAL HACKING SERVICES</v>
      </c>
      <c r="D670" s="20" t="str">
        <f>VLOOKUP(C670,'[1]terceros cto'!B$1:F$65536,5,0)</f>
        <v>administrativo@ehackingservices.com.co</v>
      </c>
      <c r="E670" s="21" t="s">
        <v>2252</v>
      </c>
      <c r="F670" s="9" t="str">
        <f>VLOOKUP(C670,'[1]terceros cto'!B$1:D$65536,3,0)</f>
        <v>Paipa</v>
      </c>
      <c r="G670" s="21">
        <v>15516</v>
      </c>
      <c r="H670" s="9">
        <v>212</v>
      </c>
      <c r="I670" s="30">
        <v>177046</v>
      </c>
      <c r="J670" s="31">
        <v>0</v>
      </c>
      <c r="K670" s="22">
        <v>0</v>
      </c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  <c r="CD670" s="9"/>
      <c r="CE670" s="9"/>
      <c r="CF670" s="9"/>
      <c r="CG670" s="9"/>
      <c r="CH670" s="9"/>
      <c r="CI670" s="9"/>
      <c r="CJ670" s="9"/>
      <c r="CK670" s="9"/>
      <c r="CL670" s="9"/>
      <c r="CM670" s="9"/>
      <c r="CN670" s="9"/>
      <c r="CO670" s="9"/>
      <c r="CP670" s="9"/>
      <c r="CQ670" s="9"/>
      <c r="CR670" s="9"/>
      <c r="CS670" s="9"/>
      <c r="CT670" s="9"/>
      <c r="CU670" s="9"/>
      <c r="CV670" s="9"/>
      <c r="CW670" s="9"/>
      <c r="CX670" s="9"/>
      <c r="CY670" s="9"/>
      <c r="CZ670" s="9"/>
      <c r="DA670" s="9"/>
      <c r="DB670" s="9"/>
      <c r="DC670" s="9"/>
      <c r="DD670" s="9"/>
      <c r="DE670" s="9"/>
      <c r="DF670" s="9"/>
      <c r="DG670" s="9"/>
      <c r="DH670" s="9"/>
      <c r="DI670" s="9"/>
      <c r="DJ670" s="9"/>
      <c r="DK670" s="9"/>
      <c r="DL670" s="9"/>
      <c r="DM670" s="9"/>
      <c r="DN670" s="9"/>
      <c r="DO670" s="9"/>
      <c r="DP670" s="9"/>
      <c r="DQ670" s="9"/>
      <c r="DR670" s="9"/>
      <c r="DS670" s="9"/>
      <c r="DT670" s="9"/>
      <c r="DU670" s="9"/>
      <c r="DV670" s="9"/>
      <c r="DW670" s="9"/>
      <c r="DX670" s="9"/>
      <c r="DY670" s="9"/>
      <c r="DZ670" s="9"/>
      <c r="EA670" s="9"/>
      <c r="EB670" s="9"/>
      <c r="EC670" s="9"/>
      <c r="ED670" s="9"/>
      <c r="EE670" s="9"/>
      <c r="EF670" s="9"/>
      <c r="EG670" s="9"/>
      <c r="EH670" s="9"/>
      <c r="EI670" s="9"/>
      <c r="EJ670" s="9"/>
      <c r="EK670" s="9"/>
      <c r="EL670" s="9"/>
    </row>
    <row r="671" spans="1:142" x14ac:dyDescent="0.35">
      <c r="A671" s="9">
        <v>901769795</v>
      </c>
      <c r="B671" s="19">
        <v>6</v>
      </c>
      <c r="C671" s="9" t="str">
        <f>VLOOKUP(A671,'[1]terceros cto'!A$1:B$65536,2,0)</f>
        <v>KYMAD REDES ELECTRICAS SAS</v>
      </c>
      <c r="D671" s="20" t="str">
        <f>VLOOKUP(C671,'[1]terceros cto'!B$1:F$65536,5,0)</f>
        <v>kymad432sas@gmail.com</v>
      </c>
      <c r="E671" s="21" t="s">
        <v>2252</v>
      </c>
      <c r="F671" s="9" t="str">
        <f>VLOOKUP(C671,'[1]terceros cto'!B$1:D$65536,3,0)</f>
        <v>Paipa</v>
      </c>
      <c r="G671" s="21">
        <v>15516</v>
      </c>
      <c r="H671" s="9">
        <v>212</v>
      </c>
      <c r="I671" s="28">
        <v>20000</v>
      </c>
      <c r="J671" s="29">
        <v>0</v>
      </c>
      <c r="K671" s="22">
        <v>0</v>
      </c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  <c r="CD671" s="9"/>
      <c r="CE671" s="9"/>
      <c r="CF671" s="9"/>
      <c r="CG671" s="9"/>
      <c r="CH671" s="9"/>
      <c r="CI671" s="9"/>
      <c r="CJ671" s="9"/>
      <c r="CK671" s="9"/>
      <c r="CL671" s="9"/>
      <c r="CM671" s="9"/>
      <c r="CN671" s="9"/>
      <c r="CO671" s="9"/>
      <c r="CP671" s="9"/>
      <c r="CQ671" s="9"/>
      <c r="CR671" s="9"/>
      <c r="CS671" s="9"/>
      <c r="CT671" s="9"/>
      <c r="CU671" s="9"/>
      <c r="CV671" s="9"/>
      <c r="CW671" s="9"/>
      <c r="CX671" s="9"/>
      <c r="CY671" s="9"/>
      <c r="CZ671" s="9"/>
      <c r="DA671" s="9"/>
      <c r="DB671" s="9"/>
      <c r="DC671" s="9"/>
      <c r="DD671" s="9"/>
      <c r="DE671" s="9"/>
      <c r="DF671" s="9"/>
      <c r="DG671" s="9"/>
      <c r="DH671" s="9"/>
      <c r="DI671" s="9"/>
      <c r="DJ671" s="9"/>
      <c r="DK671" s="9"/>
      <c r="DL671" s="9"/>
      <c r="DM671" s="9"/>
      <c r="DN671" s="9"/>
      <c r="DO671" s="9"/>
      <c r="DP671" s="9"/>
      <c r="DQ671" s="9"/>
      <c r="DR671" s="9"/>
      <c r="DS671" s="9"/>
      <c r="DT671" s="9"/>
      <c r="DU671" s="9"/>
      <c r="DV671" s="9"/>
      <c r="DW671" s="9"/>
      <c r="DX671" s="9"/>
      <c r="DY671" s="9"/>
      <c r="DZ671" s="9"/>
      <c r="EA671" s="9"/>
      <c r="EB671" s="9"/>
      <c r="EC671" s="9"/>
      <c r="ED671" s="9"/>
      <c r="EE671" s="9"/>
      <c r="EF671" s="9"/>
      <c r="EG671" s="9"/>
      <c r="EH671" s="9"/>
      <c r="EI671" s="9"/>
      <c r="EJ671" s="9"/>
      <c r="EK671" s="9"/>
      <c r="EL671" s="9"/>
    </row>
    <row r="672" spans="1:142" x14ac:dyDescent="0.35">
      <c r="A672" s="9">
        <v>901770016</v>
      </c>
      <c r="B672" s="19">
        <v>9</v>
      </c>
      <c r="C672" s="9" t="str">
        <f>VLOOKUP(A672,'[1]terceros cto'!A$1:B$65536,2,0)</f>
        <v>HERMANAS CASTELLAR SAS</v>
      </c>
      <c r="D672" s="20" t="str">
        <f>VLOOKUP(C672,'[1]terceros cto'!B$1:F$65536,5,0)</f>
        <v>sociedadcastelamar@gmail.com</v>
      </c>
      <c r="E672" s="21" t="s">
        <v>2252</v>
      </c>
      <c r="F672" s="9" t="str">
        <f>VLOOKUP(C672,'[1]terceros cto'!B$1:D$65536,3,0)</f>
        <v>Paipa</v>
      </c>
      <c r="G672" s="21">
        <v>15516</v>
      </c>
      <c r="H672" s="9">
        <v>212</v>
      </c>
      <c r="I672" s="30">
        <v>200000</v>
      </c>
      <c r="J672" s="31">
        <v>0</v>
      </c>
      <c r="K672" s="22">
        <v>0</v>
      </c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  <c r="CJ672" s="9"/>
      <c r="CK672" s="9"/>
      <c r="CL672" s="9"/>
      <c r="CM672" s="9"/>
      <c r="CN672" s="9"/>
      <c r="CO672" s="9"/>
      <c r="CP672" s="9"/>
      <c r="CQ672" s="9"/>
      <c r="CR672" s="9"/>
      <c r="CS672" s="9"/>
      <c r="CT672" s="9"/>
      <c r="CU672" s="9"/>
      <c r="CV672" s="9"/>
      <c r="CW672" s="9"/>
      <c r="CX672" s="9"/>
      <c r="CY672" s="9"/>
      <c r="CZ672" s="9"/>
      <c r="DA672" s="9"/>
      <c r="DB672" s="9"/>
      <c r="DC672" s="9"/>
      <c r="DD672" s="9"/>
      <c r="DE672" s="9"/>
      <c r="DF672" s="9"/>
      <c r="DG672" s="9"/>
      <c r="DH672" s="9"/>
      <c r="DI672" s="9"/>
      <c r="DJ672" s="9"/>
      <c r="DK672" s="9"/>
      <c r="DL672" s="9"/>
      <c r="DM672" s="9"/>
      <c r="DN672" s="9"/>
      <c r="DO672" s="9"/>
      <c r="DP672" s="9"/>
      <c r="DQ672" s="9"/>
      <c r="DR672" s="9"/>
      <c r="DS672" s="9"/>
      <c r="DT672" s="9"/>
      <c r="DU672" s="9"/>
      <c r="DV672" s="9"/>
      <c r="DW672" s="9"/>
      <c r="DX672" s="9"/>
      <c r="DY672" s="9"/>
      <c r="DZ672" s="9"/>
      <c r="EA672" s="9"/>
      <c r="EB672" s="9"/>
      <c r="EC672" s="9"/>
      <c r="ED672" s="9"/>
      <c r="EE672" s="9"/>
      <c r="EF672" s="9"/>
      <c r="EG672" s="9"/>
      <c r="EH672" s="9"/>
      <c r="EI672" s="9"/>
      <c r="EJ672" s="9"/>
      <c r="EK672" s="9"/>
      <c r="EL672" s="9"/>
    </row>
    <row r="673" spans="1:142" x14ac:dyDescent="0.35">
      <c r="A673" s="9">
        <v>901778407</v>
      </c>
      <c r="B673" s="19">
        <v>1</v>
      </c>
      <c r="C673" s="9" t="str">
        <f>VLOOKUP(A673,'[1]terceros cto'!A$1:B$65536,2,0)</f>
        <v>CONSTRUEQUIPOS M Y S SAS</v>
      </c>
      <c r="D673" s="20" t="str">
        <f>VLOOKUP(C673,'[1]terceros cto'!B$1:F$65536,5,0)</f>
        <v>lmesa92@outlook.com</v>
      </c>
      <c r="E673" s="21" t="s">
        <v>2252</v>
      </c>
      <c r="F673" s="9" t="str">
        <f>VLOOKUP(C673,'[1]terceros cto'!B$1:D$65536,3,0)</f>
        <v>CALLE 27 21 21</v>
      </c>
      <c r="G673" s="21">
        <v>15516</v>
      </c>
      <c r="H673" s="9">
        <v>212</v>
      </c>
      <c r="I673" s="28">
        <v>954164</v>
      </c>
      <c r="J673" s="29">
        <v>0</v>
      </c>
      <c r="K673" s="22">
        <v>0</v>
      </c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  <c r="CJ673" s="9"/>
      <c r="CK673" s="9"/>
      <c r="CL673" s="9"/>
      <c r="CM673" s="9"/>
      <c r="CN673" s="9"/>
      <c r="CO673" s="9"/>
      <c r="CP673" s="9"/>
      <c r="CQ673" s="9"/>
      <c r="CR673" s="9"/>
      <c r="CS673" s="9"/>
      <c r="CT673" s="9"/>
      <c r="CU673" s="9"/>
      <c r="CV673" s="9"/>
      <c r="CW673" s="9"/>
      <c r="CX673" s="9"/>
      <c r="CY673" s="9"/>
      <c r="CZ673" s="9"/>
      <c r="DA673" s="9"/>
      <c r="DB673" s="9"/>
      <c r="DC673" s="9"/>
      <c r="DD673" s="9"/>
      <c r="DE673" s="9"/>
      <c r="DF673" s="9"/>
      <c r="DG673" s="9"/>
      <c r="DH673" s="9"/>
      <c r="DI673" s="9"/>
      <c r="DJ673" s="9"/>
      <c r="DK673" s="9"/>
      <c r="DL673" s="9"/>
      <c r="DM673" s="9"/>
      <c r="DN673" s="9"/>
      <c r="DO673" s="9"/>
      <c r="DP673" s="9"/>
      <c r="DQ673" s="9"/>
      <c r="DR673" s="9"/>
      <c r="DS673" s="9"/>
      <c r="DT673" s="9"/>
      <c r="DU673" s="9"/>
      <c r="DV673" s="9"/>
      <c r="DW673" s="9"/>
      <c r="DX673" s="9"/>
      <c r="DY673" s="9"/>
      <c r="DZ673" s="9"/>
      <c r="EA673" s="9"/>
      <c r="EB673" s="9"/>
      <c r="EC673" s="9"/>
      <c r="ED673" s="9"/>
      <c r="EE673" s="9"/>
      <c r="EF673" s="9"/>
      <c r="EG673" s="9"/>
      <c r="EH673" s="9"/>
      <c r="EI673" s="9"/>
      <c r="EJ673" s="9"/>
      <c r="EK673" s="9"/>
      <c r="EL673" s="9"/>
    </row>
    <row r="674" spans="1:142" x14ac:dyDescent="0.35">
      <c r="A674" s="9">
        <v>901779822</v>
      </c>
      <c r="B674" s="19">
        <v>1</v>
      </c>
      <c r="C674" s="9" t="str">
        <f>VLOOKUP(A674,'[1]terceros cto'!A$1:B$65536,2,0)</f>
        <v>CONSTRUCCIÓN Y SEÑALIZACIONES VITAL</v>
      </c>
      <c r="D674" s="20" t="str">
        <f>VLOOKUP(C674,'[1]terceros cto'!B$1:F$65536,5,0)</f>
        <v>sencovial.sas@gmail.com</v>
      </c>
      <c r="E674" s="21" t="s">
        <v>2252</v>
      </c>
      <c r="F674" s="9" t="str">
        <f>VLOOKUP(C674,'[1]terceros cto'!B$1:D$65536,3,0)</f>
        <v>PAIPA</v>
      </c>
      <c r="G674" s="21">
        <v>15516</v>
      </c>
      <c r="H674" s="9">
        <v>212</v>
      </c>
      <c r="I674" s="30">
        <v>11719158</v>
      </c>
      <c r="J674" s="31">
        <v>0</v>
      </c>
      <c r="K674" s="22">
        <v>0</v>
      </c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  <c r="CD674" s="9"/>
      <c r="CE674" s="9"/>
      <c r="CF674" s="9"/>
      <c r="CG674" s="9"/>
      <c r="CH674" s="9"/>
      <c r="CI674" s="9"/>
      <c r="CJ674" s="9"/>
      <c r="CK674" s="9"/>
      <c r="CL674" s="9"/>
      <c r="CM674" s="9"/>
      <c r="CN674" s="9"/>
      <c r="CO674" s="9"/>
      <c r="CP674" s="9"/>
      <c r="CQ674" s="9"/>
      <c r="CR674" s="9"/>
      <c r="CS674" s="9"/>
      <c r="CT674" s="9"/>
      <c r="CU674" s="9"/>
      <c r="CV674" s="9"/>
      <c r="CW674" s="9"/>
      <c r="CX674" s="9"/>
      <c r="CY674" s="9"/>
      <c r="CZ674" s="9"/>
      <c r="DA674" s="9"/>
      <c r="DB674" s="9"/>
      <c r="DC674" s="9"/>
      <c r="DD674" s="9"/>
      <c r="DE674" s="9"/>
      <c r="DF674" s="9"/>
      <c r="DG674" s="9"/>
      <c r="DH674" s="9"/>
      <c r="DI674" s="9"/>
      <c r="DJ674" s="9"/>
      <c r="DK674" s="9"/>
      <c r="DL674" s="9"/>
      <c r="DM674" s="9"/>
      <c r="DN674" s="9"/>
      <c r="DO674" s="9"/>
      <c r="DP674" s="9"/>
      <c r="DQ674" s="9"/>
      <c r="DR674" s="9"/>
      <c r="DS674" s="9"/>
      <c r="DT674" s="9"/>
      <c r="DU674" s="9"/>
      <c r="DV674" s="9"/>
      <c r="DW674" s="9"/>
      <c r="DX674" s="9"/>
      <c r="DY674" s="9"/>
      <c r="DZ674" s="9"/>
      <c r="EA674" s="9"/>
      <c r="EB674" s="9"/>
      <c r="EC674" s="9"/>
      <c r="ED674" s="9"/>
      <c r="EE674" s="9"/>
      <c r="EF674" s="9"/>
      <c r="EG674" s="9"/>
      <c r="EH674" s="9"/>
      <c r="EI674" s="9"/>
      <c r="EJ674" s="9"/>
      <c r="EK674" s="9"/>
      <c r="EL674" s="9"/>
    </row>
    <row r="675" spans="1:142" x14ac:dyDescent="0.35">
      <c r="A675" s="9">
        <v>901787398</v>
      </c>
      <c r="B675" s="19">
        <v>1</v>
      </c>
      <c r="C675" s="9" t="str">
        <f>VLOOKUP(A675,'[1]terceros cto'!A$1:B$65536,2,0)</f>
        <v>INVERSIONES MEFL SAS</v>
      </c>
      <c r="D675" s="20" t="str">
        <f>VLOOKUP(C675,'[1]terceros cto'!B$1:F$65536,5,0)</f>
        <v>miguelefl1052@hotmail.com</v>
      </c>
      <c r="E675" s="21" t="s">
        <v>2252</v>
      </c>
      <c r="F675" s="9" t="str">
        <f>VLOOKUP(C675,'[1]terceros cto'!B$1:D$65536,3,0)</f>
        <v>Paipa</v>
      </c>
      <c r="G675" s="21">
        <v>15516</v>
      </c>
      <c r="H675" s="9">
        <v>212</v>
      </c>
      <c r="I675" s="28">
        <v>50000</v>
      </c>
      <c r="J675" s="29">
        <v>0</v>
      </c>
      <c r="K675" s="22">
        <v>0</v>
      </c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  <c r="CD675" s="9"/>
      <c r="CE675" s="9"/>
      <c r="CF675" s="9"/>
      <c r="CG675" s="9"/>
      <c r="CH675" s="9"/>
      <c r="CI675" s="9"/>
      <c r="CJ675" s="9"/>
      <c r="CK675" s="9"/>
      <c r="CL675" s="9"/>
      <c r="CM675" s="9"/>
      <c r="CN675" s="9"/>
      <c r="CO675" s="9"/>
      <c r="CP675" s="9"/>
      <c r="CQ675" s="9"/>
      <c r="CR675" s="9"/>
      <c r="CS675" s="9"/>
      <c r="CT675" s="9"/>
      <c r="CU675" s="9"/>
      <c r="CV675" s="9"/>
      <c r="CW675" s="9"/>
      <c r="CX675" s="9"/>
      <c r="CY675" s="9"/>
      <c r="CZ675" s="9"/>
      <c r="DA675" s="9"/>
      <c r="DB675" s="9"/>
      <c r="DC675" s="9"/>
      <c r="DD675" s="9"/>
      <c r="DE675" s="9"/>
      <c r="DF675" s="9"/>
      <c r="DG675" s="9"/>
      <c r="DH675" s="9"/>
      <c r="DI675" s="9"/>
      <c r="DJ675" s="9"/>
      <c r="DK675" s="9"/>
      <c r="DL675" s="9"/>
      <c r="DM675" s="9"/>
      <c r="DN675" s="9"/>
      <c r="DO675" s="9"/>
      <c r="DP675" s="9"/>
      <c r="DQ675" s="9"/>
      <c r="DR675" s="9"/>
      <c r="DS675" s="9"/>
      <c r="DT675" s="9"/>
      <c r="DU675" s="9"/>
      <c r="DV675" s="9"/>
      <c r="DW675" s="9"/>
      <c r="DX675" s="9"/>
      <c r="DY675" s="9"/>
      <c r="DZ675" s="9"/>
      <c r="EA675" s="9"/>
      <c r="EB675" s="9"/>
      <c r="EC675" s="9"/>
      <c r="ED675" s="9"/>
      <c r="EE675" s="9"/>
      <c r="EF675" s="9"/>
      <c r="EG675" s="9"/>
      <c r="EH675" s="9"/>
      <c r="EI675" s="9"/>
      <c r="EJ675" s="9"/>
      <c r="EK675" s="9"/>
      <c r="EL675" s="9"/>
    </row>
    <row r="676" spans="1:142" x14ac:dyDescent="0.35">
      <c r="A676" s="9">
        <v>901808121</v>
      </c>
      <c r="B676" s="19">
        <v>0</v>
      </c>
      <c r="C676" s="9" t="str">
        <f>VLOOKUP(A676,'[1]terceros cto'!A$1:B$65536,2,0)</f>
        <v>PINK PANDA SAS</v>
      </c>
      <c r="D676" s="20" t="str">
        <f>VLOOKUP(C676,'[1]terceros cto'!B$1:F$65536,5,0)</f>
        <v>pinkpandasas@gmail.com</v>
      </c>
      <c r="E676" s="21" t="s">
        <v>2252</v>
      </c>
      <c r="F676" s="9" t="str">
        <f>VLOOKUP(C676,'[1]terceros cto'!B$1:D$65536,3,0)</f>
        <v>PAIPA</v>
      </c>
      <c r="G676" s="21">
        <v>15516</v>
      </c>
      <c r="H676" s="9">
        <v>212</v>
      </c>
      <c r="I676" s="30">
        <v>190080</v>
      </c>
      <c r="J676" s="31">
        <v>0</v>
      </c>
      <c r="K676" s="22">
        <v>0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D676" s="9"/>
      <c r="CE676" s="9"/>
      <c r="CF676" s="9"/>
      <c r="CG676" s="9"/>
      <c r="CH676" s="9"/>
      <c r="CI676" s="9"/>
      <c r="CJ676" s="9"/>
      <c r="CK676" s="9"/>
      <c r="CL676" s="9"/>
      <c r="CM676" s="9"/>
      <c r="CN676" s="9"/>
      <c r="CO676" s="9"/>
      <c r="CP676" s="9"/>
      <c r="CQ676" s="9"/>
      <c r="CR676" s="9"/>
      <c r="CS676" s="9"/>
      <c r="CT676" s="9"/>
      <c r="CU676" s="9"/>
      <c r="CV676" s="9"/>
      <c r="CW676" s="9"/>
      <c r="CX676" s="9"/>
      <c r="CY676" s="9"/>
      <c r="CZ676" s="9"/>
      <c r="DA676" s="9"/>
      <c r="DB676" s="9"/>
      <c r="DC676" s="9"/>
      <c r="DD676" s="9"/>
      <c r="DE676" s="9"/>
      <c r="DF676" s="9"/>
      <c r="DG676" s="9"/>
      <c r="DH676" s="9"/>
      <c r="DI676" s="9"/>
      <c r="DJ676" s="9"/>
      <c r="DK676" s="9"/>
      <c r="DL676" s="9"/>
      <c r="DM676" s="9"/>
      <c r="DN676" s="9"/>
      <c r="DO676" s="9"/>
      <c r="DP676" s="9"/>
      <c r="DQ676" s="9"/>
      <c r="DR676" s="9"/>
      <c r="DS676" s="9"/>
      <c r="DT676" s="9"/>
      <c r="DU676" s="9"/>
      <c r="DV676" s="9"/>
      <c r="DW676" s="9"/>
      <c r="DX676" s="9"/>
      <c r="DY676" s="9"/>
      <c r="DZ676" s="9"/>
      <c r="EA676" s="9"/>
      <c r="EB676" s="9"/>
      <c r="EC676" s="9"/>
      <c r="ED676" s="9"/>
      <c r="EE676" s="9"/>
      <c r="EF676" s="9"/>
      <c r="EG676" s="9"/>
      <c r="EH676" s="9"/>
      <c r="EI676" s="9"/>
      <c r="EJ676" s="9"/>
      <c r="EK676" s="9"/>
      <c r="EL676" s="9"/>
    </row>
    <row r="677" spans="1:142" x14ac:dyDescent="0.35">
      <c r="A677" s="9">
        <v>901817531</v>
      </c>
      <c r="B677" s="19">
        <v>5</v>
      </c>
      <c r="C677" s="9" t="str">
        <f>VLOOKUP(A677,'[1]terceros cto'!A$1:B$65536,2,0)</f>
        <v>OBEDSERVICES SAS</v>
      </c>
      <c r="D677" s="20" t="str">
        <f>VLOOKUP(C677,'[1]terceros cto'!B$1:F$65536,5,0)</f>
        <v>obedservicessas@gmail.com</v>
      </c>
      <c r="E677" s="21" t="s">
        <v>2252</v>
      </c>
      <c r="F677" s="9" t="str">
        <f>VLOOKUP(C677,'[1]terceros cto'!B$1:D$65536,3,0)</f>
        <v>Paipa</v>
      </c>
      <c r="G677" s="21">
        <v>15516</v>
      </c>
      <c r="H677" s="9">
        <v>212</v>
      </c>
      <c r="I677" s="28">
        <v>696655</v>
      </c>
      <c r="J677" s="29">
        <v>0</v>
      </c>
      <c r="K677" s="22">
        <v>0</v>
      </c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9"/>
      <c r="CD677" s="9"/>
      <c r="CE677" s="9"/>
      <c r="CF677" s="9"/>
      <c r="CG677" s="9"/>
      <c r="CH677" s="9"/>
      <c r="CI677" s="9"/>
      <c r="CJ677" s="9"/>
      <c r="CK677" s="9"/>
      <c r="CL677" s="9"/>
      <c r="CM677" s="9"/>
      <c r="CN677" s="9"/>
      <c r="CO677" s="9"/>
      <c r="CP677" s="9"/>
      <c r="CQ677" s="9"/>
      <c r="CR677" s="9"/>
      <c r="CS677" s="9"/>
      <c r="CT677" s="9"/>
      <c r="CU677" s="9"/>
      <c r="CV677" s="9"/>
      <c r="CW677" s="9"/>
      <c r="CX677" s="9"/>
      <c r="CY677" s="9"/>
      <c r="CZ677" s="9"/>
      <c r="DA677" s="9"/>
      <c r="DB677" s="9"/>
      <c r="DC677" s="9"/>
      <c r="DD677" s="9"/>
      <c r="DE677" s="9"/>
      <c r="DF677" s="9"/>
      <c r="DG677" s="9"/>
      <c r="DH677" s="9"/>
      <c r="DI677" s="9"/>
      <c r="DJ677" s="9"/>
      <c r="DK677" s="9"/>
      <c r="DL677" s="9"/>
      <c r="DM677" s="9"/>
      <c r="DN677" s="9"/>
      <c r="DO677" s="9"/>
      <c r="DP677" s="9"/>
      <c r="DQ677" s="9"/>
      <c r="DR677" s="9"/>
      <c r="DS677" s="9"/>
      <c r="DT677" s="9"/>
      <c r="DU677" s="9"/>
      <c r="DV677" s="9"/>
      <c r="DW677" s="9"/>
      <c r="DX677" s="9"/>
      <c r="DY677" s="9"/>
      <c r="DZ677" s="9"/>
      <c r="EA677" s="9"/>
      <c r="EB677" s="9"/>
      <c r="EC677" s="9"/>
      <c r="ED677" s="9"/>
      <c r="EE677" s="9"/>
      <c r="EF677" s="9"/>
      <c r="EG677" s="9"/>
      <c r="EH677" s="9"/>
      <c r="EI677" s="9"/>
      <c r="EJ677" s="9"/>
      <c r="EK677" s="9"/>
      <c r="EL677" s="9"/>
    </row>
    <row r="678" spans="1:142" x14ac:dyDescent="0.35">
      <c r="A678" s="9">
        <v>901827330</v>
      </c>
      <c r="B678" s="19">
        <v>4</v>
      </c>
      <c r="C678" s="9" t="str">
        <f>VLOOKUP(A678,'[1]terceros cto'!A$1:B$65536,2,0)</f>
        <v>MOLINO LA ESPIGA DUITAMA SAS</v>
      </c>
      <c r="D678" s="20" t="str">
        <f>VLOOKUP(C678,'[1]terceros cto'!B$1:F$65536,5,0)</f>
        <v>comlaespiga@gmail.com</v>
      </c>
      <c r="E678" s="21" t="s">
        <v>2252</v>
      </c>
      <c r="F678" s="9" t="str">
        <f>VLOOKUP(C678,'[1]terceros cto'!B$1:D$65536,3,0)</f>
        <v>Paipa</v>
      </c>
      <c r="G678" s="21">
        <v>15516</v>
      </c>
      <c r="H678" s="9">
        <v>212</v>
      </c>
      <c r="I678" s="30">
        <v>170000</v>
      </c>
      <c r="J678" s="31">
        <v>0</v>
      </c>
      <c r="K678" s="22">
        <v>0</v>
      </c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9"/>
      <c r="CD678" s="9"/>
      <c r="CE678" s="9"/>
      <c r="CF678" s="9"/>
      <c r="CG678" s="9"/>
      <c r="CH678" s="9"/>
      <c r="CI678" s="9"/>
      <c r="CJ678" s="9"/>
      <c r="CK678" s="9"/>
      <c r="CL678" s="9"/>
      <c r="CM678" s="9"/>
      <c r="CN678" s="9"/>
      <c r="CO678" s="9"/>
      <c r="CP678" s="9"/>
      <c r="CQ678" s="9"/>
      <c r="CR678" s="9"/>
      <c r="CS678" s="9"/>
      <c r="CT678" s="9"/>
      <c r="CU678" s="9"/>
      <c r="CV678" s="9"/>
      <c r="CW678" s="9"/>
      <c r="CX678" s="9"/>
      <c r="CY678" s="9"/>
      <c r="CZ678" s="9"/>
      <c r="DA678" s="9"/>
      <c r="DB678" s="9"/>
      <c r="DC678" s="9"/>
      <c r="DD678" s="9"/>
      <c r="DE678" s="9"/>
      <c r="DF678" s="9"/>
      <c r="DG678" s="9"/>
      <c r="DH678" s="9"/>
      <c r="DI678" s="9"/>
      <c r="DJ678" s="9"/>
      <c r="DK678" s="9"/>
      <c r="DL678" s="9"/>
      <c r="DM678" s="9"/>
      <c r="DN678" s="9"/>
      <c r="DO678" s="9"/>
      <c r="DP678" s="9"/>
      <c r="DQ678" s="9"/>
      <c r="DR678" s="9"/>
      <c r="DS678" s="9"/>
      <c r="DT678" s="9"/>
      <c r="DU678" s="9"/>
      <c r="DV678" s="9"/>
      <c r="DW678" s="9"/>
      <c r="DX678" s="9"/>
      <c r="DY678" s="9"/>
      <c r="DZ678" s="9"/>
      <c r="EA678" s="9"/>
      <c r="EB678" s="9"/>
      <c r="EC678" s="9"/>
      <c r="ED678" s="9"/>
      <c r="EE678" s="9"/>
      <c r="EF678" s="9"/>
      <c r="EG678" s="9"/>
      <c r="EH678" s="9"/>
      <c r="EI678" s="9"/>
      <c r="EJ678" s="9"/>
      <c r="EK678" s="9"/>
      <c r="EL678" s="9"/>
    </row>
    <row r="679" spans="1:142" x14ac:dyDescent="0.35">
      <c r="A679" s="9">
        <v>901830360</v>
      </c>
      <c r="B679" s="19">
        <v>6</v>
      </c>
      <c r="C679" s="9" t="str">
        <f>VLOOKUP(A679,'[1]terceros cto'!A$1:B$65536,2,0)</f>
        <v>INDUASSEO SAS</v>
      </c>
      <c r="D679" s="20" t="str">
        <f>VLOOKUP(C679,'[1]terceros cto'!B$1:F$65536,5,0)</f>
        <v>induasseo@gmail.com</v>
      </c>
      <c r="E679" s="21" t="s">
        <v>2252</v>
      </c>
      <c r="F679" s="9" t="str">
        <f>VLOOKUP(C679,'[1]terceros cto'!B$1:D$65536,3,0)</f>
        <v>Paipa</v>
      </c>
      <c r="G679" s="21">
        <v>15516</v>
      </c>
      <c r="H679" s="9">
        <v>212</v>
      </c>
      <c r="I679" s="28">
        <v>150000</v>
      </c>
      <c r="J679" s="29">
        <v>0</v>
      </c>
      <c r="K679" s="22">
        <v>0</v>
      </c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9"/>
      <c r="CD679" s="9"/>
      <c r="CE679" s="9"/>
      <c r="CF679" s="9"/>
      <c r="CG679" s="9"/>
      <c r="CH679" s="9"/>
      <c r="CI679" s="9"/>
      <c r="CJ679" s="9"/>
      <c r="CK679" s="9"/>
      <c r="CL679" s="9"/>
      <c r="CM679" s="9"/>
      <c r="CN679" s="9"/>
      <c r="CO679" s="9"/>
      <c r="CP679" s="9"/>
      <c r="CQ679" s="9"/>
      <c r="CR679" s="9"/>
      <c r="CS679" s="9"/>
      <c r="CT679" s="9"/>
      <c r="CU679" s="9"/>
      <c r="CV679" s="9"/>
      <c r="CW679" s="9"/>
      <c r="CX679" s="9"/>
      <c r="CY679" s="9"/>
      <c r="CZ679" s="9"/>
      <c r="DA679" s="9"/>
      <c r="DB679" s="9"/>
      <c r="DC679" s="9"/>
      <c r="DD679" s="9"/>
      <c r="DE679" s="9"/>
      <c r="DF679" s="9"/>
      <c r="DG679" s="9"/>
      <c r="DH679" s="9"/>
      <c r="DI679" s="9"/>
      <c r="DJ679" s="9"/>
      <c r="DK679" s="9"/>
      <c r="DL679" s="9"/>
      <c r="DM679" s="9"/>
      <c r="DN679" s="9"/>
      <c r="DO679" s="9"/>
      <c r="DP679" s="9"/>
      <c r="DQ679" s="9"/>
      <c r="DR679" s="9"/>
      <c r="DS679" s="9"/>
      <c r="DT679" s="9"/>
      <c r="DU679" s="9"/>
      <c r="DV679" s="9"/>
      <c r="DW679" s="9"/>
      <c r="DX679" s="9"/>
      <c r="DY679" s="9"/>
      <c r="DZ679" s="9"/>
      <c r="EA679" s="9"/>
      <c r="EB679" s="9"/>
      <c r="EC679" s="9"/>
      <c r="ED679" s="9"/>
      <c r="EE679" s="9"/>
      <c r="EF679" s="9"/>
      <c r="EG679" s="9"/>
      <c r="EH679" s="9"/>
      <c r="EI679" s="9"/>
      <c r="EJ679" s="9"/>
      <c r="EK679" s="9"/>
      <c r="EL679" s="9"/>
    </row>
    <row r="680" spans="1:142" x14ac:dyDescent="0.35">
      <c r="A680" s="9">
        <v>901836998</v>
      </c>
      <c r="B680" s="19">
        <v>1</v>
      </c>
      <c r="C680" s="9" t="str">
        <f>VLOOKUP(A680,'[1]terceros cto'!A$1:B$65536,2,0)</f>
        <v>TEAM VILLA DEL ROSARIO BMX</v>
      </c>
      <c r="D680" s="20" t="str">
        <f>VLOOKUP(C680,'[1]terceros cto'!B$1:F$65536,5,0)</f>
        <v>teamvilladelrosariobmx@gmail.com</v>
      </c>
      <c r="E680" s="21" t="s">
        <v>2252</v>
      </c>
      <c r="F680" s="9" t="str">
        <f>VLOOKUP(C680,'[1]terceros cto'!B$1:D$65536,3,0)</f>
        <v>Paipa</v>
      </c>
      <c r="G680" s="21">
        <v>15516</v>
      </c>
      <c r="H680" s="9">
        <v>212</v>
      </c>
      <c r="I680" s="30">
        <v>50000</v>
      </c>
      <c r="J680" s="31">
        <v>0</v>
      </c>
      <c r="K680" s="22">
        <v>0</v>
      </c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9"/>
      <c r="CD680" s="9"/>
      <c r="CE680" s="9"/>
      <c r="CF680" s="9"/>
      <c r="CG680" s="9"/>
      <c r="CH680" s="9"/>
      <c r="CI680" s="9"/>
      <c r="CJ680" s="9"/>
      <c r="CK680" s="9"/>
      <c r="CL680" s="9"/>
      <c r="CM680" s="9"/>
      <c r="CN680" s="9"/>
      <c r="CO680" s="9"/>
      <c r="CP680" s="9"/>
      <c r="CQ680" s="9"/>
      <c r="CR680" s="9"/>
      <c r="CS680" s="9"/>
      <c r="CT680" s="9"/>
      <c r="CU680" s="9"/>
      <c r="CV680" s="9"/>
      <c r="CW680" s="9"/>
      <c r="CX680" s="9"/>
      <c r="CY680" s="9"/>
      <c r="CZ680" s="9"/>
      <c r="DA680" s="9"/>
      <c r="DB680" s="9"/>
      <c r="DC680" s="9"/>
      <c r="DD680" s="9"/>
      <c r="DE680" s="9"/>
      <c r="DF680" s="9"/>
      <c r="DG680" s="9"/>
      <c r="DH680" s="9"/>
      <c r="DI680" s="9"/>
      <c r="DJ680" s="9"/>
      <c r="DK680" s="9"/>
      <c r="DL680" s="9"/>
      <c r="DM680" s="9"/>
      <c r="DN680" s="9"/>
      <c r="DO680" s="9"/>
      <c r="DP680" s="9"/>
      <c r="DQ680" s="9"/>
      <c r="DR680" s="9"/>
      <c r="DS680" s="9"/>
      <c r="DT680" s="9"/>
      <c r="DU680" s="9"/>
      <c r="DV680" s="9"/>
      <c r="DW680" s="9"/>
      <c r="DX680" s="9"/>
      <c r="DY680" s="9"/>
      <c r="DZ680" s="9"/>
      <c r="EA680" s="9"/>
      <c r="EB680" s="9"/>
      <c r="EC680" s="9"/>
      <c r="ED680" s="9"/>
      <c r="EE680" s="9"/>
      <c r="EF680" s="9"/>
      <c r="EG680" s="9"/>
      <c r="EH680" s="9"/>
      <c r="EI680" s="9"/>
      <c r="EJ680" s="9"/>
      <c r="EK680" s="9"/>
      <c r="EL680" s="9"/>
    </row>
    <row r="681" spans="1:142" x14ac:dyDescent="0.35">
      <c r="A681" s="9">
        <v>901869776</v>
      </c>
      <c r="B681" s="19">
        <v>5</v>
      </c>
      <c r="C681" s="9" t="str">
        <f>VLOOKUP(A681,'[1]terceros cto'!A$1:B$65536,2,0)</f>
        <v>UNIÓN TEMPORAL VIACON 2024</v>
      </c>
      <c r="D681" s="20" t="str">
        <f>VLOOKUP(C681,'[1]terceros cto'!B$1:F$65536,5,0)</f>
        <v>uniontemporalviacon2024@gmail.com</v>
      </c>
      <c r="E681" s="21" t="s">
        <v>2252</v>
      </c>
      <c r="F681" s="9" t="str">
        <f>VLOOKUP(C681,'[1]terceros cto'!B$1:D$65536,3,0)</f>
        <v>Paipa</v>
      </c>
      <c r="G681" s="21">
        <v>15516</v>
      </c>
      <c r="H681" s="9">
        <v>212</v>
      </c>
      <c r="I681" s="28">
        <v>14007223</v>
      </c>
      <c r="J681" s="29">
        <v>0</v>
      </c>
      <c r="K681" s="22">
        <v>0</v>
      </c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9"/>
      <c r="CD681" s="9"/>
      <c r="CE681" s="9"/>
      <c r="CF681" s="9"/>
      <c r="CG681" s="9"/>
      <c r="CH681" s="9"/>
      <c r="CI681" s="9"/>
      <c r="CJ681" s="9"/>
      <c r="CK681" s="9"/>
      <c r="CL681" s="9"/>
      <c r="CM681" s="9"/>
      <c r="CN681" s="9"/>
      <c r="CO681" s="9"/>
      <c r="CP681" s="9"/>
      <c r="CQ681" s="9"/>
      <c r="CR681" s="9"/>
      <c r="CS681" s="9"/>
      <c r="CT681" s="9"/>
      <c r="CU681" s="9"/>
      <c r="CV681" s="9"/>
      <c r="CW681" s="9"/>
      <c r="CX681" s="9"/>
      <c r="CY681" s="9"/>
      <c r="CZ681" s="9"/>
      <c r="DA681" s="9"/>
      <c r="DB681" s="9"/>
      <c r="DC681" s="9"/>
      <c r="DD681" s="9"/>
      <c r="DE681" s="9"/>
      <c r="DF681" s="9"/>
      <c r="DG681" s="9"/>
      <c r="DH681" s="9"/>
      <c r="DI681" s="9"/>
      <c r="DJ681" s="9"/>
      <c r="DK681" s="9"/>
      <c r="DL681" s="9"/>
      <c r="DM681" s="9"/>
      <c r="DN681" s="9"/>
      <c r="DO681" s="9"/>
      <c r="DP681" s="9"/>
      <c r="DQ681" s="9"/>
      <c r="DR681" s="9"/>
      <c r="DS681" s="9"/>
      <c r="DT681" s="9"/>
      <c r="DU681" s="9"/>
      <c r="DV681" s="9"/>
      <c r="DW681" s="9"/>
      <c r="DX681" s="9"/>
      <c r="DY681" s="9"/>
      <c r="DZ681" s="9"/>
      <c r="EA681" s="9"/>
      <c r="EB681" s="9"/>
      <c r="EC681" s="9"/>
      <c r="ED681" s="9"/>
      <c r="EE681" s="9"/>
      <c r="EF681" s="9"/>
      <c r="EG681" s="9"/>
      <c r="EH681" s="9"/>
      <c r="EI681" s="9"/>
      <c r="EJ681" s="9"/>
      <c r="EK681" s="9"/>
      <c r="EL681" s="9"/>
    </row>
    <row r="682" spans="1:142" x14ac:dyDescent="0.35">
      <c r="A682" s="9">
        <v>901880275</v>
      </c>
      <c r="B682" s="19">
        <v>1</v>
      </c>
      <c r="C682" s="9" t="str">
        <f>VLOOKUP(A682,'[1]terceros cto'!A$1:B$65536,2,0)</f>
        <v>SMART SPHERE SAS</v>
      </c>
      <c r="D682" s="20" t="str">
        <f>VLOOKUP(C682,'[1]terceros cto'!B$1:F$65536,5,0)</f>
        <v>smartspheresas@gmail.com</v>
      </c>
      <c r="E682" s="21" t="s">
        <v>2252</v>
      </c>
      <c r="F682" s="9" t="str">
        <f>VLOOKUP(C682,'[1]terceros cto'!B$1:D$65536,3,0)</f>
        <v>Paipa</v>
      </c>
      <c r="G682" s="21">
        <v>15516</v>
      </c>
      <c r="H682" s="9">
        <v>212</v>
      </c>
      <c r="I682" s="30">
        <v>100000</v>
      </c>
      <c r="J682" s="31">
        <v>0</v>
      </c>
      <c r="K682" s="22">
        <v>0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  <c r="CD682" s="9"/>
      <c r="CE682" s="9"/>
      <c r="CF682" s="9"/>
      <c r="CG682" s="9"/>
      <c r="CH682" s="9"/>
      <c r="CI682" s="9"/>
      <c r="CJ682" s="9"/>
      <c r="CK682" s="9"/>
      <c r="CL682" s="9"/>
      <c r="CM682" s="9"/>
      <c r="CN682" s="9"/>
      <c r="CO682" s="9"/>
      <c r="CP682" s="9"/>
      <c r="CQ682" s="9"/>
      <c r="CR682" s="9"/>
      <c r="CS682" s="9"/>
      <c r="CT682" s="9"/>
      <c r="CU682" s="9"/>
      <c r="CV682" s="9"/>
      <c r="CW682" s="9"/>
      <c r="CX682" s="9"/>
      <c r="CY682" s="9"/>
      <c r="CZ682" s="9"/>
      <c r="DA682" s="9"/>
      <c r="DB682" s="9"/>
      <c r="DC682" s="9"/>
      <c r="DD682" s="9"/>
      <c r="DE682" s="9"/>
      <c r="DF682" s="9"/>
      <c r="DG682" s="9"/>
      <c r="DH682" s="9"/>
      <c r="DI682" s="9"/>
      <c r="DJ682" s="9"/>
      <c r="DK682" s="9"/>
      <c r="DL682" s="9"/>
      <c r="DM682" s="9"/>
      <c r="DN682" s="9"/>
      <c r="DO682" s="9"/>
      <c r="DP682" s="9"/>
      <c r="DQ682" s="9"/>
      <c r="DR682" s="9"/>
      <c r="DS682" s="9"/>
      <c r="DT682" s="9"/>
      <c r="DU682" s="9"/>
      <c r="DV682" s="9"/>
      <c r="DW682" s="9"/>
      <c r="DX682" s="9"/>
      <c r="DY682" s="9"/>
      <c r="DZ682" s="9"/>
      <c r="EA682" s="9"/>
      <c r="EB682" s="9"/>
      <c r="EC682" s="9"/>
      <c r="ED682" s="9"/>
      <c r="EE682" s="9"/>
      <c r="EF682" s="9"/>
      <c r="EG682" s="9"/>
      <c r="EH682" s="9"/>
      <c r="EI682" s="9"/>
      <c r="EJ682" s="9"/>
      <c r="EK682" s="9"/>
      <c r="EL682" s="9"/>
    </row>
    <row r="683" spans="1:142" x14ac:dyDescent="0.35">
      <c r="A683" s="9">
        <v>910422</v>
      </c>
      <c r="B683" s="19">
        <v>1</v>
      </c>
      <c r="C683" s="9" t="str">
        <f>VLOOKUP(A683,'[1]terceros cto'!A$1:B$65536,2,0)</f>
        <v>PARRA BENITEZ JAIME SEBASTIAN</v>
      </c>
      <c r="D683" s="20" t="str">
        <f>VLOOKUP(C683,'[1]terceros cto'!B$1:F$65536,5,0)</f>
        <v>parra0408@hotmail.com</v>
      </c>
      <c r="E683" s="21" t="s">
        <v>2252</v>
      </c>
      <c r="F683" s="9" t="str">
        <f>VLOOKUP(C683,'[1]terceros cto'!B$1:D$65536,3,0)</f>
        <v>Paipa</v>
      </c>
      <c r="G683" s="21">
        <v>15516</v>
      </c>
      <c r="H683" s="9">
        <v>212</v>
      </c>
      <c r="I683" s="28">
        <v>142957</v>
      </c>
      <c r="J683" s="29">
        <v>0</v>
      </c>
      <c r="K683" s="22">
        <v>0</v>
      </c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9"/>
      <c r="CD683" s="9"/>
      <c r="CE683" s="9"/>
      <c r="CF683" s="9"/>
      <c r="CG683" s="9"/>
      <c r="CH683" s="9"/>
      <c r="CI683" s="9"/>
      <c r="CJ683" s="9"/>
      <c r="CK683" s="9"/>
      <c r="CL683" s="9"/>
      <c r="CM683" s="9"/>
      <c r="CN683" s="9"/>
      <c r="CO683" s="9"/>
      <c r="CP683" s="9"/>
      <c r="CQ683" s="9"/>
      <c r="CR683" s="9"/>
      <c r="CS683" s="9"/>
      <c r="CT683" s="9"/>
      <c r="CU683" s="9"/>
      <c r="CV683" s="9"/>
      <c r="CW683" s="9"/>
      <c r="CX683" s="9"/>
      <c r="CY683" s="9"/>
      <c r="CZ683" s="9"/>
      <c r="DA683" s="9"/>
      <c r="DB683" s="9"/>
      <c r="DC683" s="9"/>
      <c r="DD683" s="9"/>
      <c r="DE683" s="9"/>
      <c r="DF683" s="9"/>
      <c r="DG683" s="9"/>
      <c r="DH683" s="9"/>
      <c r="DI683" s="9"/>
      <c r="DJ683" s="9"/>
      <c r="DK683" s="9"/>
      <c r="DL683" s="9"/>
      <c r="DM683" s="9"/>
      <c r="DN683" s="9"/>
      <c r="DO683" s="9"/>
      <c r="DP683" s="9"/>
      <c r="DQ683" s="9"/>
      <c r="DR683" s="9"/>
      <c r="DS683" s="9"/>
      <c r="DT683" s="9"/>
      <c r="DU683" s="9"/>
      <c r="DV683" s="9"/>
      <c r="DW683" s="9"/>
      <c r="DX683" s="9"/>
      <c r="DY683" s="9"/>
      <c r="DZ683" s="9"/>
      <c r="EA683" s="9"/>
      <c r="EB683" s="9"/>
      <c r="EC683" s="9"/>
      <c r="ED683" s="9"/>
      <c r="EE683" s="9"/>
      <c r="EF683" s="9"/>
      <c r="EG683" s="9"/>
      <c r="EH683" s="9"/>
      <c r="EI683" s="9"/>
      <c r="EJ683" s="9"/>
      <c r="EK683" s="9"/>
      <c r="EL683" s="9"/>
    </row>
    <row r="684" spans="1:142" x14ac:dyDescent="0.35">
      <c r="A684" s="9">
        <v>91080825</v>
      </c>
      <c r="B684" s="19">
        <v>2</v>
      </c>
      <c r="C684" s="9" t="str">
        <f>VLOOKUP(A684,'[1]terceros cto'!A$1:B$65536,2,0)</f>
        <v>ARAQUE ARAQUE OSCAR</v>
      </c>
      <c r="D684" s="20" t="str">
        <f>VLOOKUP(C684,'[1]terceros cto'!B$1:F$65536,5,0)</f>
        <v>oscar.a2013@hotmail.com</v>
      </c>
      <c r="E684" s="21" t="s">
        <v>2252</v>
      </c>
      <c r="F684" s="9" t="str">
        <f>VLOOKUP(C684,'[1]terceros cto'!B$1:D$65536,3,0)</f>
        <v>CALLE 200 # 25-18</v>
      </c>
      <c r="G684" s="21">
        <v>15516</v>
      </c>
      <c r="H684" s="9">
        <v>212</v>
      </c>
      <c r="I684" s="30">
        <v>579001</v>
      </c>
      <c r="J684" s="31">
        <v>0</v>
      </c>
      <c r="K684" s="22">
        <v>0</v>
      </c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9"/>
      <c r="CC684" s="9"/>
      <c r="CD684" s="9"/>
      <c r="CE684" s="9"/>
      <c r="CF684" s="9"/>
      <c r="CG684" s="9"/>
      <c r="CH684" s="9"/>
      <c r="CI684" s="9"/>
      <c r="CJ684" s="9"/>
      <c r="CK684" s="9"/>
      <c r="CL684" s="9"/>
      <c r="CM684" s="9"/>
      <c r="CN684" s="9"/>
      <c r="CO684" s="9"/>
      <c r="CP684" s="9"/>
      <c r="CQ684" s="9"/>
      <c r="CR684" s="9"/>
      <c r="CS684" s="9"/>
      <c r="CT684" s="9"/>
      <c r="CU684" s="9"/>
      <c r="CV684" s="9"/>
      <c r="CW684" s="9"/>
      <c r="CX684" s="9"/>
      <c r="CY684" s="9"/>
      <c r="CZ684" s="9"/>
      <c r="DA684" s="9"/>
      <c r="DB684" s="9"/>
      <c r="DC684" s="9"/>
      <c r="DD684" s="9"/>
      <c r="DE684" s="9"/>
      <c r="DF684" s="9"/>
      <c r="DG684" s="9"/>
      <c r="DH684" s="9"/>
      <c r="DI684" s="9"/>
      <c r="DJ684" s="9"/>
      <c r="DK684" s="9"/>
      <c r="DL684" s="9"/>
      <c r="DM684" s="9"/>
      <c r="DN684" s="9"/>
      <c r="DO684" s="9"/>
      <c r="DP684" s="9"/>
      <c r="DQ684" s="9"/>
      <c r="DR684" s="9"/>
      <c r="DS684" s="9"/>
      <c r="DT684" s="9"/>
      <c r="DU684" s="9"/>
      <c r="DV684" s="9"/>
      <c r="DW684" s="9"/>
      <c r="DX684" s="9"/>
      <c r="DY684" s="9"/>
      <c r="DZ684" s="9"/>
      <c r="EA684" s="9"/>
      <c r="EB684" s="9"/>
      <c r="EC684" s="9"/>
      <c r="ED684" s="9"/>
      <c r="EE684" s="9"/>
      <c r="EF684" s="9"/>
      <c r="EG684" s="9"/>
      <c r="EH684" s="9"/>
      <c r="EI684" s="9"/>
      <c r="EJ684" s="9"/>
      <c r="EK684" s="9"/>
      <c r="EL684" s="9"/>
    </row>
    <row r="685" spans="1:142" x14ac:dyDescent="0.35">
      <c r="A685" s="9">
        <v>91133804</v>
      </c>
      <c r="B685" s="19">
        <v>7</v>
      </c>
      <c r="C685" s="9" t="str">
        <f>VLOOKUP(A685,'[1]terceros cto'!A$1:B$65536,2,0)</f>
        <v>HERNANDEZ OSORIO SEGUNDO LAURENTINO</v>
      </c>
      <c r="D685" s="20" t="str">
        <f>VLOOKUP(C685,'[1]terceros cto'!B$1:F$65536,5,0)</f>
        <v>slaurentino25@hotmail.com</v>
      </c>
      <c r="E685" s="21" t="s">
        <v>2252</v>
      </c>
      <c r="F685" s="9" t="str">
        <f>VLOOKUP(C685,'[1]terceros cto'!B$1:D$65536,3,0)</f>
        <v>PAIPA</v>
      </c>
      <c r="G685" s="21">
        <v>15516</v>
      </c>
      <c r="H685" s="9">
        <v>212</v>
      </c>
      <c r="I685" s="28">
        <v>200000</v>
      </c>
      <c r="J685" s="29">
        <v>0</v>
      </c>
      <c r="K685" s="22">
        <v>0</v>
      </c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  <c r="CB685" s="9"/>
      <c r="CC685" s="9"/>
      <c r="CD685" s="9"/>
      <c r="CE685" s="9"/>
      <c r="CF685" s="9"/>
      <c r="CG685" s="9"/>
      <c r="CH685" s="9"/>
      <c r="CI685" s="9"/>
      <c r="CJ685" s="9"/>
      <c r="CK685" s="9"/>
      <c r="CL685" s="9"/>
      <c r="CM685" s="9"/>
      <c r="CN685" s="9"/>
      <c r="CO685" s="9"/>
      <c r="CP685" s="9"/>
      <c r="CQ685" s="9"/>
      <c r="CR685" s="9"/>
      <c r="CS685" s="9"/>
      <c r="CT685" s="9"/>
      <c r="CU685" s="9"/>
      <c r="CV685" s="9"/>
      <c r="CW685" s="9"/>
      <c r="CX685" s="9"/>
      <c r="CY685" s="9"/>
      <c r="CZ685" s="9"/>
      <c r="DA685" s="9"/>
      <c r="DB685" s="9"/>
      <c r="DC685" s="9"/>
      <c r="DD685" s="9"/>
      <c r="DE685" s="9"/>
      <c r="DF685" s="9"/>
      <c r="DG685" s="9"/>
      <c r="DH685" s="9"/>
      <c r="DI685" s="9"/>
      <c r="DJ685" s="9"/>
      <c r="DK685" s="9"/>
      <c r="DL685" s="9"/>
      <c r="DM685" s="9"/>
      <c r="DN685" s="9"/>
      <c r="DO685" s="9"/>
      <c r="DP685" s="9"/>
      <c r="DQ685" s="9"/>
      <c r="DR685" s="9"/>
      <c r="DS685" s="9"/>
      <c r="DT685" s="9"/>
      <c r="DU685" s="9"/>
      <c r="DV685" s="9"/>
      <c r="DW685" s="9"/>
      <c r="DX685" s="9"/>
      <c r="DY685" s="9"/>
      <c r="DZ685" s="9"/>
      <c r="EA685" s="9"/>
      <c r="EB685" s="9"/>
      <c r="EC685" s="9"/>
      <c r="ED685" s="9"/>
      <c r="EE685" s="9"/>
      <c r="EF685" s="9"/>
      <c r="EG685" s="9"/>
      <c r="EH685" s="9"/>
      <c r="EI685" s="9"/>
      <c r="EJ685" s="9"/>
      <c r="EK685" s="9"/>
      <c r="EL685" s="9"/>
    </row>
    <row r="686" spans="1:142" x14ac:dyDescent="0.35">
      <c r="A686" s="9">
        <v>91258404</v>
      </c>
      <c r="B686" s="19">
        <v>1</v>
      </c>
      <c r="C686" s="9" t="str">
        <f>VLOOKUP(A686,'[1]terceros cto'!A$1:B$65536,2,0)</f>
        <v>DIAZ SEPÚLVEDA LUIS IGNACIO</v>
      </c>
      <c r="D686" s="20" t="str">
        <f>VLOOKUP(C686,'[1]terceros cto'!B$1:F$65536,5,0)</f>
        <v>ludiaz6720@gmail.com</v>
      </c>
      <c r="E686" s="21" t="s">
        <v>2252</v>
      </c>
      <c r="F686" s="9" t="str">
        <f>VLOOKUP(C686,'[1]terceros cto'!B$1:D$65536,3,0)</f>
        <v>Paipa</v>
      </c>
      <c r="G686" s="21">
        <v>15516</v>
      </c>
      <c r="H686" s="9">
        <v>212</v>
      </c>
      <c r="I686" s="30">
        <v>50000</v>
      </c>
      <c r="J686" s="31">
        <v>0</v>
      </c>
      <c r="K686" s="22">
        <v>0</v>
      </c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9"/>
      <c r="CD686" s="9"/>
      <c r="CE686" s="9"/>
      <c r="CF686" s="9"/>
      <c r="CG686" s="9"/>
      <c r="CH686" s="9"/>
      <c r="CI686" s="9"/>
      <c r="CJ686" s="9"/>
      <c r="CK686" s="9"/>
      <c r="CL686" s="9"/>
      <c r="CM686" s="9"/>
      <c r="CN686" s="9"/>
      <c r="CO686" s="9"/>
      <c r="CP686" s="9"/>
      <c r="CQ686" s="9"/>
      <c r="CR686" s="9"/>
      <c r="CS686" s="9"/>
      <c r="CT686" s="9"/>
      <c r="CU686" s="9"/>
      <c r="CV686" s="9"/>
      <c r="CW686" s="9"/>
      <c r="CX686" s="9"/>
      <c r="CY686" s="9"/>
      <c r="CZ686" s="9"/>
      <c r="DA686" s="9"/>
      <c r="DB686" s="9"/>
      <c r="DC686" s="9"/>
      <c r="DD686" s="9"/>
      <c r="DE686" s="9"/>
      <c r="DF686" s="9"/>
      <c r="DG686" s="9"/>
      <c r="DH686" s="9"/>
      <c r="DI686" s="9"/>
      <c r="DJ686" s="9"/>
      <c r="DK686" s="9"/>
      <c r="DL686" s="9"/>
      <c r="DM686" s="9"/>
      <c r="DN686" s="9"/>
      <c r="DO686" s="9"/>
      <c r="DP686" s="9"/>
      <c r="DQ686" s="9"/>
      <c r="DR686" s="9"/>
      <c r="DS686" s="9"/>
      <c r="DT686" s="9"/>
      <c r="DU686" s="9"/>
      <c r="DV686" s="9"/>
      <c r="DW686" s="9"/>
      <c r="DX686" s="9"/>
      <c r="DY686" s="9"/>
      <c r="DZ686" s="9"/>
      <c r="EA686" s="9"/>
      <c r="EB686" s="9"/>
      <c r="EC686" s="9"/>
      <c r="ED686" s="9"/>
      <c r="EE686" s="9"/>
      <c r="EF686" s="9"/>
      <c r="EG686" s="9"/>
      <c r="EH686" s="9"/>
      <c r="EI686" s="9"/>
      <c r="EJ686" s="9"/>
      <c r="EK686" s="9"/>
      <c r="EL686" s="9"/>
    </row>
    <row r="687" spans="1:142" x14ac:dyDescent="0.35">
      <c r="A687" s="9">
        <v>91532775</v>
      </c>
      <c r="B687" s="19">
        <v>3</v>
      </c>
      <c r="C687" s="9" t="str">
        <f>VLOOKUP(A687,'[1]terceros cto'!A$1:B$65536,2,0)</f>
        <v>ÁLVAREZ CASTRO HELVER CRISPINIANO</v>
      </c>
      <c r="D687" s="20" t="str">
        <f>VLOOKUP(C687,'[1]terceros cto'!B$1:F$65536,5,0)</f>
        <v>helver.alvarez@gmail.com</v>
      </c>
      <c r="E687" s="21" t="s">
        <v>2252</v>
      </c>
      <c r="F687" s="9" t="str">
        <f>VLOOKUP(C687,'[1]terceros cto'!B$1:D$65536,3,0)</f>
        <v>Paipa</v>
      </c>
      <c r="G687" s="21">
        <v>15516</v>
      </c>
      <c r="H687" s="9">
        <v>212</v>
      </c>
      <c r="I687" s="28">
        <v>50000</v>
      </c>
      <c r="J687" s="29">
        <v>0</v>
      </c>
      <c r="K687" s="22">
        <v>0</v>
      </c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9"/>
      <c r="CD687" s="9"/>
      <c r="CE687" s="9"/>
      <c r="CF687" s="9"/>
      <c r="CG687" s="9"/>
      <c r="CH687" s="9"/>
      <c r="CI687" s="9"/>
      <c r="CJ687" s="9"/>
      <c r="CK687" s="9"/>
      <c r="CL687" s="9"/>
      <c r="CM687" s="9"/>
      <c r="CN687" s="9"/>
      <c r="CO687" s="9"/>
      <c r="CP687" s="9"/>
      <c r="CQ687" s="9"/>
      <c r="CR687" s="9"/>
      <c r="CS687" s="9"/>
      <c r="CT687" s="9"/>
      <c r="CU687" s="9"/>
      <c r="CV687" s="9"/>
      <c r="CW687" s="9"/>
      <c r="CX687" s="9"/>
      <c r="CY687" s="9"/>
      <c r="CZ687" s="9"/>
      <c r="DA687" s="9"/>
      <c r="DB687" s="9"/>
      <c r="DC687" s="9"/>
      <c r="DD687" s="9"/>
      <c r="DE687" s="9"/>
      <c r="DF687" s="9"/>
      <c r="DG687" s="9"/>
      <c r="DH687" s="9"/>
      <c r="DI687" s="9"/>
      <c r="DJ687" s="9"/>
      <c r="DK687" s="9"/>
      <c r="DL687" s="9"/>
      <c r="DM687" s="9"/>
      <c r="DN687" s="9"/>
      <c r="DO687" s="9"/>
      <c r="DP687" s="9"/>
      <c r="DQ687" s="9"/>
      <c r="DR687" s="9"/>
      <c r="DS687" s="9"/>
      <c r="DT687" s="9"/>
      <c r="DU687" s="9"/>
      <c r="DV687" s="9"/>
      <c r="DW687" s="9"/>
      <c r="DX687" s="9"/>
      <c r="DY687" s="9"/>
      <c r="DZ687" s="9"/>
      <c r="EA687" s="9"/>
      <c r="EB687" s="9"/>
      <c r="EC687" s="9"/>
      <c r="ED687" s="9"/>
      <c r="EE687" s="9"/>
      <c r="EF687" s="9"/>
      <c r="EG687" s="9"/>
      <c r="EH687" s="9"/>
      <c r="EI687" s="9"/>
      <c r="EJ687" s="9"/>
      <c r="EK687" s="9"/>
      <c r="EL687" s="9"/>
    </row>
    <row r="688" spans="1:142" x14ac:dyDescent="0.35">
      <c r="A688" s="9">
        <v>93436916</v>
      </c>
      <c r="B688" s="19">
        <v>1</v>
      </c>
      <c r="C688" s="9" t="str">
        <f>VLOOKUP(A688,'[1]terceros cto'!A$1:B$65536,2,0)</f>
        <v>VELA SILVA NESTOR RAUL</v>
      </c>
      <c r="D688" s="20" t="str">
        <f>VLOOKUP(C688,'[1]terceros cto'!B$1:F$65536,5,0)</f>
        <v>nestorinivela@gmail.com</v>
      </c>
      <c r="E688" s="21" t="s">
        <v>2252</v>
      </c>
      <c r="F688" s="9" t="str">
        <f>VLOOKUP(C688,'[1]terceros cto'!B$1:D$65536,3,0)</f>
        <v>Paipa</v>
      </c>
      <c r="G688" s="21">
        <v>15516</v>
      </c>
      <c r="H688" s="9">
        <v>212</v>
      </c>
      <c r="I688" s="30">
        <v>60000</v>
      </c>
      <c r="J688" s="31">
        <v>0</v>
      </c>
      <c r="K688" s="22">
        <v>0</v>
      </c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9"/>
      <c r="CD688" s="9"/>
      <c r="CE688" s="9"/>
      <c r="CF688" s="9"/>
      <c r="CG688" s="9"/>
      <c r="CH688" s="9"/>
      <c r="CI688" s="9"/>
      <c r="CJ688" s="9"/>
      <c r="CK688" s="9"/>
      <c r="CL688" s="9"/>
      <c r="CM688" s="9"/>
      <c r="CN688" s="9"/>
      <c r="CO688" s="9"/>
      <c r="CP688" s="9"/>
      <c r="CQ688" s="9"/>
      <c r="CR688" s="9"/>
      <c r="CS688" s="9"/>
      <c r="CT688" s="9"/>
      <c r="CU688" s="9"/>
      <c r="CV688" s="9"/>
      <c r="CW688" s="9"/>
      <c r="CX688" s="9"/>
      <c r="CY688" s="9"/>
      <c r="CZ688" s="9"/>
      <c r="DA688" s="9"/>
      <c r="DB688" s="9"/>
      <c r="DC688" s="9"/>
      <c r="DD688" s="9"/>
      <c r="DE688" s="9"/>
      <c r="DF688" s="9"/>
      <c r="DG688" s="9"/>
      <c r="DH688" s="9"/>
      <c r="DI688" s="9"/>
      <c r="DJ688" s="9"/>
      <c r="DK688" s="9"/>
      <c r="DL688" s="9"/>
      <c r="DM688" s="9"/>
      <c r="DN688" s="9"/>
      <c r="DO688" s="9"/>
      <c r="DP688" s="9"/>
      <c r="DQ688" s="9"/>
      <c r="DR688" s="9"/>
      <c r="DS688" s="9"/>
      <c r="DT688" s="9"/>
      <c r="DU688" s="9"/>
      <c r="DV688" s="9"/>
      <c r="DW688" s="9"/>
      <c r="DX688" s="9"/>
      <c r="DY688" s="9"/>
      <c r="DZ688" s="9"/>
      <c r="EA688" s="9"/>
      <c r="EB688" s="9"/>
      <c r="EC688" s="9"/>
      <c r="ED688" s="9"/>
      <c r="EE688" s="9"/>
      <c r="EF688" s="9"/>
      <c r="EG688" s="9"/>
      <c r="EH688" s="9"/>
      <c r="EI688" s="9"/>
      <c r="EJ688" s="9"/>
      <c r="EK688" s="9"/>
      <c r="EL688" s="9"/>
    </row>
    <row r="689" spans="1:142" x14ac:dyDescent="0.35">
      <c r="A689" s="9">
        <v>9397005</v>
      </c>
      <c r="B689" s="19">
        <v>3</v>
      </c>
      <c r="C689" s="9" t="str">
        <f>VLOOKUP(A689,'[1]terceros cto'!A$1:B$65536,2,0)</f>
        <v>MARIÑO CORREA JORGE RODOLFO</v>
      </c>
      <c r="D689" s="20" t="str">
        <f>VLOOKUP(C689,'[1]terceros cto'!B$1:F$65536,5,0)</f>
        <v>transportes499@gmail.com</v>
      </c>
      <c r="E689" s="21" t="s">
        <v>2252</v>
      </c>
      <c r="F689" s="9" t="str">
        <f>VLOOKUP(C689,'[1]terceros cto'!B$1:D$65536,3,0)</f>
        <v>PAIPA</v>
      </c>
      <c r="G689" s="21">
        <v>15516</v>
      </c>
      <c r="H689" s="9">
        <v>212</v>
      </c>
      <c r="I689" s="28">
        <v>50000</v>
      </c>
      <c r="J689" s="29">
        <v>0</v>
      </c>
      <c r="K689" s="22">
        <v>0</v>
      </c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9"/>
      <c r="CC689" s="9"/>
      <c r="CD689" s="9"/>
      <c r="CE689" s="9"/>
      <c r="CF689" s="9"/>
      <c r="CG689" s="9"/>
      <c r="CH689" s="9"/>
      <c r="CI689" s="9"/>
      <c r="CJ689" s="9"/>
      <c r="CK689" s="9"/>
      <c r="CL689" s="9"/>
      <c r="CM689" s="9"/>
      <c r="CN689" s="9"/>
      <c r="CO689" s="9"/>
      <c r="CP689" s="9"/>
      <c r="CQ689" s="9"/>
      <c r="CR689" s="9"/>
      <c r="CS689" s="9"/>
      <c r="CT689" s="9"/>
      <c r="CU689" s="9"/>
      <c r="CV689" s="9"/>
      <c r="CW689" s="9"/>
      <c r="CX689" s="9"/>
      <c r="CY689" s="9"/>
      <c r="CZ689" s="9"/>
      <c r="DA689" s="9"/>
      <c r="DB689" s="9"/>
      <c r="DC689" s="9"/>
      <c r="DD689" s="9"/>
      <c r="DE689" s="9"/>
      <c r="DF689" s="9"/>
      <c r="DG689" s="9"/>
      <c r="DH689" s="9"/>
      <c r="DI689" s="9"/>
      <c r="DJ689" s="9"/>
      <c r="DK689" s="9"/>
      <c r="DL689" s="9"/>
      <c r="DM689" s="9"/>
      <c r="DN689" s="9"/>
      <c r="DO689" s="9"/>
      <c r="DP689" s="9"/>
      <c r="DQ689" s="9"/>
      <c r="DR689" s="9"/>
      <c r="DS689" s="9"/>
      <c r="DT689" s="9"/>
      <c r="DU689" s="9"/>
      <c r="DV689" s="9"/>
      <c r="DW689" s="9"/>
      <c r="DX689" s="9"/>
      <c r="DY689" s="9"/>
      <c r="DZ689" s="9"/>
      <c r="EA689" s="9"/>
      <c r="EB689" s="9"/>
      <c r="EC689" s="9"/>
      <c r="ED689" s="9"/>
      <c r="EE689" s="9"/>
      <c r="EF689" s="9"/>
      <c r="EG689" s="9"/>
      <c r="EH689" s="9"/>
      <c r="EI689" s="9"/>
      <c r="EJ689" s="9"/>
      <c r="EK689" s="9"/>
      <c r="EL689" s="9"/>
    </row>
    <row r="690" spans="1:142" x14ac:dyDescent="0.35">
      <c r="A690" s="9">
        <v>9397482</v>
      </c>
      <c r="B690" s="19">
        <v>3</v>
      </c>
      <c r="C690" s="9" t="str">
        <f>VLOOKUP(A690,'[1]terceros cto'!A$1:B$65536,2,0)</f>
        <v>MESA ESPINEL CESAR AUGUSTO</v>
      </c>
      <c r="D690" s="20" t="str">
        <f>VLOOKUP(C690,'[1]terceros cto'!B$1:F$65536,5,0)</f>
        <v>ferrecerrejon@gmail.com</v>
      </c>
      <c r="E690" s="21" t="s">
        <v>2252</v>
      </c>
      <c r="F690" s="9" t="str">
        <f>VLOOKUP(C690,'[1]terceros cto'!B$1:D$65536,3,0)</f>
        <v>Paipa</v>
      </c>
      <c r="G690" s="21">
        <v>15516</v>
      </c>
      <c r="H690" s="9">
        <v>212</v>
      </c>
      <c r="I690" s="30">
        <v>90020</v>
      </c>
      <c r="J690" s="31">
        <v>0</v>
      </c>
      <c r="K690" s="22">
        <v>0</v>
      </c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9"/>
      <c r="CC690" s="9"/>
      <c r="CD690" s="9"/>
      <c r="CE690" s="9"/>
      <c r="CF690" s="9"/>
      <c r="CG690" s="9"/>
      <c r="CH690" s="9"/>
      <c r="CI690" s="9"/>
      <c r="CJ690" s="9"/>
      <c r="CK690" s="9"/>
      <c r="CL690" s="9"/>
      <c r="CM690" s="9"/>
      <c r="CN690" s="9"/>
      <c r="CO690" s="9"/>
      <c r="CP690" s="9"/>
      <c r="CQ690" s="9"/>
      <c r="CR690" s="9"/>
      <c r="CS690" s="9"/>
      <c r="CT690" s="9"/>
      <c r="CU690" s="9"/>
      <c r="CV690" s="9"/>
      <c r="CW690" s="9"/>
      <c r="CX690" s="9"/>
      <c r="CY690" s="9"/>
      <c r="CZ690" s="9"/>
      <c r="DA690" s="9"/>
      <c r="DB690" s="9"/>
      <c r="DC690" s="9"/>
      <c r="DD690" s="9"/>
      <c r="DE690" s="9"/>
      <c r="DF690" s="9"/>
      <c r="DG690" s="9"/>
      <c r="DH690" s="9"/>
      <c r="DI690" s="9"/>
      <c r="DJ690" s="9"/>
      <c r="DK690" s="9"/>
      <c r="DL690" s="9"/>
      <c r="DM690" s="9"/>
      <c r="DN690" s="9"/>
      <c r="DO690" s="9"/>
      <c r="DP690" s="9"/>
      <c r="DQ690" s="9"/>
      <c r="DR690" s="9"/>
      <c r="DS690" s="9"/>
      <c r="DT690" s="9"/>
      <c r="DU690" s="9"/>
      <c r="DV690" s="9"/>
      <c r="DW690" s="9"/>
      <c r="DX690" s="9"/>
      <c r="DY690" s="9"/>
      <c r="DZ690" s="9"/>
      <c r="EA690" s="9"/>
      <c r="EB690" s="9"/>
      <c r="EC690" s="9"/>
      <c r="ED690" s="9"/>
      <c r="EE690" s="9"/>
      <c r="EF690" s="9"/>
      <c r="EG690" s="9"/>
      <c r="EH690" s="9"/>
      <c r="EI690" s="9"/>
      <c r="EJ690" s="9"/>
      <c r="EK690" s="9"/>
      <c r="EL690" s="9"/>
    </row>
    <row r="691" spans="1:142" x14ac:dyDescent="0.35">
      <c r="A691" s="9">
        <v>9513337</v>
      </c>
      <c r="B691" s="19">
        <v>1</v>
      </c>
      <c r="C691" s="9" t="str">
        <f>VLOOKUP(A691,'[1]terceros cto'!A$1:B$65536,2,0)</f>
        <v>HOTEL CASA BLANCA</v>
      </c>
      <c r="D691" s="20" t="str">
        <f>VLOOKUP(C691,'[1]terceros cto'!B$1:F$65536,5,0)</f>
        <v>hotelcasablanca1987@gmail.com</v>
      </c>
      <c r="E691" s="21">
        <f>VLOOKUP(C691,'[1]terceros cto'!B$1:E$65536,4,0)</f>
        <v>7850215</v>
      </c>
      <c r="F691" s="9" t="str">
        <f>VLOOKUP(C691,'[1]terceros cto'!B$1:D$65536,3,0)</f>
        <v>CALLE 25-10-54</v>
      </c>
      <c r="G691" s="21">
        <v>15516</v>
      </c>
      <c r="H691" s="9">
        <v>212</v>
      </c>
      <c r="I691" s="28">
        <v>580086</v>
      </c>
      <c r="J691" s="29">
        <v>0</v>
      </c>
      <c r="K691" s="22">
        <v>0</v>
      </c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9"/>
      <c r="CC691" s="9"/>
      <c r="CD691" s="9"/>
      <c r="CE691" s="9"/>
      <c r="CF691" s="9"/>
      <c r="CG691" s="9"/>
      <c r="CH691" s="9"/>
      <c r="CI691" s="9"/>
      <c r="CJ691" s="9"/>
      <c r="CK691" s="9"/>
      <c r="CL691" s="9"/>
      <c r="CM691" s="9"/>
      <c r="CN691" s="9"/>
      <c r="CO691" s="9"/>
      <c r="CP691" s="9"/>
      <c r="CQ691" s="9"/>
      <c r="CR691" s="9"/>
      <c r="CS691" s="9"/>
      <c r="CT691" s="9"/>
      <c r="CU691" s="9"/>
      <c r="CV691" s="9"/>
      <c r="CW691" s="9"/>
      <c r="CX691" s="9"/>
      <c r="CY691" s="9"/>
      <c r="CZ691" s="9"/>
      <c r="DA691" s="9"/>
      <c r="DB691" s="9"/>
      <c r="DC691" s="9"/>
      <c r="DD691" s="9"/>
      <c r="DE691" s="9"/>
      <c r="DF691" s="9"/>
      <c r="DG691" s="9"/>
      <c r="DH691" s="9"/>
      <c r="DI691" s="9"/>
      <c r="DJ691" s="9"/>
      <c r="DK691" s="9"/>
      <c r="DL691" s="9"/>
      <c r="DM691" s="9"/>
      <c r="DN691" s="9"/>
      <c r="DO691" s="9"/>
      <c r="DP691" s="9"/>
      <c r="DQ691" s="9"/>
      <c r="DR691" s="9"/>
      <c r="DS691" s="9"/>
      <c r="DT691" s="9"/>
      <c r="DU691" s="9"/>
      <c r="DV691" s="9"/>
      <c r="DW691" s="9"/>
      <c r="DX691" s="9"/>
      <c r="DY691" s="9"/>
      <c r="DZ691" s="9"/>
      <c r="EA691" s="9"/>
      <c r="EB691" s="9"/>
      <c r="EC691" s="9"/>
      <c r="ED691" s="9"/>
      <c r="EE691" s="9"/>
      <c r="EF691" s="9"/>
      <c r="EG691" s="9"/>
      <c r="EH691" s="9"/>
      <c r="EI691" s="9"/>
      <c r="EJ691" s="9"/>
      <c r="EK691" s="9"/>
      <c r="EL691" s="9"/>
    </row>
    <row r="692" spans="1:142" x14ac:dyDescent="0.35">
      <c r="A692" s="9">
        <v>9513926</v>
      </c>
      <c r="B692" s="19">
        <v>1</v>
      </c>
      <c r="C692" s="9" t="str">
        <f>VLOOKUP(A692,'[1]terceros cto'!A$1:B$65536,2,0)</f>
        <v>MATEUS INDALECIO</v>
      </c>
      <c r="D692" s="20" t="str">
        <f>VLOOKUP(C692,'[1]terceros cto'!B$1:F$65536,5,0)</f>
        <v>pagi1305@hotmail.com</v>
      </c>
      <c r="E692" s="21" t="s">
        <v>2252</v>
      </c>
      <c r="F692" s="9" t="str">
        <f>VLOOKUP(C692,'[1]terceros cto'!B$1:D$65536,3,0)</f>
        <v>paipa</v>
      </c>
      <c r="G692" s="21">
        <v>15516</v>
      </c>
      <c r="H692" s="9">
        <v>212</v>
      </c>
      <c r="I692" s="30">
        <v>50000</v>
      </c>
      <c r="J692" s="31">
        <v>0</v>
      </c>
      <c r="K692" s="22">
        <v>0</v>
      </c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9"/>
      <c r="CD692" s="9"/>
      <c r="CE692" s="9"/>
      <c r="CF692" s="9"/>
      <c r="CG692" s="9"/>
      <c r="CH692" s="9"/>
      <c r="CI692" s="9"/>
      <c r="CJ692" s="9"/>
      <c r="CK692" s="9"/>
      <c r="CL692" s="9"/>
      <c r="CM692" s="9"/>
      <c r="CN692" s="9"/>
      <c r="CO692" s="9"/>
      <c r="CP692" s="9"/>
      <c r="CQ692" s="9"/>
      <c r="CR692" s="9"/>
      <c r="CS692" s="9"/>
      <c r="CT692" s="9"/>
      <c r="CU692" s="9"/>
      <c r="CV692" s="9"/>
      <c r="CW692" s="9"/>
      <c r="CX692" s="9"/>
      <c r="CY692" s="9"/>
      <c r="CZ692" s="9"/>
      <c r="DA692" s="9"/>
      <c r="DB692" s="9"/>
      <c r="DC692" s="9"/>
      <c r="DD692" s="9"/>
      <c r="DE692" s="9"/>
      <c r="DF692" s="9"/>
      <c r="DG692" s="9"/>
      <c r="DH692" s="9"/>
      <c r="DI692" s="9"/>
      <c r="DJ692" s="9"/>
      <c r="DK692" s="9"/>
      <c r="DL692" s="9"/>
      <c r="DM692" s="9"/>
      <c r="DN692" s="9"/>
      <c r="DO692" s="9"/>
      <c r="DP692" s="9"/>
      <c r="DQ692" s="9"/>
      <c r="DR692" s="9"/>
      <c r="DS692" s="9"/>
      <c r="DT692" s="9"/>
      <c r="DU692" s="9"/>
      <c r="DV692" s="9"/>
      <c r="DW692" s="9"/>
      <c r="DX692" s="9"/>
      <c r="DY692" s="9"/>
      <c r="DZ692" s="9"/>
      <c r="EA692" s="9"/>
      <c r="EB692" s="9"/>
      <c r="EC692" s="9"/>
      <c r="ED692" s="9"/>
      <c r="EE692" s="9"/>
      <c r="EF692" s="9"/>
      <c r="EG692" s="9"/>
      <c r="EH692" s="9"/>
      <c r="EI692" s="9"/>
      <c r="EJ692" s="9"/>
      <c r="EK692" s="9"/>
      <c r="EL692" s="9"/>
    </row>
    <row r="693" spans="1:142" x14ac:dyDescent="0.35">
      <c r="A693" s="9">
        <v>9524528</v>
      </c>
      <c r="B693" s="19">
        <v>9</v>
      </c>
      <c r="C693" s="9" t="str">
        <f>VLOOKUP(A693,'[1]terceros cto'!A$1:B$65536,2,0)</f>
        <v>ARÉVALO PIÑEROS WILLIAM ISAURO</v>
      </c>
      <c r="D693" s="20" t="str">
        <f>VLOOKUP(C693,'[1]terceros cto'!B$1:F$65536,5,0)</f>
        <v>williamarevalonptario@gmail.com</v>
      </c>
      <c r="E693" s="21" t="s">
        <v>2252</v>
      </c>
      <c r="F693" s="9" t="str">
        <f>VLOOKUP(C693,'[1]terceros cto'!B$1:D$65536,3,0)</f>
        <v>Paipa</v>
      </c>
      <c r="G693" s="21">
        <v>15516</v>
      </c>
      <c r="H693" s="9">
        <v>212</v>
      </c>
      <c r="I693" s="28">
        <v>100000</v>
      </c>
      <c r="J693" s="29">
        <v>0</v>
      </c>
      <c r="K693" s="22">
        <v>0</v>
      </c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9"/>
      <c r="CD693" s="9"/>
      <c r="CE693" s="9"/>
      <c r="CF693" s="9"/>
      <c r="CG693" s="9"/>
      <c r="CH693" s="9"/>
      <c r="CI693" s="9"/>
      <c r="CJ693" s="9"/>
      <c r="CK693" s="9"/>
      <c r="CL693" s="9"/>
      <c r="CM693" s="9"/>
      <c r="CN693" s="9"/>
      <c r="CO693" s="9"/>
      <c r="CP693" s="9"/>
      <c r="CQ693" s="9"/>
      <c r="CR693" s="9"/>
      <c r="CS693" s="9"/>
      <c r="CT693" s="9"/>
      <c r="CU693" s="9"/>
      <c r="CV693" s="9"/>
      <c r="CW693" s="9"/>
      <c r="CX693" s="9"/>
      <c r="CY693" s="9"/>
      <c r="CZ693" s="9"/>
      <c r="DA693" s="9"/>
      <c r="DB693" s="9"/>
      <c r="DC693" s="9"/>
      <c r="DD693" s="9"/>
      <c r="DE693" s="9"/>
      <c r="DF693" s="9"/>
      <c r="DG693" s="9"/>
      <c r="DH693" s="9"/>
      <c r="DI693" s="9"/>
      <c r="DJ693" s="9"/>
      <c r="DK693" s="9"/>
      <c r="DL693" s="9"/>
      <c r="DM693" s="9"/>
      <c r="DN693" s="9"/>
      <c r="DO693" s="9"/>
      <c r="DP693" s="9"/>
      <c r="DQ693" s="9"/>
      <c r="DR693" s="9"/>
      <c r="DS693" s="9"/>
      <c r="DT693" s="9"/>
      <c r="DU693" s="9"/>
      <c r="DV693" s="9"/>
      <c r="DW693" s="9"/>
      <c r="DX693" s="9"/>
      <c r="DY693" s="9"/>
      <c r="DZ693" s="9"/>
      <c r="EA693" s="9"/>
      <c r="EB693" s="9"/>
      <c r="EC693" s="9"/>
      <c r="ED693" s="9"/>
      <c r="EE693" s="9"/>
      <c r="EF693" s="9"/>
      <c r="EG693" s="9"/>
      <c r="EH693" s="9"/>
      <c r="EI693" s="9"/>
      <c r="EJ693" s="9"/>
      <c r="EK693" s="9"/>
      <c r="EL693" s="9"/>
    </row>
    <row r="694" spans="1:142" x14ac:dyDescent="0.35">
      <c r="A694" s="9">
        <v>9525495</v>
      </c>
      <c r="B694" s="19">
        <v>9</v>
      </c>
      <c r="C694" s="9" t="str">
        <f>VLOOKUP(A694,'[1]terceros cto'!A$1:B$65536,2,0)</f>
        <v>PATIÑO BARRERA LUIS FRANCISCO</v>
      </c>
      <c r="D694" s="20" t="str">
        <f>VLOOKUP(C694,'[1]terceros cto'!B$1:F$65536,5,0)</f>
        <v>fran.luispatino18@gmail.com</v>
      </c>
      <c r="E694" s="21" t="s">
        <v>2252</v>
      </c>
      <c r="F694" s="9" t="str">
        <f>VLOOKUP(C694,'[1]terceros cto'!B$1:D$65536,3,0)</f>
        <v>Paipa</v>
      </c>
      <c r="G694" s="21">
        <v>15516</v>
      </c>
      <c r="H694" s="9">
        <v>212</v>
      </c>
      <c r="I694" s="30">
        <v>146960</v>
      </c>
      <c r="J694" s="31">
        <v>0</v>
      </c>
      <c r="K694" s="22">
        <v>0</v>
      </c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9"/>
      <c r="CD694" s="9"/>
      <c r="CE694" s="9"/>
      <c r="CF694" s="9"/>
      <c r="CG694" s="9"/>
      <c r="CH694" s="9"/>
      <c r="CI694" s="9"/>
      <c r="CJ694" s="9"/>
      <c r="CK694" s="9"/>
      <c r="CL694" s="9"/>
      <c r="CM694" s="9"/>
      <c r="CN694" s="9"/>
      <c r="CO694" s="9"/>
      <c r="CP694" s="9"/>
      <c r="CQ694" s="9"/>
      <c r="CR694" s="9"/>
      <c r="CS694" s="9"/>
      <c r="CT694" s="9"/>
      <c r="CU694" s="9"/>
      <c r="CV694" s="9"/>
      <c r="CW694" s="9"/>
      <c r="CX694" s="9"/>
      <c r="CY694" s="9"/>
      <c r="CZ694" s="9"/>
      <c r="DA694" s="9"/>
      <c r="DB694" s="9"/>
      <c r="DC694" s="9"/>
      <c r="DD694" s="9"/>
      <c r="DE694" s="9"/>
      <c r="DF694" s="9"/>
      <c r="DG694" s="9"/>
      <c r="DH694" s="9"/>
      <c r="DI694" s="9"/>
      <c r="DJ694" s="9"/>
      <c r="DK694" s="9"/>
      <c r="DL694" s="9"/>
      <c r="DM694" s="9"/>
      <c r="DN694" s="9"/>
      <c r="DO694" s="9"/>
      <c r="DP694" s="9"/>
      <c r="DQ694" s="9"/>
      <c r="DR694" s="9"/>
      <c r="DS694" s="9"/>
      <c r="DT694" s="9"/>
      <c r="DU694" s="9"/>
      <c r="DV694" s="9"/>
      <c r="DW694" s="9"/>
      <c r="DX694" s="9"/>
      <c r="DY694" s="9"/>
      <c r="DZ694" s="9"/>
      <c r="EA694" s="9"/>
      <c r="EB694" s="9"/>
      <c r="EC694" s="9"/>
      <c r="ED694" s="9"/>
      <c r="EE694" s="9"/>
      <c r="EF694" s="9"/>
      <c r="EG694" s="9"/>
      <c r="EH694" s="9"/>
      <c r="EI694" s="9"/>
      <c r="EJ694" s="9"/>
      <c r="EK694" s="9"/>
      <c r="EL694" s="9"/>
    </row>
    <row r="695" spans="1:142" x14ac:dyDescent="0.35">
      <c r="A695" s="9">
        <v>9636422</v>
      </c>
      <c r="B695" s="19">
        <v>8</v>
      </c>
      <c r="C695" s="9" t="str">
        <f>VLOOKUP(A695,'[1]terceros cto'!A$1:B$65536,2,0)</f>
        <v>SORACÁ PIRAJAN FREDY HERNÁN</v>
      </c>
      <c r="D695" s="20" t="str">
        <f>VLOOKUP(C695,'[1]terceros cto'!B$1:F$65536,5,0)</f>
        <v>briceidatambo03@gamil.com</v>
      </c>
      <c r="E695" s="21" t="s">
        <v>2252</v>
      </c>
      <c r="F695" s="9" t="str">
        <f>VLOOKUP(C695,'[1]terceros cto'!B$1:D$65536,3,0)</f>
        <v>Paipa</v>
      </c>
      <c r="G695" s="21">
        <v>15516</v>
      </c>
      <c r="H695" s="9">
        <v>212</v>
      </c>
      <c r="I695" s="28">
        <v>370000</v>
      </c>
      <c r="J695" s="29">
        <v>0</v>
      </c>
      <c r="K695" s="22">
        <v>0</v>
      </c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  <c r="CD695" s="9"/>
      <c r="CE695" s="9"/>
      <c r="CF695" s="9"/>
      <c r="CG695" s="9"/>
      <c r="CH695" s="9"/>
      <c r="CI695" s="9"/>
      <c r="CJ695" s="9"/>
      <c r="CK695" s="9"/>
      <c r="CL695" s="9"/>
      <c r="CM695" s="9"/>
      <c r="CN695" s="9"/>
      <c r="CO695" s="9"/>
      <c r="CP695" s="9"/>
      <c r="CQ695" s="9"/>
      <c r="CR695" s="9"/>
      <c r="CS695" s="9"/>
      <c r="CT695" s="9"/>
      <c r="CU695" s="9"/>
      <c r="CV695" s="9"/>
      <c r="CW695" s="9"/>
      <c r="CX695" s="9"/>
      <c r="CY695" s="9"/>
      <c r="CZ695" s="9"/>
      <c r="DA695" s="9"/>
      <c r="DB695" s="9"/>
      <c r="DC695" s="9"/>
      <c r="DD695" s="9"/>
      <c r="DE695" s="9"/>
      <c r="DF695" s="9"/>
      <c r="DG695" s="9"/>
      <c r="DH695" s="9"/>
      <c r="DI695" s="9"/>
      <c r="DJ695" s="9"/>
      <c r="DK695" s="9"/>
      <c r="DL695" s="9"/>
      <c r="DM695" s="9"/>
      <c r="DN695" s="9"/>
      <c r="DO695" s="9"/>
      <c r="DP695" s="9"/>
      <c r="DQ695" s="9"/>
      <c r="DR695" s="9"/>
      <c r="DS695" s="9"/>
      <c r="DT695" s="9"/>
      <c r="DU695" s="9"/>
      <c r="DV695" s="9"/>
      <c r="DW695" s="9"/>
      <c r="DX695" s="9"/>
      <c r="DY695" s="9"/>
      <c r="DZ695" s="9"/>
      <c r="EA695" s="9"/>
      <c r="EB695" s="9"/>
      <c r="EC695" s="9"/>
      <c r="ED695" s="9"/>
      <c r="EE695" s="9"/>
      <c r="EF695" s="9"/>
      <c r="EG695" s="9"/>
      <c r="EH695" s="9"/>
      <c r="EI695" s="9"/>
      <c r="EJ695" s="9"/>
      <c r="EK695" s="9"/>
      <c r="EL695" s="9"/>
    </row>
    <row r="696" spans="1:142" x14ac:dyDescent="0.35">
      <c r="A696" s="9">
        <v>9735348</v>
      </c>
      <c r="B696" s="19">
        <v>5</v>
      </c>
      <c r="C696" s="9" t="str">
        <f>VLOOKUP(A696,'[1]terceros cto'!A$1:B$65536,2,0)</f>
        <v>MARTINEZ AVILA JHON ALEJANDRO</v>
      </c>
      <c r="D696" s="20" t="str">
        <f>VLOOKUP(C696,'[1]terceros cto'!B$1:F$65536,5,0)</f>
        <v>911seguridadymonitoreo@gmail.com</v>
      </c>
      <c r="E696" s="21" t="s">
        <v>2252</v>
      </c>
      <c r="F696" s="9" t="str">
        <f>VLOOKUP(C696,'[1]terceros cto'!B$1:D$65536,3,0)</f>
        <v>Paipa</v>
      </c>
      <c r="G696" s="21">
        <v>15516</v>
      </c>
      <c r="H696" s="9">
        <v>212</v>
      </c>
      <c r="I696" s="30">
        <v>1149786</v>
      </c>
      <c r="J696" s="31">
        <v>0</v>
      </c>
      <c r="K696" s="22">
        <v>0</v>
      </c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  <c r="CD696" s="9"/>
      <c r="CE696" s="9"/>
      <c r="CF696" s="9"/>
      <c r="CG696" s="9"/>
      <c r="CH696" s="9"/>
      <c r="CI696" s="9"/>
      <c r="CJ696" s="9"/>
      <c r="CK696" s="9"/>
      <c r="CL696" s="9"/>
      <c r="CM696" s="9"/>
      <c r="CN696" s="9"/>
      <c r="CO696" s="9"/>
      <c r="CP696" s="9"/>
      <c r="CQ696" s="9"/>
      <c r="CR696" s="9"/>
      <c r="CS696" s="9"/>
      <c r="CT696" s="9"/>
      <c r="CU696" s="9"/>
      <c r="CV696" s="9"/>
      <c r="CW696" s="9"/>
      <c r="CX696" s="9"/>
      <c r="CY696" s="9"/>
      <c r="CZ696" s="9"/>
      <c r="DA696" s="9"/>
      <c r="DB696" s="9"/>
      <c r="DC696" s="9"/>
      <c r="DD696" s="9"/>
      <c r="DE696" s="9"/>
      <c r="DF696" s="9"/>
      <c r="DG696" s="9"/>
      <c r="DH696" s="9"/>
      <c r="DI696" s="9"/>
      <c r="DJ696" s="9"/>
      <c r="DK696" s="9"/>
      <c r="DL696" s="9"/>
      <c r="DM696" s="9"/>
      <c r="DN696" s="9"/>
      <c r="DO696" s="9"/>
      <c r="DP696" s="9"/>
      <c r="DQ696" s="9"/>
      <c r="DR696" s="9"/>
      <c r="DS696" s="9"/>
      <c r="DT696" s="9"/>
      <c r="DU696" s="9"/>
      <c r="DV696" s="9"/>
      <c r="DW696" s="9"/>
      <c r="DX696" s="9"/>
      <c r="DY696" s="9"/>
      <c r="DZ696" s="9"/>
      <c r="EA696" s="9"/>
      <c r="EB696" s="9"/>
      <c r="EC696" s="9"/>
      <c r="ED696" s="9"/>
      <c r="EE696" s="9"/>
      <c r="EF696" s="9"/>
      <c r="EG696" s="9"/>
      <c r="EH696" s="9"/>
      <c r="EI696" s="9"/>
      <c r="EJ696" s="9"/>
      <c r="EK696" s="9"/>
      <c r="EL696" s="9"/>
    </row>
    <row r="697" spans="1:142" s="23" customFormat="1" x14ac:dyDescent="0.35">
      <c r="A697" s="23">
        <v>46455875</v>
      </c>
      <c r="B697" s="19">
        <v>8</v>
      </c>
      <c r="C697" s="9" t="str">
        <f>VLOOKUP(A697,'[1]terceros cto'!A$1:B$65536,2,0)</f>
        <v>MORA MARTINEZ DIANA PAOLA</v>
      </c>
      <c r="D697" s="20" t="str">
        <f>VLOOKUP(C697,'[1]terceros cto'!B$1:F$65536,5,0)</f>
        <v>dianitamora2010@hotmail.com</v>
      </c>
      <c r="E697" s="21" t="s">
        <v>2252</v>
      </c>
      <c r="F697" s="9" t="str">
        <f>VLOOKUP(C697,'[1]terceros cto'!B$1:D$65536,3,0)</f>
        <v>TV 15 30 63</v>
      </c>
      <c r="G697" s="21">
        <v>15516</v>
      </c>
      <c r="H697" s="9">
        <v>212</v>
      </c>
      <c r="I697" s="32">
        <v>1052</v>
      </c>
      <c r="J697" s="33"/>
      <c r="K697" s="26"/>
    </row>
    <row r="698" spans="1:142" s="23" customFormat="1" x14ac:dyDescent="0.35">
      <c r="A698" s="9">
        <v>79804968</v>
      </c>
      <c r="B698" s="19">
        <v>2</v>
      </c>
      <c r="C698" s="9" t="str">
        <f>VLOOKUP(A698,'[1]terceros cto'!A$1:B$65536,2,0)</f>
        <v>SALAMANCA VELANDIA ALVARO</v>
      </c>
      <c r="D698" s="20" t="str">
        <f>VLOOKUP(C698,'[1]terceros cto'!B$1:F$65536,5,0)</f>
        <v>ALVARITOS1976@GMAIL.COM</v>
      </c>
      <c r="E698" s="21" t="s">
        <v>2252</v>
      </c>
      <c r="F698" s="9" t="str">
        <f>VLOOKUP(C698,'[1]terceros cto'!B$1:D$65536,3,0)</f>
        <v>CL 29 12B 21</v>
      </c>
      <c r="G698" s="21">
        <v>15516</v>
      </c>
      <c r="H698" s="9">
        <v>212</v>
      </c>
      <c r="I698" s="34">
        <v>67226</v>
      </c>
      <c r="J698" s="35"/>
      <c r="K698" s="26"/>
      <c r="L698" s="9"/>
    </row>
    <row r="699" spans="1:142" x14ac:dyDescent="0.35">
      <c r="A699" s="9">
        <v>1052381361</v>
      </c>
      <c r="B699" s="19">
        <v>8</v>
      </c>
      <c r="C699" s="9" t="str">
        <f>VLOOKUP(A699,'[1]terceros cto'!A$1:B$65536,2,0)</f>
        <v>DIAZ GARCIA WILLIAM ANDRES</v>
      </c>
      <c r="D699" s="20" t="str">
        <f>VLOOKUP(C699,'[1]terceros cto'!B$1:F$65536,5,0)</f>
        <v>williamandres@gmail.com</v>
      </c>
      <c r="E699" s="21" t="s">
        <v>2252</v>
      </c>
      <c r="F699" s="9" t="str">
        <f>VLOOKUP(C699,'[1]terceros cto'!B$1:D$65536,3,0)</f>
        <v>CLL 25 19 75</v>
      </c>
      <c r="G699" s="21">
        <v>15516</v>
      </c>
      <c r="H699" s="9">
        <v>212</v>
      </c>
      <c r="I699" s="28">
        <v>42016</v>
      </c>
      <c r="J699" s="29"/>
      <c r="K699" s="22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9"/>
      <c r="CD699" s="9"/>
      <c r="CE699" s="9"/>
      <c r="CF699" s="9"/>
      <c r="CG699" s="9"/>
      <c r="CH699" s="9"/>
      <c r="CI699" s="9"/>
      <c r="CJ699" s="9"/>
      <c r="CK699" s="9"/>
      <c r="CL699" s="9"/>
      <c r="CM699" s="9"/>
      <c r="CN699" s="9"/>
      <c r="CO699" s="9"/>
      <c r="CP699" s="9"/>
      <c r="CQ699" s="9"/>
      <c r="CR699" s="9"/>
      <c r="CS699" s="9"/>
      <c r="CT699" s="9"/>
      <c r="CU699" s="9"/>
      <c r="CV699" s="9"/>
      <c r="CW699" s="9"/>
      <c r="CX699" s="9"/>
      <c r="CY699" s="9"/>
      <c r="CZ699" s="9"/>
      <c r="DA699" s="9"/>
      <c r="DB699" s="9"/>
      <c r="DC699" s="9"/>
      <c r="DD699" s="9"/>
      <c r="DE699" s="9"/>
      <c r="DF699" s="9"/>
      <c r="DG699" s="9"/>
      <c r="DH699" s="9"/>
      <c r="DI699" s="9"/>
      <c r="DJ699" s="9"/>
      <c r="DK699" s="9"/>
      <c r="DL699" s="9"/>
      <c r="DM699" s="9"/>
      <c r="DN699" s="9"/>
      <c r="DO699" s="9"/>
      <c r="DP699" s="9"/>
      <c r="DQ699" s="9"/>
      <c r="DR699" s="9"/>
      <c r="DS699" s="9"/>
      <c r="DT699" s="9"/>
      <c r="DU699" s="9"/>
      <c r="DV699" s="9"/>
      <c r="DW699" s="9"/>
      <c r="DX699" s="9"/>
      <c r="DY699" s="9"/>
      <c r="DZ699" s="9"/>
      <c r="EA699" s="9"/>
      <c r="EB699" s="9"/>
      <c r="EC699" s="9"/>
      <c r="ED699" s="9"/>
      <c r="EE699" s="9"/>
      <c r="EF699" s="9"/>
      <c r="EG699" s="9"/>
      <c r="EH699" s="9"/>
      <c r="EI699" s="9"/>
      <c r="EJ699" s="9"/>
      <c r="EK699" s="9"/>
      <c r="EL699" s="9"/>
    </row>
    <row r="700" spans="1:142" s="23" customFormat="1" x14ac:dyDescent="0.35">
      <c r="A700" s="23">
        <v>1052409763</v>
      </c>
      <c r="B700" s="19">
        <v>9</v>
      </c>
      <c r="C700" s="9" t="str">
        <f>VLOOKUP(A700,'[1]terceros cto'!A$1:B$65536,2,0)</f>
        <v>PALACIOS RODRIGUEZ LAURA NATHALIA</v>
      </c>
      <c r="D700" s="20" t="str">
        <f>VLOOKUP(C700,'[1]terceros cto'!B$1:F$65536,5,0)</f>
        <v>laupalacios.09@hotmail.com</v>
      </c>
      <c r="E700" s="21" t="s">
        <v>2252</v>
      </c>
      <c r="F700" s="9" t="str">
        <f>VLOOKUP(C700,'[1]terceros cto'!B$1:D$65536,3,0)</f>
        <v>CL 5A 44 03</v>
      </c>
      <c r="G700" s="21">
        <v>15516</v>
      </c>
      <c r="H700" s="9">
        <v>212</v>
      </c>
      <c r="I700" s="34">
        <v>67226</v>
      </c>
      <c r="J700" s="35"/>
      <c r="K700" s="26"/>
      <c r="L700" s="9"/>
    </row>
    <row r="701" spans="1:142" x14ac:dyDescent="0.35">
      <c r="A701" s="9">
        <v>1053609631</v>
      </c>
      <c r="B701" s="19">
        <v>7</v>
      </c>
      <c r="C701" s="9" t="str">
        <f>VLOOKUP(A701,'[1]terceros cto'!A$1:B$65536,2,0)</f>
        <v>ROSAS FABIAN</v>
      </c>
      <c r="D701" s="20" t="str">
        <f>VLOOKUP(C701,'[1]terceros cto'!B$1:F$65536,5,0)</f>
        <v>fabianrosas166@gmail.com</v>
      </c>
      <c r="E701" s="21" t="s">
        <v>2252</v>
      </c>
      <c r="F701" s="9" t="str">
        <f>VLOOKUP(C701,'[1]terceros cto'!B$1:D$65536,3,0)</f>
        <v>cll 22 28 23</v>
      </c>
      <c r="G701" s="21">
        <v>15516</v>
      </c>
      <c r="H701" s="9">
        <v>212</v>
      </c>
      <c r="I701" s="28">
        <v>806715</v>
      </c>
      <c r="J701" s="29">
        <v>0</v>
      </c>
      <c r="K701" s="22">
        <v>0</v>
      </c>
      <c r="L701" s="23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9"/>
      <c r="CB701" s="9"/>
      <c r="CC701" s="9"/>
      <c r="CD701" s="9"/>
      <c r="CE701" s="9"/>
      <c r="CF701" s="9"/>
      <c r="CG701" s="9"/>
      <c r="CH701" s="9"/>
      <c r="CI701" s="9"/>
      <c r="CJ701" s="9"/>
      <c r="CK701" s="9"/>
      <c r="CL701" s="9"/>
      <c r="CM701" s="9"/>
      <c r="CN701" s="9"/>
      <c r="CO701" s="9"/>
      <c r="CP701" s="9"/>
      <c r="CQ701" s="9"/>
      <c r="CR701" s="9"/>
      <c r="CS701" s="9"/>
      <c r="CT701" s="9"/>
      <c r="CU701" s="9"/>
      <c r="CV701" s="9"/>
      <c r="CW701" s="9"/>
      <c r="CX701" s="9"/>
      <c r="CY701" s="9"/>
      <c r="CZ701" s="9"/>
      <c r="DA701" s="9"/>
      <c r="DB701" s="9"/>
      <c r="DC701" s="9"/>
      <c r="DD701" s="9"/>
      <c r="DE701" s="9"/>
      <c r="DF701" s="9"/>
      <c r="DG701" s="9"/>
      <c r="DH701" s="9"/>
      <c r="DI701" s="9"/>
      <c r="DJ701" s="9"/>
      <c r="DK701" s="9"/>
      <c r="DL701" s="9"/>
      <c r="DM701" s="9"/>
      <c r="DN701" s="9"/>
      <c r="DO701" s="9"/>
      <c r="DP701" s="9"/>
      <c r="DQ701" s="9"/>
      <c r="DR701" s="9"/>
      <c r="DS701" s="9"/>
      <c r="DT701" s="9"/>
      <c r="DU701" s="9"/>
      <c r="DV701" s="9"/>
      <c r="DW701" s="9"/>
      <c r="DX701" s="9"/>
      <c r="DY701" s="9"/>
      <c r="DZ701" s="9"/>
      <c r="EA701" s="9"/>
      <c r="EB701" s="9"/>
      <c r="EC701" s="9"/>
      <c r="ED701" s="9"/>
      <c r="EE701" s="9"/>
      <c r="EF701" s="9"/>
      <c r="EG701" s="9"/>
      <c r="EH701" s="9"/>
      <c r="EI701" s="9"/>
      <c r="EJ701" s="9"/>
      <c r="EK701" s="9"/>
      <c r="EL701" s="9"/>
    </row>
    <row r="702" spans="1:142" x14ac:dyDescent="0.35">
      <c r="A702" s="9">
        <v>1053609886</v>
      </c>
      <c r="B702" s="19">
        <v>8</v>
      </c>
      <c r="C702" s="9" t="str">
        <f>VLOOKUP(A702,'[1]terceros cto'!A$1:B$65536,2,0)</f>
        <v>BONILLA HURTADO WILMER FABIAN</v>
      </c>
      <c r="D702" s="20" t="str">
        <f>VLOOKUP(C702,'[1]terceros cto'!B$1:F$65536,5,0)</f>
        <v>w.fabianb31@gmail.com</v>
      </c>
      <c r="E702" s="21" t="s">
        <v>2252</v>
      </c>
      <c r="F702" s="9" t="str">
        <f>VLOOKUP(C702,'[1]terceros cto'!B$1:D$65536,3,0)</f>
        <v>CAÑÑE 23 17A 06</v>
      </c>
      <c r="G702" s="21">
        <v>15516</v>
      </c>
      <c r="H702" s="9">
        <v>212</v>
      </c>
      <c r="I702" s="36">
        <v>806715</v>
      </c>
      <c r="J702" s="31">
        <v>0</v>
      </c>
      <c r="K702" s="22">
        <v>0</v>
      </c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  <c r="CB702" s="9"/>
      <c r="CC702" s="9"/>
      <c r="CD702" s="9"/>
      <c r="CE702" s="9"/>
      <c r="CF702" s="9"/>
      <c r="CG702" s="9"/>
      <c r="CH702" s="9"/>
      <c r="CI702" s="9"/>
      <c r="CJ702" s="9"/>
      <c r="CK702" s="9"/>
      <c r="CL702" s="9"/>
      <c r="CM702" s="9"/>
      <c r="CN702" s="9"/>
      <c r="CO702" s="9"/>
      <c r="CP702" s="9"/>
      <c r="CQ702" s="9"/>
      <c r="CR702" s="9"/>
      <c r="CS702" s="9"/>
      <c r="CT702" s="9"/>
      <c r="CU702" s="9"/>
      <c r="CV702" s="9"/>
      <c r="CW702" s="9"/>
      <c r="CX702" s="9"/>
      <c r="CY702" s="9"/>
      <c r="CZ702" s="9"/>
      <c r="DA702" s="9"/>
      <c r="DB702" s="9"/>
      <c r="DC702" s="9"/>
      <c r="DD702" s="9"/>
      <c r="DE702" s="9"/>
      <c r="DF702" s="9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x14ac:dyDescent="0.35">
      <c r="A703" s="9">
        <v>11324099</v>
      </c>
      <c r="B703" s="19">
        <v>9</v>
      </c>
      <c r="C703" s="9" t="str">
        <f>VLOOKUP(A703,'[1]terceros cto'!A$1:B$65536,2,0)</f>
        <v>ROJAS KLEYBER NORBERTO ROJAS</v>
      </c>
      <c r="D703" s="20" t="str">
        <f>VLOOKUP(C703,'[1]terceros cto'!B$1:F$65536,5,0)</f>
        <v>mvkleyber@gmail.com</v>
      </c>
      <c r="E703" s="21" t="s">
        <v>2252</v>
      </c>
      <c r="F703" s="9" t="str">
        <f>VLOOKUP(C703,'[1]terceros cto'!B$1:D$65536,3,0)</f>
        <v>CARRERA 18 NJ 20 -34</v>
      </c>
      <c r="G703" s="21">
        <v>15516</v>
      </c>
      <c r="H703" s="9">
        <v>212</v>
      </c>
      <c r="I703" s="36">
        <v>806715</v>
      </c>
      <c r="J703" s="29">
        <v>0</v>
      </c>
      <c r="K703" s="22">
        <v>0</v>
      </c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9"/>
      <c r="CD703" s="9"/>
      <c r="CE703" s="9"/>
      <c r="CF703" s="9"/>
      <c r="CG703" s="9"/>
      <c r="CH703" s="9"/>
      <c r="CI703" s="9"/>
      <c r="CJ703" s="9"/>
      <c r="CK703" s="9"/>
      <c r="CL703" s="9"/>
      <c r="CM703" s="9"/>
      <c r="CN703" s="9"/>
      <c r="CO703" s="9"/>
      <c r="CP703" s="9"/>
      <c r="CQ703" s="9"/>
      <c r="CR703" s="9"/>
      <c r="CS703" s="9"/>
      <c r="CT703" s="9"/>
      <c r="CU703" s="9"/>
      <c r="CV703" s="9"/>
      <c r="CW703" s="9"/>
      <c r="CX703" s="9"/>
      <c r="CY703" s="9"/>
      <c r="CZ703" s="9"/>
      <c r="DA703" s="9"/>
      <c r="DB703" s="9"/>
      <c r="DC703" s="9"/>
      <c r="DD703" s="9"/>
      <c r="DE703" s="9"/>
      <c r="DF703" s="9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x14ac:dyDescent="0.35">
      <c r="A704" s="9">
        <v>23855138</v>
      </c>
      <c r="B704" s="19">
        <v>1</v>
      </c>
      <c r="C704" s="9" t="str">
        <f>VLOOKUP(A704,'[1]terceros cto'!A$1:B$65536,2,0)</f>
        <v>BAYONA ALBA MIRTHA ROCIO</v>
      </c>
      <c r="D704" s="20" t="str">
        <f>VLOOKUP(C704,'[1]terceros cto'!B$1:F$65536,5,0)</f>
        <v>mirobaal@hotmail.com</v>
      </c>
      <c r="E704" s="21" t="s">
        <v>2252</v>
      </c>
      <c r="F704" s="9" t="str">
        <f>VLOOKUP(C704,'[1]terceros cto'!B$1:D$65536,3,0)</f>
        <v>CR 18 24 12</v>
      </c>
      <c r="G704" s="21">
        <v>15516</v>
      </c>
      <c r="H704" s="9">
        <v>212</v>
      </c>
      <c r="I704" s="36">
        <v>1411752</v>
      </c>
      <c r="J704" s="31">
        <v>0</v>
      </c>
      <c r="K704" s="22">
        <v>0</v>
      </c>
      <c r="L704" s="23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9"/>
      <c r="CD704" s="9"/>
      <c r="CE704" s="9"/>
      <c r="CF704" s="9"/>
      <c r="CG704" s="9"/>
      <c r="CH704" s="9"/>
      <c r="CI704" s="9"/>
      <c r="CJ704" s="9"/>
      <c r="CK704" s="9"/>
      <c r="CL704" s="9"/>
      <c r="CM704" s="9"/>
      <c r="CN704" s="9"/>
      <c r="CO704" s="9"/>
      <c r="CP704" s="9"/>
      <c r="CQ704" s="9"/>
      <c r="CR704" s="9"/>
      <c r="CS704" s="9"/>
      <c r="CT704" s="9"/>
      <c r="CU704" s="9"/>
      <c r="CV704" s="9"/>
      <c r="CW704" s="9"/>
      <c r="CX704" s="9"/>
      <c r="CY704" s="9"/>
      <c r="CZ704" s="9"/>
      <c r="DA704" s="9"/>
      <c r="DB704" s="9"/>
      <c r="DC704" s="9"/>
      <c r="DD704" s="9"/>
      <c r="DE704" s="9"/>
      <c r="DF704" s="9"/>
      <c r="DG704" s="9"/>
      <c r="DH704" s="9"/>
      <c r="DI704" s="9"/>
      <c r="DJ704" s="9"/>
      <c r="DK704" s="9"/>
      <c r="DL704" s="9"/>
      <c r="DM704" s="9"/>
      <c r="DN704" s="9"/>
      <c r="DO704" s="9"/>
      <c r="DP704" s="9"/>
      <c r="DQ704" s="9"/>
      <c r="DR704" s="9"/>
      <c r="DS704" s="9"/>
      <c r="DT704" s="9"/>
      <c r="DU704" s="9"/>
      <c r="DV704" s="9"/>
      <c r="DW704" s="9"/>
      <c r="DX704" s="9"/>
      <c r="DY704" s="9"/>
      <c r="DZ704" s="9"/>
      <c r="EA704" s="9"/>
      <c r="EB704" s="9"/>
      <c r="EC704" s="9"/>
      <c r="ED704" s="9"/>
      <c r="EE704" s="9"/>
      <c r="EF704" s="9"/>
      <c r="EG704" s="9"/>
      <c r="EH704" s="9"/>
      <c r="EI704" s="9"/>
      <c r="EJ704" s="9"/>
      <c r="EK704" s="9"/>
      <c r="EL704" s="9"/>
    </row>
    <row r="705" spans="1:142" x14ac:dyDescent="0.35">
      <c r="A705" s="9">
        <v>4192529</v>
      </c>
      <c r="B705" s="19">
        <v>0</v>
      </c>
      <c r="C705" s="9" t="str">
        <f>VLOOKUP(A705,'[1]terceros cto'!A$1:B$65536,2,0)</f>
        <v>OCHOA MONROY OSCAR EDUARDO</v>
      </c>
      <c r="D705" s="20" t="str">
        <f>VLOOKUP(C705,'[1]terceros cto'!B$1:F$65536,5,0)</f>
        <v>oscar12monroy@gmail.com</v>
      </c>
      <c r="E705" s="21" t="s">
        <v>2252</v>
      </c>
      <c r="F705" s="9" t="str">
        <f>VLOOKUP(C705,'[1]terceros cto'!B$1:D$65536,3,0)</f>
        <v>CR 16 27 48</v>
      </c>
      <c r="G705" s="21">
        <v>15516</v>
      </c>
      <c r="H705" s="9">
        <v>212</v>
      </c>
      <c r="I705" s="36">
        <v>134461</v>
      </c>
      <c r="J705" s="29">
        <v>0</v>
      </c>
      <c r="K705" s="22">
        <v>0</v>
      </c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9"/>
      <c r="CB705" s="9"/>
      <c r="CC705" s="9"/>
      <c r="CD705" s="9"/>
      <c r="CE705" s="9"/>
      <c r="CF705" s="9"/>
      <c r="CG705" s="9"/>
      <c r="CH705" s="9"/>
      <c r="CI705" s="9"/>
      <c r="CJ705" s="9"/>
      <c r="CK705" s="9"/>
      <c r="CL705" s="9"/>
      <c r="CM705" s="9"/>
      <c r="CN705" s="9"/>
      <c r="CO705" s="9"/>
      <c r="CP705" s="9"/>
      <c r="CQ705" s="9"/>
      <c r="CR705" s="9"/>
      <c r="CS705" s="9"/>
      <c r="CT705" s="9"/>
      <c r="CU705" s="9"/>
      <c r="CV705" s="9"/>
      <c r="CW705" s="9"/>
      <c r="CX705" s="9"/>
      <c r="CY705" s="9"/>
      <c r="CZ705" s="9"/>
      <c r="DA705" s="9"/>
      <c r="DB705" s="9"/>
      <c r="DC705" s="9"/>
      <c r="DD705" s="9"/>
      <c r="DE705" s="9"/>
      <c r="DF705" s="9"/>
      <c r="DG705" s="9"/>
      <c r="DH705" s="9"/>
      <c r="DI705" s="9"/>
      <c r="DJ705" s="9"/>
      <c r="DK705" s="9"/>
      <c r="DL705" s="9"/>
      <c r="DM705" s="9"/>
      <c r="DN705" s="9"/>
      <c r="DO705" s="9"/>
      <c r="DP705" s="9"/>
      <c r="DQ705" s="9"/>
      <c r="DR705" s="9"/>
      <c r="DS705" s="9"/>
      <c r="DT705" s="9"/>
      <c r="DU705" s="9"/>
      <c r="DV705" s="9"/>
      <c r="DW705" s="9"/>
      <c r="DX705" s="9"/>
      <c r="DY705" s="9"/>
      <c r="DZ705" s="9"/>
      <c r="EA705" s="9"/>
      <c r="EB705" s="9"/>
      <c r="EC705" s="9"/>
      <c r="ED705" s="9"/>
      <c r="EE705" s="9"/>
      <c r="EF705" s="9"/>
      <c r="EG705" s="9"/>
      <c r="EH705" s="9"/>
      <c r="EI705" s="9"/>
      <c r="EJ705" s="9"/>
      <c r="EK705" s="9"/>
      <c r="EL705" s="9"/>
    </row>
    <row r="706" spans="1:142" x14ac:dyDescent="0.35">
      <c r="A706" s="9">
        <v>4192785</v>
      </c>
      <c r="B706" s="19">
        <v>1</v>
      </c>
      <c r="C706" s="9" t="str">
        <f>VLOOKUP(A706,'[1]terceros cto'!A$1:B$65536,2,0)</f>
        <v>VARGAS PUERTO FAUSTO</v>
      </c>
      <c r="D706" s="20" t="str">
        <f>VLOOKUP(C706,'[1]terceros cto'!B$1:F$65536,5,0)</f>
        <v>faustovargaspuerto@hotmail.com</v>
      </c>
      <c r="E706" s="21" t="s">
        <v>2252</v>
      </c>
      <c r="F706" s="9" t="str">
        <f>VLOOKUP(C706,'[1]terceros cto'!B$1:D$65536,3,0)</f>
        <v>CALLE 27 N 17-21</v>
      </c>
      <c r="G706" s="21">
        <v>15516</v>
      </c>
      <c r="H706" s="9">
        <v>212</v>
      </c>
      <c r="I706" s="36">
        <v>134461</v>
      </c>
      <c r="J706" s="31">
        <v>0</v>
      </c>
      <c r="K706" s="22">
        <v>0</v>
      </c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9"/>
      <c r="CB706" s="9"/>
      <c r="CC706" s="9"/>
      <c r="CD706" s="9"/>
      <c r="CE706" s="9"/>
      <c r="CF706" s="9"/>
      <c r="CG706" s="9"/>
      <c r="CH706" s="9"/>
      <c r="CI706" s="9"/>
      <c r="CJ706" s="9"/>
      <c r="CK706" s="9"/>
      <c r="CL706" s="9"/>
      <c r="CM706" s="9"/>
      <c r="CN706" s="9"/>
      <c r="CO706" s="9"/>
      <c r="CP706" s="9"/>
      <c r="CQ706" s="9"/>
      <c r="CR706" s="9"/>
      <c r="CS706" s="9"/>
      <c r="CT706" s="9"/>
      <c r="CU706" s="9"/>
      <c r="CV706" s="9"/>
      <c r="CW706" s="9"/>
      <c r="CX706" s="9"/>
      <c r="CY706" s="9"/>
      <c r="CZ706" s="9"/>
      <c r="DA706" s="9"/>
      <c r="DB706" s="9"/>
      <c r="DC706" s="9"/>
      <c r="DD706" s="9"/>
      <c r="DE706" s="9"/>
      <c r="DF706" s="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x14ac:dyDescent="0.35">
      <c r="A707" s="9">
        <v>7210150</v>
      </c>
      <c r="B707" s="19">
        <v>0</v>
      </c>
      <c r="C707" s="9" t="str">
        <f>VLOOKUP(A707,'[1]terceros cto'!A$1:B$65536,2,0)</f>
        <v>SANABRIA ANDRES</v>
      </c>
      <c r="D707" s="20" t="str">
        <f>VLOOKUP(C707,'[1]terceros cto'!B$1:F$65536,5,0)</f>
        <v>zuco27@hotmail.com</v>
      </c>
      <c r="E707" s="21" t="s">
        <v>2252</v>
      </c>
      <c r="F707" s="9" t="str">
        <f>VLOOKUP(C707,'[1]terceros cto'!B$1:D$65536,3,0)</f>
        <v>CR 19 26 68</v>
      </c>
      <c r="G707" s="21">
        <v>15516</v>
      </c>
      <c r="H707" s="9">
        <v>212</v>
      </c>
      <c r="I707" s="36">
        <v>67226</v>
      </c>
      <c r="J707" s="29">
        <v>0</v>
      </c>
      <c r="K707" s="22">
        <v>0</v>
      </c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9"/>
      <c r="CC707" s="9"/>
      <c r="CD707" s="9"/>
      <c r="CE707" s="9"/>
      <c r="CF707" s="9"/>
      <c r="CG707" s="9"/>
      <c r="CH707" s="9"/>
      <c r="CI707" s="9"/>
      <c r="CJ707" s="9"/>
      <c r="CK707" s="9"/>
      <c r="CL707" s="9"/>
      <c r="CM707" s="9"/>
      <c r="CN707" s="9"/>
      <c r="CO707" s="9"/>
      <c r="CP707" s="9"/>
      <c r="CQ707" s="9"/>
      <c r="CR707" s="9"/>
      <c r="CS707" s="9"/>
      <c r="CT707" s="9"/>
      <c r="CU707" s="9"/>
      <c r="CV707" s="9"/>
      <c r="CW707" s="9"/>
      <c r="CX707" s="9"/>
      <c r="CY707" s="9"/>
      <c r="CZ707" s="9"/>
      <c r="DA707" s="9"/>
      <c r="DB707" s="9"/>
      <c r="DC707" s="9"/>
      <c r="DD707" s="9"/>
      <c r="DE707" s="9"/>
      <c r="DF707" s="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x14ac:dyDescent="0.35">
      <c r="A708" s="9">
        <v>74130139</v>
      </c>
      <c r="B708" s="19">
        <v>3</v>
      </c>
      <c r="C708" s="9" t="str">
        <f>VLOOKUP(A708,'[1]terceros cto'!A$1:B$65536,2,0)</f>
        <v>VASQUEZ RODRIGUEZ CESAR AUGUSTO</v>
      </c>
      <c r="D708" s="20" t="str">
        <f>VLOOKUP(C708,'[1]terceros cto'!B$1:F$65536,5,0)</f>
        <v>cvasquez2703@gmail.com</v>
      </c>
      <c r="E708" s="21" t="s">
        <v>2252</v>
      </c>
      <c r="F708" s="9" t="str">
        <f>VLOOKUP(C708,'[1]terceros cto'!B$1:D$65536,3,0)</f>
        <v>PAIPA</v>
      </c>
      <c r="G708" s="21">
        <v>15516</v>
      </c>
      <c r="H708" s="9">
        <v>212</v>
      </c>
      <c r="I708" s="36">
        <v>268904</v>
      </c>
      <c r="J708" s="31">
        <v>0</v>
      </c>
      <c r="K708" s="22">
        <v>0</v>
      </c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9"/>
      <c r="CC708" s="9"/>
      <c r="CD708" s="9"/>
      <c r="CE708" s="9"/>
      <c r="CF708" s="9"/>
      <c r="CG708" s="9"/>
      <c r="CH708" s="9"/>
      <c r="CI708" s="9"/>
      <c r="CJ708" s="9"/>
      <c r="CK708" s="9"/>
      <c r="CL708" s="9"/>
      <c r="CM708" s="9"/>
      <c r="CN708" s="9"/>
      <c r="CO708" s="9"/>
      <c r="CP708" s="9"/>
      <c r="CQ708" s="9"/>
      <c r="CR708" s="9"/>
      <c r="CS708" s="9"/>
      <c r="CT708" s="9"/>
      <c r="CU708" s="9"/>
      <c r="CV708" s="9"/>
      <c r="CW708" s="9"/>
      <c r="CX708" s="9"/>
      <c r="CY708" s="9"/>
      <c r="CZ708" s="9"/>
      <c r="DA708" s="9"/>
      <c r="DB708" s="9"/>
      <c r="DC708" s="9"/>
      <c r="DD708" s="9"/>
      <c r="DE708" s="9"/>
      <c r="DF708" s="9"/>
      <c r="DG708" s="9"/>
      <c r="DH708" s="9"/>
      <c r="DI708" s="9"/>
      <c r="DJ708" s="9"/>
      <c r="DK708" s="9"/>
      <c r="DL708" s="9"/>
      <c r="DM708" s="9"/>
      <c r="DN708" s="9"/>
      <c r="DO708" s="9"/>
      <c r="DP708" s="9"/>
      <c r="DQ708" s="9"/>
      <c r="DR708" s="9"/>
      <c r="DS708" s="9"/>
      <c r="DT708" s="9"/>
      <c r="DU708" s="9"/>
      <c r="DV708" s="9"/>
      <c r="DW708" s="9"/>
      <c r="DX708" s="9"/>
      <c r="DY708" s="9"/>
      <c r="DZ708" s="9"/>
      <c r="EA708" s="9"/>
      <c r="EB708" s="9"/>
      <c r="EC708" s="9"/>
      <c r="ED708" s="9"/>
      <c r="EE708" s="9"/>
      <c r="EF708" s="9"/>
      <c r="EG708" s="9"/>
      <c r="EH708" s="9"/>
      <c r="EI708" s="9"/>
      <c r="EJ708" s="9"/>
      <c r="EK708" s="9"/>
      <c r="EL708" s="9"/>
    </row>
    <row r="709" spans="1:142" x14ac:dyDescent="0.35">
      <c r="A709" s="9">
        <v>74359064</v>
      </c>
      <c r="B709" s="19">
        <v>1</v>
      </c>
      <c r="C709" s="9" t="str">
        <f>VLOOKUP(A709,'[1]terceros cto'!A$1:B$65536,2,0)</f>
        <v>OCHOA DIEGO</v>
      </c>
      <c r="D709" s="20" t="str">
        <f>VLOOKUP(C709,'[1]terceros cto'!B$1:F$65536,5,0)</f>
        <v>ochoacamargo@hotmail.com</v>
      </c>
      <c r="E709" s="21" t="s">
        <v>2252</v>
      </c>
      <c r="F709" s="9" t="str">
        <f>VLOOKUP(C709,'[1]terceros cto'!B$1:D$65536,3,0)</f>
        <v>CLL 25 19 52</v>
      </c>
      <c r="G709" s="21">
        <v>15516</v>
      </c>
      <c r="H709" s="9">
        <v>212</v>
      </c>
      <c r="I709" s="36">
        <v>739489</v>
      </c>
      <c r="J709" s="29">
        <v>0</v>
      </c>
      <c r="K709" s="22">
        <v>0</v>
      </c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9"/>
      <c r="CD709" s="9"/>
      <c r="CE709" s="9"/>
      <c r="CF709" s="9"/>
      <c r="CG709" s="9"/>
      <c r="CH709" s="9"/>
      <c r="CI709" s="9"/>
      <c r="CJ709" s="9"/>
      <c r="CK709" s="9"/>
      <c r="CL709" s="9"/>
      <c r="CM709" s="9"/>
      <c r="CN709" s="9"/>
      <c r="CO709" s="9"/>
      <c r="CP709" s="9"/>
      <c r="CQ709" s="9"/>
      <c r="CR709" s="9"/>
      <c r="CS709" s="9"/>
      <c r="CT709" s="9"/>
      <c r="CU709" s="9"/>
      <c r="CV709" s="9"/>
      <c r="CW709" s="9"/>
      <c r="CX709" s="9"/>
      <c r="CY709" s="9"/>
      <c r="CZ709" s="9"/>
      <c r="DA709" s="9"/>
      <c r="DB709" s="9"/>
      <c r="DC709" s="9"/>
      <c r="DD709" s="9"/>
      <c r="DE709" s="9"/>
      <c r="DF709" s="9"/>
      <c r="DG709" s="9"/>
      <c r="DH709" s="9"/>
      <c r="DI709" s="9"/>
      <c r="DJ709" s="9"/>
      <c r="DK709" s="9"/>
      <c r="DL709" s="9"/>
      <c r="DM709" s="9"/>
      <c r="DN709" s="9"/>
      <c r="DO709" s="9"/>
      <c r="DP709" s="9"/>
      <c r="DQ709" s="9"/>
      <c r="DR709" s="9"/>
      <c r="DS709" s="9"/>
      <c r="DT709" s="9"/>
      <c r="DU709" s="9"/>
      <c r="DV709" s="9"/>
      <c r="DW709" s="9"/>
      <c r="DX709" s="9"/>
      <c r="DY709" s="9"/>
      <c r="DZ709" s="9"/>
      <c r="EA709" s="9"/>
      <c r="EB709" s="9"/>
      <c r="EC709" s="9"/>
      <c r="ED709" s="9"/>
      <c r="EE709" s="9"/>
      <c r="EF709" s="9"/>
      <c r="EG709" s="9"/>
      <c r="EH709" s="9"/>
      <c r="EI709" s="9"/>
      <c r="EJ709" s="9"/>
      <c r="EK709" s="9"/>
      <c r="EL709" s="9"/>
    </row>
    <row r="710" spans="1:142" x14ac:dyDescent="0.35">
      <c r="A710" s="9">
        <v>74359458</v>
      </c>
      <c r="B710" s="19">
        <v>2</v>
      </c>
      <c r="C710" s="9" t="str">
        <f>VLOOKUP(A710,'[1]terceros cto'!A$1:B$65536,2,0)</f>
        <v>SANDOVAL FUQUEN EDDY URBANO</v>
      </c>
      <c r="D710" s="20" t="str">
        <f>VLOOKUP(C710,'[1]terceros cto'!B$1:F$65536,5,0)</f>
        <v>sys.eddy@gmail.com</v>
      </c>
      <c r="E710" s="21" t="str">
        <f>VLOOKUP(C710,'[1]terceros cto'!B$1:E$65536,4,0)</f>
        <v>7851245</v>
      </c>
      <c r="F710" s="9" t="str">
        <f>VLOOKUP(C710,'[1]terceros cto'!B$1:D$65536,3,0)</f>
        <v>CARRERA 17 No 27-47</v>
      </c>
      <c r="G710" s="21">
        <v>15516</v>
      </c>
      <c r="H710" s="9">
        <v>212</v>
      </c>
      <c r="I710" s="36">
        <v>470586</v>
      </c>
      <c r="J710" s="31">
        <v>0</v>
      </c>
      <c r="K710" s="22">
        <v>0</v>
      </c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9"/>
      <c r="CC710" s="9"/>
      <c r="CD710" s="9"/>
      <c r="CE710" s="9"/>
      <c r="CF710" s="9"/>
      <c r="CG710" s="9"/>
      <c r="CH710" s="9"/>
      <c r="CI710" s="9"/>
      <c r="CJ710" s="9"/>
      <c r="CK710" s="9"/>
      <c r="CL710" s="9"/>
      <c r="CM710" s="9"/>
      <c r="CN710" s="9"/>
      <c r="CO710" s="9"/>
      <c r="CP710" s="9"/>
      <c r="CQ710" s="9"/>
      <c r="CR710" s="9"/>
      <c r="CS710" s="9"/>
      <c r="CT710" s="9"/>
      <c r="CU710" s="9"/>
      <c r="CV710" s="9"/>
      <c r="CW710" s="9"/>
      <c r="CX710" s="9"/>
      <c r="CY710" s="9"/>
      <c r="CZ710" s="9"/>
      <c r="DA710" s="9"/>
      <c r="DB710" s="9"/>
      <c r="DC710" s="9"/>
      <c r="DD710" s="9"/>
      <c r="DE710" s="9"/>
      <c r="DF710" s="9"/>
      <c r="DG710" s="9"/>
      <c r="DH710" s="9"/>
      <c r="DI710" s="9"/>
      <c r="DJ710" s="9"/>
      <c r="DK710" s="9"/>
      <c r="DL710" s="9"/>
      <c r="DM710" s="9"/>
      <c r="DN710" s="9"/>
      <c r="DO710" s="9"/>
      <c r="DP710" s="9"/>
      <c r="DQ710" s="9"/>
      <c r="DR710" s="9"/>
      <c r="DS710" s="9"/>
      <c r="DT710" s="9"/>
      <c r="DU710" s="9"/>
      <c r="DV710" s="9"/>
      <c r="DW710" s="9"/>
      <c r="DX710" s="9"/>
      <c r="DY710" s="9"/>
      <c r="DZ710" s="9"/>
      <c r="EA710" s="9"/>
      <c r="EB710" s="9"/>
      <c r="EC710" s="9"/>
      <c r="ED710" s="9"/>
      <c r="EE710" s="9"/>
      <c r="EF710" s="9"/>
      <c r="EG710" s="9"/>
      <c r="EH710" s="9"/>
      <c r="EI710" s="9"/>
      <c r="EJ710" s="9"/>
      <c r="EK710" s="9"/>
      <c r="EL710" s="9"/>
    </row>
    <row r="711" spans="1:142" x14ac:dyDescent="0.35">
      <c r="A711" s="9">
        <v>79432840</v>
      </c>
      <c r="B711" s="19">
        <v>0</v>
      </c>
      <c r="C711" s="9" t="str">
        <f>VLOOKUP(A711,'[1]terceros cto'!A$1:B$65536,2,0)</f>
        <v>RESTAURANTE EL RINCON FAMILIAR</v>
      </c>
      <c r="D711" s="20" t="str">
        <f>VLOOKUP(C711,'[1]terceros cto'!B$1:F$65536,5,0)</f>
        <v>ncorredorp@hotmail.com</v>
      </c>
      <c r="E711" s="21" t="s">
        <v>2252</v>
      </c>
      <c r="F711" s="9" t="str">
        <f>VLOOKUP(C711,'[1]terceros cto'!B$1:D$65536,3,0)</f>
        <v>CARRERA 19 25 22</v>
      </c>
      <c r="G711" s="21">
        <v>15516</v>
      </c>
      <c r="H711" s="9">
        <v>212</v>
      </c>
      <c r="I711" s="36">
        <v>42016</v>
      </c>
      <c r="J711" s="29">
        <v>0</v>
      </c>
      <c r="K711" s="22">
        <v>0</v>
      </c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9"/>
      <c r="CD711" s="9"/>
      <c r="CE711" s="9"/>
      <c r="CF711" s="9"/>
      <c r="CG711" s="9"/>
      <c r="CH711" s="9"/>
      <c r="CI711" s="9"/>
      <c r="CJ711" s="9"/>
      <c r="CK711" s="9"/>
      <c r="CL711" s="9"/>
      <c r="CM711" s="9"/>
      <c r="CN711" s="9"/>
      <c r="CO711" s="9"/>
      <c r="CP711" s="9"/>
      <c r="CQ711" s="9"/>
      <c r="CR711" s="9"/>
      <c r="CS711" s="9"/>
      <c r="CT711" s="9"/>
      <c r="CU711" s="9"/>
      <c r="CV711" s="9"/>
      <c r="CW711" s="9"/>
      <c r="CX711" s="9"/>
      <c r="CY711" s="9"/>
      <c r="CZ711" s="9"/>
      <c r="DA711" s="9"/>
      <c r="DB711" s="9"/>
      <c r="DC711" s="9"/>
      <c r="DD711" s="9"/>
      <c r="DE711" s="9"/>
      <c r="DF711" s="9"/>
      <c r="DG711" s="9"/>
      <c r="DH711" s="9"/>
      <c r="DI711" s="9"/>
      <c r="DJ711" s="9"/>
      <c r="DK711" s="9"/>
      <c r="DL711" s="9"/>
      <c r="DM711" s="9"/>
      <c r="DN711" s="9"/>
      <c r="DO711" s="9"/>
      <c r="DP711" s="9"/>
      <c r="DQ711" s="9"/>
      <c r="DR711" s="9"/>
      <c r="DS711" s="9"/>
      <c r="DT711" s="9"/>
      <c r="DU711" s="9"/>
      <c r="DV711" s="9"/>
      <c r="DW711" s="9"/>
      <c r="DX711" s="9"/>
      <c r="DY711" s="9"/>
      <c r="DZ711" s="9"/>
      <c r="EA711" s="9"/>
      <c r="EB711" s="9"/>
      <c r="EC711" s="9"/>
      <c r="ED711" s="9"/>
      <c r="EE711" s="9"/>
      <c r="EF711" s="9"/>
      <c r="EG711" s="9"/>
      <c r="EH711" s="9"/>
      <c r="EI711" s="9"/>
      <c r="EJ711" s="9"/>
      <c r="EK711" s="9"/>
      <c r="EL711" s="9"/>
    </row>
    <row r="712" spans="1:142" x14ac:dyDescent="0.35">
      <c r="A712" s="9">
        <v>79434479</v>
      </c>
      <c r="B712" s="19">
        <v>1</v>
      </c>
      <c r="C712" s="9" t="str">
        <f>VLOOKUP(A712,'[1]terceros cto'!A$1:B$65536,2,0)</f>
        <v>BECERRA JOSE ORLANDO</v>
      </c>
      <c r="D712" s="20" t="str">
        <f>VLOOKUP(C712,'[1]terceros cto'!B$1:F$65536,5,0)</f>
        <v>pinturasbegacolor@gmail.com</v>
      </c>
      <c r="E712" s="21">
        <f>VLOOKUP(C712,'[1]terceros cto'!B$1:E$65536,4,0)</f>
        <v>0</v>
      </c>
      <c r="F712" s="9" t="str">
        <f>VLOOKUP(C712,'[1]terceros cto'!B$1:D$65536,3,0)</f>
        <v>pinturasbegacolor@gmail.com</v>
      </c>
      <c r="G712" s="21">
        <v>15516</v>
      </c>
      <c r="H712" s="9">
        <v>212</v>
      </c>
      <c r="I712" s="36">
        <v>67226</v>
      </c>
      <c r="J712" s="31">
        <v>0</v>
      </c>
      <c r="K712" s="22">
        <v>0</v>
      </c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  <c r="CB712" s="9"/>
      <c r="CC712" s="9"/>
      <c r="CD712" s="9"/>
      <c r="CE712" s="9"/>
      <c r="CF712" s="9"/>
      <c r="CG712" s="9"/>
      <c r="CH712" s="9"/>
      <c r="CI712" s="9"/>
      <c r="CJ712" s="9"/>
      <c r="CK712" s="9"/>
      <c r="CL712" s="9"/>
      <c r="CM712" s="9"/>
      <c r="CN712" s="9"/>
      <c r="CO712" s="9"/>
      <c r="CP712" s="9"/>
      <c r="CQ712" s="9"/>
      <c r="CR712" s="9"/>
      <c r="CS712" s="9"/>
      <c r="CT712" s="9"/>
      <c r="CU712" s="9"/>
      <c r="CV712" s="9"/>
      <c r="CW712" s="9"/>
      <c r="CX712" s="9"/>
      <c r="CY712" s="9"/>
      <c r="CZ712" s="9"/>
      <c r="DA712" s="9"/>
      <c r="DB712" s="9"/>
      <c r="DC712" s="9"/>
      <c r="DD712" s="9"/>
      <c r="DE712" s="9"/>
      <c r="DF712" s="9"/>
      <c r="DG712" s="9"/>
      <c r="DH712" s="9"/>
      <c r="DI712" s="9"/>
      <c r="DJ712" s="9"/>
      <c r="DK712" s="9"/>
      <c r="DL712" s="9"/>
      <c r="DM712" s="9"/>
      <c r="DN712" s="9"/>
      <c r="DO712" s="9"/>
      <c r="DP712" s="9"/>
      <c r="DQ712" s="9"/>
      <c r="DR712" s="9"/>
      <c r="DS712" s="9"/>
      <c r="DT712" s="9"/>
      <c r="DU712" s="9"/>
      <c r="DV712" s="9"/>
      <c r="DW712" s="9"/>
      <c r="DX712" s="9"/>
      <c r="DY712" s="9"/>
      <c r="DZ712" s="9"/>
      <c r="EA712" s="9"/>
      <c r="EB712" s="9"/>
      <c r="EC712" s="9"/>
      <c r="ED712" s="9"/>
      <c r="EE712" s="9"/>
      <c r="EF712" s="9"/>
      <c r="EG712" s="9"/>
      <c r="EH712" s="9"/>
      <c r="EI712" s="9"/>
      <c r="EJ712" s="9"/>
      <c r="EK712" s="9"/>
      <c r="EL712" s="9"/>
    </row>
    <row r="713" spans="1:142" x14ac:dyDescent="0.35">
      <c r="A713" s="9">
        <v>830095213</v>
      </c>
      <c r="B713" s="19">
        <v>4</v>
      </c>
      <c r="C713" s="9" t="str">
        <f>VLOOKUP(A713,'[1]terceros cto'!A$1:B$65536,2,0)</f>
        <v>ORGANIZACIÓN TERPEL S.A.</v>
      </c>
      <c r="D713" s="20" t="str">
        <f>VLOOKUP(C713,'[1]terceros cto'!B$1:F$65536,5,0)</f>
        <v>felectronicarsab@terpel.com</v>
      </c>
      <c r="E713" s="21">
        <f>VLOOKUP(C713,'[1]terceros cto'!B$1:E$65536,4,0)</f>
        <v>0</v>
      </c>
      <c r="F713" s="9" t="str">
        <f>VLOOKUP(C713,'[1]terceros cto'!B$1:D$65536,3,0)</f>
        <v>CARRERA 7 75 26</v>
      </c>
      <c r="G713" s="21">
        <v>15516</v>
      </c>
      <c r="H713" s="9">
        <v>212</v>
      </c>
      <c r="I713" s="36">
        <v>165266636</v>
      </c>
      <c r="J713" s="29">
        <v>0</v>
      </c>
      <c r="K713" s="22">
        <v>0</v>
      </c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  <c r="CB713" s="9"/>
      <c r="CC713" s="9"/>
      <c r="CD713" s="9"/>
      <c r="CE713" s="9"/>
      <c r="CF713" s="9"/>
      <c r="CG713" s="9"/>
      <c r="CH713" s="9"/>
      <c r="CI713" s="9"/>
      <c r="CJ713" s="9"/>
      <c r="CK713" s="9"/>
      <c r="CL713" s="9"/>
      <c r="CM713" s="9"/>
      <c r="CN713" s="9"/>
      <c r="CO713" s="9"/>
      <c r="CP713" s="9"/>
      <c r="CQ713" s="9"/>
      <c r="CR713" s="9"/>
      <c r="CS713" s="9"/>
      <c r="CT713" s="9"/>
      <c r="CU713" s="9"/>
      <c r="CV713" s="9"/>
      <c r="CW713" s="9"/>
      <c r="CX713" s="9"/>
      <c r="CY713" s="9"/>
      <c r="CZ713" s="9"/>
      <c r="DA713" s="9"/>
      <c r="DB713" s="9"/>
      <c r="DC713" s="9"/>
      <c r="DD713" s="9"/>
      <c r="DE713" s="9"/>
      <c r="DF713" s="9"/>
      <c r="DG713" s="9"/>
      <c r="DH713" s="9"/>
      <c r="DI713" s="9"/>
      <c r="DJ713" s="9"/>
      <c r="DK713" s="9"/>
      <c r="DL713" s="9"/>
      <c r="DM713" s="9"/>
      <c r="DN713" s="9"/>
      <c r="DO713" s="9"/>
      <c r="DP713" s="9"/>
      <c r="DQ713" s="9"/>
      <c r="DR713" s="9"/>
      <c r="DS713" s="9"/>
      <c r="DT713" s="9"/>
      <c r="DU713" s="9"/>
      <c r="DV713" s="9"/>
      <c r="DW713" s="9"/>
      <c r="DX713" s="9"/>
      <c r="DY713" s="9"/>
      <c r="DZ713" s="9"/>
      <c r="EA713" s="9"/>
      <c r="EB713" s="9"/>
      <c r="EC713" s="9"/>
      <c r="ED713" s="9"/>
      <c r="EE713" s="9"/>
      <c r="EF713" s="9"/>
      <c r="EG713" s="9"/>
      <c r="EH713" s="9"/>
      <c r="EI713" s="9"/>
      <c r="EJ713" s="9"/>
      <c r="EK713" s="9"/>
      <c r="EL713" s="9"/>
    </row>
    <row r="714" spans="1:142" x14ac:dyDescent="0.35">
      <c r="A714" s="9">
        <v>900236200</v>
      </c>
      <c r="B714" s="19">
        <v>0</v>
      </c>
      <c r="C714" s="9" t="str">
        <f>VLOOKUP(A714,'[1]terceros cto'!A$1:B$65536,2,0)</f>
        <v>ABSOLUTE ENGINEERING COLOMBIA LTDA</v>
      </c>
      <c r="D714" s="20" t="str">
        <f>VLOOKUP(C714,'[1]terceros cto'!B$1:F$65536,5,0)</f>
        <v>contacto@absencol.com</v>
      </c>
      <c r="E714" s="21" t="s">
        <v>2252</v>
      </c>
      <c r="F714" s="9" t="str">
        <f>VLOOKUP(C714,'[1]terceros cto'!B$1:D$65536,3,0)</f>
        <v>CLLE 26 N 19-21</v>
      </c>
      <c r="G714" s="21">
        <v>15516</v>
      </c>
      <c r="H714" s="9">
        <v>212</v>
      </c>
      <c r="I714" s="36">
        <v>33613</v>
      </c>
      <c r="J714" s="31">
        <v>0</v>
      </c>
      <c r="K714" s="22">
        <v>0</v>
      </c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  <c r="CB714" s="9"/>
      <c r="CC714" s="9"/>
      <c r="CD714" s="9"/>
      <c r="CE714" s="9"/>
      <c r="CF714" s="9"/>
      <c r="CG714" s="9"/>
      <c r="CH714" s="9"/>
      <c r="CI714" s="9"/>
      <c r="CJ714" s="9"/>
      <c r="CK714" s="9"/>
      <c r="CL714" s="9"/>
      <c r="CM714" s="9"/>
      <c r="CN714" s="9"/>
      <c r="CO714" s="9"/>
      <c r="CP714" s="9"/>
      <c r="CQ714" s="9"/>
      <c r="CR714" s="9"/>
      <c r="CS714" s="9"/>
      <c r="CT714" s="9"/>
      <c r="CU714" s="9"/>
      <c r="CV714" s="9"/>
      <c r="CW714" s="9"/>
      <c r="CX714" s="9"/>
      <c r="CY714" s="9"/>
      <c r="CZ714" s="9"/>
      <c r="DA714" s="9"/>
      <c r="DB714" s="9"/>
      <c r="DC714" s="9"/>
      <c r="DD714" s="9"/>
      <c r="DE714" s="9"/>
      <c r="DF714" s="9"/>
      <c r="DG714" s="9"/>
      <c r="DH714" s="9"/>
      <c r="DI714" s="9"/>
      <c r="DJ714" s="9"/>
      <c r="DK714" s="9"/>
      <c r="DL714" s="9"/>
      <c r="DM714" s="9"/>
      <c r="DN714" s="9"/>
      <c r="DO714" s="9"/>
      <c r="DP714" s="9"/>
      <c r="DQ714" s="9"/>
      <c r="DR714" s="9"/>
      <c r="DS714" s="9"/>
      <c r="DT714" s="9"/>
      <c r="DU714" s="9"/>
      <c r="DV714" s="9"/>
      <c r="DW714" s="9"/>
      <c r="DX714" s="9"/>
      <c r="DY714" s="9"/>
      <c r="DZ714" s="9"/>
      <c r="EA714" s="9"/>
      <c r="EB714" s="9"/>
      <c r="EC714" s="9"/>
      <c r="ED714" s="9"/>
      <c r="EE714" s="9"/>
      <c r="EF714" s="9"/>
      <c r="EG714" s="9"/>
      <c r="EH714" s="9"/>
      <c r="EI714" s="9"/>
      <c r="EJ714" s="9"/>
      <c r="EK714" s="9"/>
      <c r="EL714" s="9"/>
    </row>
    <row r="715" spans="1:142" x14ac:dyDescent="0.35">
      <c r="A715" s="9">
        <v>900319291</v>
      </c>
      <c r="B715" s="19">
        <v>7</v>
      </c>
      <c r="C715" s="9" t="str">
        <f>VLOOKUP(A715,'[1]terceros cto'!A$1:B$65536,2,0)</f>
        <v>ASOPAGOS SA</v>
      </c>
      <c r="D715" s="20" t="str">
        <f>VLOOKUP(C715,'[1]terceros cto'!B$1:F$65536,5,0)</f>
        <v>asopagos@asopagos.com</v>
      </c>
      <c r="E715" s="21" t="s">
        <v>2252</v>
      </c>
      <c r="F715" s="9" t="str">
        <f>VLOOKUP(C715,'[1]terceros cto'!B$1:D$65536,3,0)</f>
        <v>CLL 66 7 18</v>
      </c>
      <c r="G715" s="21">
        <v>15516</v>
      </c>
      <c r="H715" s="9">
        <v>212</v>
      </c>
      <c r="I715" s="36">
        <v>2532</v>
      </c>
      <c r="J715" s="29">
        <v>0</v>
      </c>
      <c r="K715" s="22">
        <v>0</v>
      </c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9"/>
      <c r="CB715" s="9"/>
      <c r="CC715" s="9"/>
      <c r="CD715" s="9"/>
      <c r="CE715" s="9"/>
      <c r="CF715" s="9"/>
      <c r="CG715" s="9"/>
      <c r="CH715" s="9"/>
      <c r="CI715" s="9"/>
      <c r="CJ715" s="9"/>
      <c r="CK715" s="9"/>
      <c r="CL715" s="9"/>
      <c r="CM715" s="9"/>
      <c r="CN715" s="9"/>
      <c r="CO715" s="9"/>
      <c r="CP715" s="9"/>
      <c r="CQ715" s="9"/>
      <c r="CR715" s="9"/>
      <c r="CS715" s="9"/>
      <c r="CT715" s="9"/>
      <c r="CU715" s="9"/>
      <c r="CV715" s="9"/>
      <c r="CW715" s="9"/>
      <c r="CX715" s="9"/>
      <c r="CY715" s="9"/>
      <c r="CZ715" s="9"/>
      <c r="DA715" s="9"/>
      <c r="DB715" s="9"/>
      <c r="DC715" s="9"/>
      <c r="DD715" s="9"/>
      <c r="DE715" s="9"/>
      <c r="DF715" s="9"/>
      <c r="DG715" s="9"/>
      <c r="DH715" s="9"/>
      <c r="DI715" s="9"/>
      <c r="DJ715" s="9"/>
      <c r="DK715" s="9"/>
      <c r="DL715" s="9"/>
      <c r="DM715" s="9"/>
      <c r="DN715" s="9"/>
      <c r="DO715" s="9"/>
      <c r="DP715" s="9"/>
      <c r="DQ715" s="9"/>
      <c r="DR715" s="9"/>
      <c r="DS715" s="9"/>
      <c r="DT715" s="9"/>
      <c r="DU715" s="9"/>
      <c r="DV715" s="9"/>
      <c r="DW715" s="9"/>
      <c r="DX715" s="9"/>
      <c r="DY715" s="9"/>
      <c r="DZ715" s="9"/>
      <c r="EA715" s="9"/>
      <c r="EB715" s="9"/>
      <c r="EC715" s="9"/>
      <c r="ED715" s="9"/>
      <c r="EE715" s="9"/>
      <c r="EF715" s="9"/>
      <c r="EG715" s="9"/>
      <c r="EH715" s="9"/>
      <c r="EI715" s="9"/>
      <c r="EJ715" s="9"/>
      <c r="EK715" s="9"/>
      <c r="EL715" s="9"/>
    </row>
    <row r="716" spans="1:142" x14ac:dyDescent="0.35">
      <c r="A716" s="9">
        <v>900387475</v>
      </c>
      <c r="B716" s="19">
        <v>5</v>
      </c>
      <c r="C716" s="9" t="str">
        <f>VLOOKUP(A716,'[1]terceros cto'!A$1:B$65536,2,0)</f>
        <v>LUBRICANTES EL SOL SAS</v>
      </c>
      <c r="D716" s="20" t="str">
        <f>VLOOKUP(C716,'[1]terceros cto'!B$1:F$65536,5,0)</f>
        <v>servicioalcliente@lubesolsas.com</v>
      </c>
      <c r="E716" s="21">
        <f>VLOOKUP(C716,'[1]terceros cto'!B$1:E$65536,4,0)</f>
        <v>3163951652</v>
      </c>
      <c r="F716" s="9" t="str">
        <f>VLOOKUP(C716,'[1]terceros cto'!B$1:D$65536,3,0)</f>
        <v>AVENIDA AMERICAS 27A 32</v>
      </c>
      <c r="G716" s="21">
        <v>15516</v>
      </c>
      <c r="H716" s="9">
        <v>212</v>
      </c>
      <c r="I716" s="36">
        <v>16911</v>
      </c>
      <c r="J716" s="31">
        <v>0</v>
      </c>
      <c r="K716" s="22">
        <v>0</v>
      </c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  <c r="CB716" s="9"/>
      <c r="CC716" s="9"/>
      <c r="CD716" s="9"/>
      <c r="CE716" s="9"/>
      <c r="CF716" s="9"/>
      <c r="CG716" s="9"/>
      <c r="CH716" s="9"/>
      <c r="CI716" s="9"/>
      <c r="CJ716" s="9"/>
      <c r="CK716" s="9"/>
      <c r="CL716" s="9"/>
      <c r="CM716" s="9"/>
      <c r="CN716" s="9"/>
      <c r="CO716" s="9"/>
      <c r="CP716" s="9"/>
      <c r="CQ716" s="9"/>
      <c r="CR716" s="9"/>
      <c r="CS716" s="9"/>
      <c r="CT716" s="9"/>
      <c r="CU716" s="9"/>
      <c r="CV716" s="9"/>
      <c r="CW716" s="9"/>
      <c r="CX716" s="9"/>
      <c r="CY716" s="9"/>
      <c r="CZ716" s="9"/>
      <c r="DA716" s="9"/>
      <c r="DB716" s="9"/>
      <c r="DC716" s="9"/>
      <c r="DD716" s="9"/>
      <c r="DE716" s="9"/>
      <c r="DF716" s="9"/>
      <c r="DG716" s="9"/>
      <c r="DH716" s="9"/>
      <c r="DI716" s="9"/>
      <c r="DJ716" s="9"/>
      <c r="DK716" s="9"/>
      <c r="DL716" s="9"/>
      <c r="DM716" s="9"/>
      <c r="DN716" s="9"/>
      <c r="DO716" s="9"/>
      <c r="DP716" s="9"/>
      <c r="DQ716" s="9"/>
      <c r="DR716" s="9"/>
      <c r="DS716" s="9"/>
      <c r="DT716" s="9"/>
      <c r="DU716" s="9"/>
      <c r="DV716" s="9"/>
      <c r="DW716" s="9"/>
      <c r="DX716" s="9"/>
      <c r="DY716" s="9"/>
      <c r="DZ716" s="9"/>
      <c r="EA716" s="9"/>
      <c r="EB716" s="9"/>
      <c r="EC716" s="9"/>
      <c r="ED716" s="9"/>
      <c r="EE716" s="9"/>
      <c r="EF716" s="9"/>
      <c r="EG716" s="9"/>
      <c r="EH716" s="9"/>
      <c r="EI716" s="9"/>
      <c r="EJ716" s="9"/>
      <c r="EK716" s="9"/>
      <c r="EL716" s="9"/>
    </row>
    <row r="717" spans="1:142" x14ac:dyDescent="0.35">
      <c r="A717" s="9">
        <v>900491537</v>
      </c>
      <c r="B717" s="19">
        <v>2</v>
      </c>
      <c r="C717" s="9" t="str">
        <f>VLOOKUP(A717,'[1]terceros cto'!A$1:B$65536,2,0)</f>
        <v>ARQUITECTURA LOTUS SAS</v>
      </c>
      <c r="D717" s="20" t="str">
        <f>VLOOKUP(C717,'[1]terceros cto'!B$1:F$65536,5,0)</f>
        <v>arquitecturalotus@gmail.com</v>
      </c>
      <c r="E717" s="21" t="s">
        <v>2252</v>
      </c>
      <c r="F717" s="9" t="str">
        <f>VLOOKUP(C717,'[1]terceros cto'!B$1:D$65536,3,0)</f>
        <v>CALLE 25 A 18 CA 2</v>
      </c>
      <c r="G717" s="21">
        <v>15516</v>
      </c>
      <c r="H717" s="9">
        <v>212</v>
      </c>
      <c r="I717" s="36">
        <v>284092</v>
      </c>
      <c r="J717" s="29">
        <v>0</v>
      </c>
      <c r="K717" s="22">
        <v>0</v>
      </c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9"/>
      <c r="CD717" s="9"/>
      <c r="CE717" s="9"/>
      <c r="CF717" s="9"/>
      <c r="CG717" s="9"/>
      <c r="CH717" s="9"/>
      <c r="CI717" s="9"/>
      <c r="CJ717" s="9"/>
      <c r="CK717" s="9"/>
      <c r="CL717" s="9"/>
      <c r="CM717" s="9"/>
      <c r="CN717" s="9"/>
      <c r="CO717" s="9"/>
      <c r="CP717" s="9"/>
      <c r="CQ717" s="9"/>
      <c r="CR717" s="9"/>
      <c r="CS717" s="9"/>
      <c r="CT717" s="9"/>
      <c r="CU717" s="9"/>
      <c r="CV717" s="9"/>
      <c r="CW717" s="9"/>
      <c r="CX717" s="9"/>
      <c r="CY717" s="9"/>
      <c r="CZ717" s="9"/>
      <c r="DA717" s="9"/>
      <c r="DB717" s="9"/>
      <c r="DC717" s="9"/>
      <c r="DD717" s="9"/>
      <c r="DE717" s="9"/>
      <c r="DF717" s="9"/>
      <c r="DG717" s="9"/>
      <c r="DH717" s="9"/>
      <c r="DI717" s="9"/>
      <c r="DJ717" s="9"/>
      <c r="DK717" s="9"/>
      <c r="DL717" s="9"/>
      <c r="DM717" s="9"/>
      <c r="DN717" s="9"/>
      <c r="DO717" s="9"/>
      <c r="DP717" s="9"/>
      <c r="DQ717" s="9"/>
      <c r="DR717" s="9"/>
      <c r="DS717" s="9"/>
      <c r="DT717" s="9"/>
      <c r="DU717" s="9"/>
      <c r="DV717" s="9"/>
      <c r="DW717" s="9"/>
      <c r="DX717" s="9"/>
      <c r="DY717" s="9"/>
      <c r="DZ717" s="9"/>
      <c r="EA717" s="9"/>
      <c r="EB717" s="9"/>
      <c r="EC717" s="9"/>
      <c r="ED717" s="9"/>
      <c r="EE717" s="9"/>
      <c r="EF717" s="9"/>
      <c r="EG717" s="9"/>
      <c r="EH717" s="9"/>
      <c r="EI717" s="9"/>
      <c r="EJ717" s="9"/>
      <c r="EK717" s="9"/>
      <c r="EL717" s="9"/>
    </row>
    <row r="718" spans="1:142" x14ac:dyDescent="0.35">
      <c r="A718" s="9">
        <v>900549951</v>
      </c>
      <c r="B718" s="19">
        <v>0</v>
      </c>
      <c r="C718" s="9" t="str">
        <f>VLOOKUP(A718,'[1]terceros cto'!A$1:B$65536,2,0)</f>
        <v>COMERCIALIZADORA HORTIPAIPA SAS</v>
      </c>
      <c r="D718" s="20" t="str">
        <f>VLOOKUP(C718,'[1]terceros cto'!B$1:F$65536,5,0)</f>
        <v>hortipaipa@hotmail.com</v>
      </c>
      <c r="E718" s="21">
        <f>VLOOKUP(C718,'[1]terceros cto'!B$1:E$65536,4,0)</f>
        <v>0</v>
      </c>
      <c r="F718" s="9" t="str">
        <f>VLOOKUP(C718,'[1]terceros cto'!B$1:D$65536,3,0)</f>
        <v>CARRERA 24A N 30-06</v>
      </c>
      <c r="G718" s="21">
        <v>15516</v>
      </c>
      <c r="H718" s="9">
        <v>212</v>
      </c>
      <c r="I718" s="36">
        <v>873940</v>
      </c>
      <c r="J718" s="31">
        <v>0</v>
      </c>
      <c r="K718" s="22">
        <v>0</v>
      </c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  <c r="CB718" s="9"/>
      <c r="CC718" s="9"/>
      <c r="CD718" s="9"/>
      <c r="CE718" s="9"/>
      <c r="CF718" s="9"/>
      <c r="CG718" s="9"/>
      <c r="CH718" s="9"/>
      <c r="CI718" s="9"/>
      <c r="CJ718" s="9"/>
      <c r="CK718" s="9"/>
      <c r="CL718" s="9"/>
      <c r="CM718" s="9"/>
      <c r="CN718" s="9"/>
      <c r="CO718" s="9"/>
      <c r="CP718" s="9"/>
      <c r="CQ718" s="9"/>
      <c r="CR718" s="9"/>
      <c r="CS718" s="9"/>
      <c r="CT718" s="9"/>
      <c r="CU718" s="9"/>
      <c r="CV718" s="9"/>
      <c r="CW718" s="9"/>
      <c r="CX718" s="9"/>
      <c r="CY718" s="9"/>
      <c r="CZ718" s="9"/>
      <c r="DA718" s="9"/>
      <c r="DB718" s="9"/>
      <c r="DC718" s="9"/>
      <c r="DD718" s="9"/>
      <c r="DE718" s="9"/>
      <c r="DF718" s="9"/>
      <c r="DG718" s="9"/>
      <c r="DH718" s="9"/>
      <c r="DI718" s="9"/>
      <c r="DJ718" s="9"/>
      <c r="DK718" s="9"/>
      <c r="DL718" s="9"/>
      <c r="DM718" s="9"/>
      <c r="DN718" s="9"/>
      <c r="DO718" s="9"/>
      <c r="DP718" s="9"/>
      <c r="DQ718" s="9"/>
      <c r="DR718" s="9"/>
      <c r="DS718" s="9"/>
      <c r="DT718" s="9"/>
      <c r="DU718" s="9"/>
      <c r="DV718" s="9"/>
      <c r="DW718" s="9"/>
      <c r="DX718" s="9"/>
      <c r="DY718" s="9"/>
      <c r="DZ718" s="9"/>
      <c r="EA718" s="9"/>
      <c r="EB718" s="9"/>
      <c r="EC718" s="9"/>
      <c r="ED718" s="9"/>
      <c r="EE718" s="9"/>
      <c r="EF718" s="9"/>
      <c r="EG718" s="9"/>
      <c r="EH718" s="9"/>
      <c r="EI718" s="9"/>
      <c r="EJ718" s="9"/>
      <c r="EK718" s="9"/>
      <c r="EL718" s="9"/>
    </row>
    <row r="719" spans="1:142" x14ac:dyDescent="0.35">
      <c r="A719" s="9">
        <v>900652216</v>
      </c>
      <c r="B719" s="19">
        <v>3</v>
      </c>
      <c r="C719" s="9" t="str">
        <f>VLOOKUP(A719,'[1]terceros cto'!A$1:B$65536,2,0)</f>
        <v>AGROINSUMOS PREMIUN PLANTS SAS</v>
      </c>
      <c r="D719" s="20" t="str">
        <f>VLOOKUP(C719,'[1]terceros cto'!B$1:F$65536,5,0)</f>
        <v>plantsfev@gmail.com</v>
      </c>
      <c r="E719" s="21" t="s">
        <v>2252</v>
      </c>
      <c r="F719" s="9" t="str">
        <f>VLOOKUP(C719,'[1]terceros cto'!B$1:D$65536,3,0)</f>
        <v>VEREDA VENTA DE LLANO</v>
      </c>
      <c r="G719" s="21">
        <v>15516</v>
      </c>
      <c r="H719" s="9">
        <v>212</v>
      </c>
      <c r="I719" s="36">
        <v>605035</v>
      </c>
      <c r="J719" s="29">
        <v>0</v>
      </c>
      <c r="K719" s="22">
        <v>0</v>
      </c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9"/>
      <c r="CB719" s="9"/>
      <c r="CC719" s="9"/>
      <c r="CD719" s="9"/>
      <c r="CE719" s="9"/>
      <c r="CF719" s="9"/>
      <c r="CG719" s="9"/>
      <c r="CH719" s="9"/>
      <c r="CI719" s="9"/>
      <c r="CJ719" s="9"/>
      <c r="CK719" s="9"/>
      <c r="CL719" s="9"/>
      <c r="CM719" s="9"/>
      <c r="CN719" s="9"/>
      <c r="CO719" s="9"/>
      <c r="CP719" s="9"/>
      <c r="CQ719" s="9"/>
      <c r="CR719" s="9"/>
      <c r="CS719" s="9"/>
      <c r="CT719" s="9"/>
      <c r="CU719" s="9"/>
      <c r="CV719" s="9"/>
      <c r="CW719" s="9"/>
      <c r="CX719" s="9"/>
      <c r="CY719" s="9"/>
      <c r="CZ719" s="9"/>
      <c r="DA719" s="9"/>
      <c r="DB719" s="9"/>
      <c r="DC719" s="9"/>
      <c r="DD719" s="9"/>
      <c r="DE719" s="9"/>
      <c r="DF719" s="9"/>
      <c r="DG719" s="9"/>
      <c r="DH719" s="9"/>
      <c r="DI719" s="9"/>
      <c r="DJ719" s="9"/>
      <c r="DK719" s="9"/>
      <c r="DL719" s="9"/>
      <c r="DM719" s="9"/>
      <c r="DN719" s="9"/>
      <c r="DO719" s="9"/>
      <c r="DP719" s="9"/>
      <c r="DQ719" s="9"/>
      <c r="DR719" s="9"/>
      <c r="DS719" s="9"/>
      <c r="DT719" s="9"/>
      <c r="DU719" s="9"/>
      <c r="DV719" s="9"/>
      <c r="DW719" s="9"/>
      <c r="DX719" s="9"/>
      <c r="DY719" s="9"/>
      <c r="DZ719" s="9"/>
      <c r="EA719" s="9"/>
      <c r="EB719" s="9"/>
      <c r="EC719" s="9"/>
      <c r="ED719" s="9"/>
      <c r="EE719" s="9"/>
      <c r="EF719" s="9"/>
      <c r="EG719" s="9"/>
      <c r="EH719" s="9"/>
      <c r="EI719" s="9"/>
      <c r="EJ719" s="9"/>
      <c r="EK719" s="9"/>
      <c r="EL719" s="9"/>
    </row>
    <row r="720" spans="1:142" x14ac:dyDescent="0.35">
      <c r="A720" s="9">
        <v>900655088</v>
      </c>
      <c r="B720" s="19">
        <v>0</v>
      </c>
      <c r="C720" s="9" t="str">
        <f>VLOOKUP(A720,'[1]terceros cto'!A$1:B$65536,2,0)</f>
        <v>COEMAGRO SOCIEDAD POR ACCIONES SIMPLIFICADA</v>
      </c>
      <c r="D720" s="20" t="str">
        <f>VLOOKUP(C720,'[1]terceros cto'!B$1:F$65536,5,0)</f>
        <v>coemagrosas@gmail.com</v>
      </c>
      <c r="E720" s="21" t="s">
        <v>2252</v>
      </c>
      <c r="F720" s="9" t="str">
        <f>VLOOKUP(C720,'[1]terceros cto'!B$1:D$65536,3,0)</f>
        <v>AVENIDA LIBERTADORES 31-50</v>
      </c>
      <c r="G720" s="21">
        <v>15516</v>
      </c>
      <c r="H720" s="9">
        <v>212</v>
      </c>
      <c r="I720" s="36">
        <v>739488</v>
      </c>
      <c r="J720" s="31">
        <v>0</v>
      </c>
      <c r="K720" s="22">
        <v>0</v>
      </c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9"/>
      <c r="CC720" s="9"/>
      <c r="CD720" s="9"/>
      <c r="CE720" s="9"/>
      <c r="CF720" s="9"/>
      <c r="CG720" s="9"/>
      <c r="CH720" s="9"/>
      <c r="CI720" s="9"/>
      <c r="CJ720" s="9"/>
      <c r="CK720" s="9"/>
      <c r="CL720" s="9"/>
      <c r="CM720" s="9"/>
      <c r="CN720" s="9"/>
      <c r="CO720" s="9"/>
      <c r="CP720" s="9"/>
      <c r="CQ720" s="9"/>
      <c r="CR720" s="9"/>
      <c r="CS720" s="9"/>
      <c r="CT720" s="9"/>
      <c r="CU720" s="9"/>
      <c r="CV720" s="9"/>
      <c r="CW720" s="9"/>
      <c r="CX720" s="9"/>
      <c r="CY720" s="9"/>
      <c r="CZ720" s="9"/>
      <c r="DA720" s="9"/>
      <c r="DB720" s="9"/>
      <c r="DC720" s="9"/>
      <c r="DD720" s="9"/>
      <c r="DE720" s="9"/>
      <c r="DF720" s="9"/>
      <c r="DG720" s="9"/>
      <c r="DH720" s="9"/>
      <c r="DI720" s="9"/>
      <c r="DJ720" s="9"/>
      <c r="DK720" s="9"/>
      <c r="DL720" s="9"/>
      <c r="DM720" s="9"/>
      <c r="DN720" s="9"/>
      <c r="DO720" s="9"/>
      <c r="DP720" s="9"/>
      <c r="DQ720" s="9"/>
      <c r="DR720" s="9"/>
      <c r="DS720" s="9"/>
      <c r="DT720" s="9"/>
      <c r="DU720" s="9"/>
      <c r="DV720" s="9"/>
      <c r="DW720" s="9"/>
      <c r="DX720" s="9"/>
      <c r="DY720" s="9"/>
      <c r="DZ720" s="9"/>
      <c r="EA720" s="9"/>
      <c r="EB720" s="9"/>
      <c r="EC720" s="9"/>
      <c r="ED720" s="9"/>
      <c r="EE720" s="9"/>
      <c r="EF720" s="9"/>
      <c r="EG720" s="9"/>
      <c r="EH720" s="9"/>
      <c r="EI720" s="9"/>
      <c r="EJ720" s="9"/>
      <c r="EK720" s="9"/>
      <c r="EL720" s="9"/>
    </row>
    <row r="721" spans="1:142" x14ac:dyDescent="0.35">
      <c r="A721" s="9">
        <v>900955903</v>
      </c>
      <c r="B721" s="19">
        <v>1</v>
      </c>
      <c r="C721" s="9" t="str">
        <f>VLOOKUP(A721,'[1]terceros cto'!A$1:B$65536,2,0)</f>
        <v>ASOCIACION DE ESTACIONES DE SERVICIO DEL ORIENTE COLOMBIANO</v>
      </c>
      <c r="D721" s="20" t="str">
        <f>VLOOKUP(C721,'[1]terceros cto'!B$1:F$65536,5,0)</f>
        <v>esocolseccionalcasanare@gmail.com</v>
      </c>
      <c r="E721" s="21" t="s">
        <v>2252</v>
      </c>
      <c r="F721" s="9" t="str">
        <f>VLOOKUP(C721,'[1]terceros cto'!B$1:D$65536,3,0)</f>
        <v>CARRERA 1F No</v>
      </c>
      <c r="G721" s="21">
        <v>15516</v>
      </c>
      <c r="H721" s="9">
        <v>212</v>
      </c>
      <c r="I721" s="36">
        <v>262806</v>
      </c>
      <c r="J721" s="29">
        <v>0</v>
      </c>
      <c r="K721" s="22">
        <v>0</v>
      </c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9"/>
      <c r="CB721" s="9"/>
      <c r="CC721" s="9"/>
      <c r="CD721" s="9"/>
      <c r="CE721" s="9"/>
      <c r="CF721" s="9"/>
      <c r="CG721" s="9"/>
      <c r="CH721" s="9"/>
      <c r="CI721" s="9"/>
      <c r="CJ721" s="9"/>
      <c r="CK721" s="9"/>
      <c r="CL721" s="9"/>
      <c r="CM721" s="9"/>
      <c r="CN721" s="9"/>
      <c r="CO721" s="9"/>
      <c r="CP721" s="9"/>
      <c r="CQ721" s="9"/>
      <c r="CR721" s="9"/>
      <c r="CS721" s="9"/>
      <c r="CT721" s="9"/>
      <c r="CU721" s="9"/>
      <c r="CV721" s="9"/>
      <c r="CW721" s="9"/>
      <c r="CX721" s="9"/>
      <c r="CY721" s="9"/>
      <c r="CZ721" s="9"/>
      <c r="DA721" s="9"/>
      <c r="DB721" s="9"/>
      <c r="DC721" s="9"/>
      <c r="DD721" s="9"/>
      <c r="DE721" s="9"/>
      <c r="DF721" s="9"/>
      <c r="DG721" s="9"/>
      <c r="DH721" s="9"/>
      <c r="DI721" s="9"/>
      <c r="DJ721" s="9"/>
      <c r="DK721" s="9"/>
      <c r="DL721" s="9"/>
      <c r="DM721" s="9"/>
      <c r="DN721" s="9"/>
      <c r="DO721" s="9"/>
      <c r="DP721" s="9"/>
      <c r="DQ721" s="9"/>
      <c r="DR721" s="9"/>
      <c r="DS721" s="9"/>
      <c r="DT721" s="9"/>
      <c r="DU721" s="9"/>
      <c r="DV721" s="9"/>
      <c r="DW721" s="9"/>
      <c r="DX721" s="9"/>
      <c r="DY721" s="9"/>
      <c r="DZ721" s="9"/>
      <c r="EA721" s="9"/>
      <c r="EB721" s="9"/>
      <c r="EC721" s="9"/>
      <c r="ED721" s="9"/>
      <c r="EE721" s="9"/>
      <c r="EF721" s="9"/>
      <c r="EG721" s="9"/>
      <c r="EH721" s="9"/>
      <c r="EI721" s="9"/>
      <c r="EJ721" s="9"/>
      <c r="EK721" s="9"/>
      <c r="EL721" s="9"/>
    </row>
    <row r="722" spans="1:142" x14ac:dyDescent="0.35">
      <c r="A722" s="9">
        <v>901138291</v>
      </c>
      <c r="B722" s="19">
        <v>6</v>
      </c>
      <c r="C722" s="9" t="str">
        <f>VLOOKUP(A722,'[1]terceros cto'!A$1:B$65536,2,0)</f>
        <v>EDS ESTACION LA TURISTICA DE PAIPA SAS</v>
      </c>
      <c r="D722" s="20" t="str">
        <f>VLOOKUP(C722,'[1]terceros cto'!B$1:F$65536,5,0)</f>
        <v>turistica@outlook.com</v>
      </c>
      <c r="E722" s="21" t="s">
        <v>2252</v>
      </c>
      <c r="F722" s="9" t="str">
        <f>VLOOKUP(C722,'[1]terceros cto'!B$1:D$65536,3,0)</f>
        <v>Carrera 19 No-26-45</v>
      </c>
      <c r="G722" s="21">
        <v>15516</v>
      </c>
      <c r="H722" s="9">
        <v>212</v>
      </c>
      <c r="I722" s="36">
        <v>129653</v>
      </c>
      <c r="J722" s="31">
        <v>0</v>
      </c>
      <c r="K722" s="22">
        <v>0</v>
      </c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9"/>
      <c r="CB722" s="9"/>
      <c r="CC722" s="9"/>
      <c r="CD722" s="9"/>
      <c r="CE722" s="9"/>
      <c r="CF722" s="9"/>
      <c r="CG722" s="9"/>
      <c r="CH722" s="9"/>
      <c r="CI722" s="9"/>
      <c r="CJ722" s="9"/>
      <c r="CK722" s="9"/>
      <c r="CL722" s="9"/>
      <c r="CM722" s="9"/>
      <c r="CN722" s="9"/>
      <c r="CO722" s="9"/>
      <c r="CP722" s="9"/>
      <c r="CQ722" s="9"/>
      <c r="CR722" s="9"/>
      <c r="CS722" s="9"/>
      <c r="CT722" s="9"/>
      <c r="CU722" s="9"/>
      <c r="CV722" s="9"/>
      <c r="CW722" s="9"/>
      <c r="CX722" s="9"/>
      <c r="CY722" s="9"/>
      <c r="CZ722" s="9"/>
      <c r="DA722" s="9"/>
      <c r="DB722" s="9"/>
      <c r="DC722" s="9"/>
      <c r="DD722" s="9"/>
      <c r="DE722" s="9"/>
      <c r="DF722" s="9"/>
      <c r="DG722" s="9"/>
      <c r="DH722" s="9"/>
      <c r="DI722" s="9"/>
      <c r="DJ722" s="9"/>
      <c r="DK722" s="9"/>
      <c r="DL722" s="9"/>
      <c r="DM722" s="9"/>
      <c r="DN722" s="9"/>
      <c r="DO722" s="9"/>
      <c r="DP722" s="9"/>
      <c r="DQ722" s="9"/>
      <c r="DR722" s="9"/>
      <c r="DS722" s="9"/>
      <c r="DT722" s="9"/>
      <c r="DU722" s="9"/>
      <c r="DV722" s="9"/>
      <c r="DW722" s="9"/>
      <c r="DX722" s="9"/>
      <c r="DY722" s="9"/>
      <c r="DZ722" s="9"/>
      <c r="EA722" s="9"/>
      <c r="EB722" s="9"/>
      <c r="EC722" s="9"/>
      <c r="ED722" s="9"/>
      <c r="EE722" s="9"/>
      <c r="EF722" s="9"/>
      <c r="EG722" s="9"/>
      <c r="EH722" s="9"/>
      <c r="EI722" s="9"/>
      <c r="EJ722" s="9"/>
      <c r="EK722" s="9"/>
      <c r="EL722" s="9"/>
    </row>
    <row r="723" spans="1:142" x14ac:dyDescent="0.35">
      <c r="A723" s="9">
        <v>901139302</v>
      </c>
      <c r="B723" s="19">
        <v>3</v>
      </c>
      <c r="C723" s="9" t="s">
        <v>2259</v>
      </c>
      <c r="D723" s="20" t="s">
        <v>2252</v>
      </c>
      <c r="E723" s="21" t="s">
        <v>2252</v>
      </c>
      <c r="F723" s="9" t="s">
        <v>2253</v>
      </c>
      <c r="G723" s="21">
        <v>15516</v>
      </c>
      <c r="H723" s="9">
        <v>212</v>
      </c>
      <c r="I723" s="36">
        <v>806723</v>
      </c>
      <c r="J723" s="29">
        <v>0</v>
      </c>
      <c r="K723" s="22">
        <v>0</v>
      </c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9"/>
      <c r="CB723" s="9"/>
      <c r="CC723" s="9"/>
      <c r="CD723" s="9"/>
      <c r="CE723" s="9"/>
      <c r="CF723" s="9"/>
      <c r="CG723" s="9"/>
      <c r="CH723" s="9"/>
      <c r="CI723" s="9"/>
      <c r="CJ723" s="9"/>
      <c r="CK723" s="9"/>
      <c r="CL723" s="9"/>
      <c r="CM723" s="9"/>
      <c r="CN723" s="9"/>
      <c r="CO723" s="9"/>
      <c r="CP723" s="9"/>
      <c r="CQ723" s="9"/>
      <c r="CR723" s="9"/>
      <c r="CS723" s="9"/>
      <c r="CT723" s="9"/>
      <c r="CU723" s="9"/>
      <c r="CV723" s="9"/>
      <c r="CW723" s="9"/>
      <c r="CX723" s="9"/>
      <c r="CY723" s="9"/>
      <c r="CZ723" s="9"/>
      <c r="DA723" s="9"/>
      <c r="DB723" s="9"/>
      <c r="DC723" s="9"/>
      <c r="DD723" s="9"/>
      <c r="DE723" s="9"/>
      <c r="DF723" s="9"/>
      <c r="DG723" s="9"/>
      <c r="DH723" s="9"/>
      <c r="DI723" s="9"/>
      <c r="DJ723" s="9"/>
      <c r="DK723" s="9"/>
      <c r="DL723" s="9"/>
      <c r="DM723" s="9"/>
      <c r="DN723" s="9"/>
      <c r="DO723" s="9"/>
      <c r="DP723" s="9"/>
      <c r="DQ723" s="9"/>
      <c r="DR723" s="9"/>
      <c r="DS723" s="9"/>
      <c r="DT723" s="9"/>
      <c r="DU723" s="9"/>
      <c r="DV723" s="9"/>
      <c r="DW723" s="9"/>
      <c r="DX723" s="9"/>
      <c r="DY723" s="9"/>
      <c r="DZ723" s="9"/>
      <c r="EA723" s="9"/>
      <c r="EB723" s="9"/>
      <c r="EC723" s="9"/>
      <c r="ED723" s="9"/>
      <c r="EE723" s="9"/>
      <c r="EF723" s="9"/>
      <c r="EG723" s="9"/>
      <c r="EH723" s="9"/>
      <c r="EI723" s="9"/>
      <c r="EJ723" s="9"/>
      <c r="EK723" s="9"/>
      <c r="EL723" s="9"/>
    </row>
    <row r="724" spans="1:142" x14ac:dyDescent="0.35">
      <c r="A724" s="9">
        <v>901207027</v>
      </c>
      <c r="B724" s="19">
        <v>9</v>
      </c>
      <c r="C724" s="9" t="str">
        <f>VLOOKUP(A724,'[1]terceros cto'!A$1:B$65536,2,0)</f>
        <v>ENERGIA  LIMPIA CONTINENTAL ENECOL SAS</v>
      </c>
      <c r="D724" s="20" t="s">
        <v>2252</v>
      </c>
      <c r="E724" s="21" t="s">
        <v>2252</v>
      </c>
      <c r="F724" s="9" t="str">
        <f>VLOOKUP(C724,'[1]terceros cto'!B$1:D$65536,3,0)</f>
        <v>CARRERA 21 22-58</v>
      </c>
      <c r="G724" s="21">
        <v>15516</v>
      </c>
      <c r="H724" s="9">
        <v>212</v>
      </c>
      <c r="I724" s="36">
        <v>1616925</v>
      </c>
      <c r="J724" s="31">
        <v>0</v>
      </c>
      <c r="K724" s="22">
        <v>0</v>
      </c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9"/>
      <c r="CB724" s="9"/>
      <c r="CC724" s="9"/>
      <c r="CD724" s="9"/>
      <c r="CE724" s="9"/>
      <c r="CF724" s="9"/>
      <c r="CG724" s="9"/>
      <c r="CH724" s="9"/>
      <c r="CI724" s="9"/>
      <c r="CJ724" s="9"/>
      <c r="CK724" s="9"/>
      <c r="CL724" s="9"/>
      <c r="CM724" s="9"/>
      <c r="CN724" s="9"/>
      <c r="CO724" s="9"/>
      <c r="CP724" s="9"/>
      <c r="CQ724" s="9"/>
      <c r="CR724" s="9"/>
      <c r="CS724" s="9"/>
      <c r="CT724" s="9"/>
      <c r="CU724" s="9"/>
      <c r="CV724" s="9"/>
      <c r="CW724" s="9"/>
      <c r="CX724" s="9"/>
      <c r="CY724" s="9"/>
      <c r="CZ724" s="9"/>
      <c r="DA724" s="9"/>
      <c r="DB724" s="9"/>
      <c r="DC724" s="9"/>
      <c r="DD724" s="9"/>
      <c r="DE724" s="9"/>
      <c r="DF724" s="9"/>
      <c r="DG724" s="9"/>
      <c r="DH724" s="9"/>
      <c r="DI724" s="9"/>
      <c r="DJ724" s="9"/>
      <c r="DK724" s="9"/>
      <c r="DL724" s="9"/>
      <c r="DM724" s="9"/>
      <c r="DN724" s="9"/>
      <c r="DO724" s="9"/>
      <c r="DP724" s="9"/>
      <c r="DQ724" s="9"/>
      <c r="DR724" s="9"/>
      <c r="DS724" s="9"/>
      <c r="DT724" s="9"/>
      <c r="DU724" s="9"/>
      <c r="DV724" s="9"/>
      <c r="DW724" s="9"/>
      <c r="DX724" s="9"/>
      <c r="DY724" s="9"/>
      <c r="DZ724" s="9"/>
      <c r="EA724" s="9"/>
      <c r="EB724" s="9"/>
      <c r="EC724" s="9"/>
      <c r="ED724" s="9"/>
      <c r="EE724" s="9"/>
      <c r="EF724" s="9"/>
      <c r="EG724" s="9"/>
      <c r="EH724" s="9"/>
      <c r="EI724" s="9"/>
      <c r="EJ724" s="9"/>
      <c r="EK724" s="9"/>
      <c r="EL724" s="9"/>
    </row>
    <row r="725" spans="1:142" x14ac:dyDescent="0.35">
      <c r="A725" s="9">
        <v>901687058</v>
      </c>
      <c r="B725" s="9">
        <v>3</v>
      </c>
      <c r="C725" s="9" t="str">
        <f>VLOOKUP(A725,'[1]terceros cto'!A$1:B$65536,2,0)</f>
        <v>GARMOLAN SAS</v>
      </c>
      <c r="D725" s="9" t="s">
        <v>2252</v>
      </c>
      <c r="E725" s="21" t="s">
        <v>2252</v>
      </c>
      <c r="F725" s="9" t="str">
        <f>VLOOKUP(C725,'[1]terceros cto'!B$1:D$65536,3,0)</f>
        <v>CR 29 26 38</v>
      </c>
      <c r="G725" s="21">
        <v>15516</v>
      </c>
      <c r="H725" s="9">
        <v>212</v>
      </c>
      <c r="I725" s="36">
        <v>806723</v>
      </c>
      <c r="J725" s="29">
        <v>0</v>
      </c>
      <c r="K725" s="22">
        <v>0</v>
      </c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9"/>
      <c r="CB725" s="9"/>
      <c r="CC725" s="9"/>
      <c r="CD725" s="9"/>
      <c r="CE725" s="9"/>
      <c r="CF725" s="9"/>
      <c r="CG725" s="9"/>
      <c r="CH725" s="9"/>
      <c r="CI725" s="9"/>
      <c r="CJ725" s="9"/>
      <c r="CK725" s="9"/>
      <c r="CL725" s="9"/>
      <c r="CM725" s="9"/>
      <c r="CN725" s="9"/>
      <c r="CO725" s="9"/>
      <c r="CP725" s="9"/>
      <c r="CQ725" s="9"/>
      <c r="CR725" s="9"/>
      <c r="CS725" s="9"/>
      <c r="CT725" s="9"/>
      <c r="CU725" s="9"/>
      <c r="CV725" s="9"/>
      <c r="CW725" s="9"/>
      <c r="CX725" s="9"/>
      <c r="CY725" s="9"/>
      <c r="CZ725" s="9"/>
      <c r="DA725" s="9"/>
      <c r="DB725" s="9"/>
      <c r="DC725" s="9"/>
      <c r="DD725" s="9"/>
      <c r="DE725" s="9"/>
      <c r="DF725" s="9"/>
      <c r="DG725" s="9"/>
      <c r="DH725" s="9"/>
      <c r="DI725" s="9"/>
      <c r="DJ725" s="9"/>
      <c r="DK725" s="9"/>
      <c r="DL725" s="9"/>
      <c r="DM725" s="9"/>
      <c r="DN725" s="9"/>
      <c r="DO725" s="9"/>
      <c r="DP725" s="9"/>
      <c r="DQ725" s="9"/>
      <c r="DR725" s="9"/>
      <c r="DS725" s="9"/>
      <c r="DT725" s="9"/>
      <c r="DU725" s="9"/>
      <c r="DV725" s="9"/>
      <c r="DW725" s="9"/>
      <c r="DX725" s="9"/>
      <c r="DY725" s="9"/>
      <c r="DZ725" s="9"/>
      <c r="EA725" s="9"/>
      <c r="EB725" s="9"/>
      <c r="EC725" s="9"/>
      <c r="ED725" s="9"/>
      <c r="EE725" s="9"/>
      <c r="EF725" s="9"/>
      <c r="EG725" s="9"/>
      <c r="EH725" s="9"/>
      <c r="EI725" s="9"/>
      <c r="EJ725" s="9"/>
      <c r="EK725" s="9"/>
      <c r="EL725" s="9"/>
    </row>
    <row r="726" spans="1:142" x14ac:dyDescent="0.35">
      <c r="A726" s="9">
        <v>91015587</v>
      </c>
      <c r="B726" s="9">
        <v>8</v>
      </c>
      <c r="C726" s="9" t="str">
        <f>VLOOKUP(A726,'[1]terceros cto'!A$1:B$65536,2,0)</f>
        <v>JIMENEZ JOSE ALFREDO</v>
      </c>
      <c r="D726" s="9" t="s">
        <v>2252</v>
      </c>
      <c r="E726" s="21" t="s">
        <v>2252</v>
      </c>
      <c r="F726" s="9" t="str">
        <f>VLOOKUP(C726,'[1]terceros cto'!B$1:D$65536,3,0)</f>
        <v>CR 17 26C 21</v>
      </c>
      <c r="G726" s="21">
        <v>15516</v>
      </c>
      <c r="H726" s="9">
        <v>212</v>
      </c>
      <c r="I726" s="36">
        <v>201680</v>
      </c>
      <c r="J726" s="31">
        <v>0</v>
      </c>
      <c r="K726" s="22">
        <v>0</v>
      </c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9"/>
      <c r="CC726" s="9"/>
      <c r="CD726" s="9"/>
      <c r="CE726" s="9"/>
      <c r="CF726" s="9"/>
      <c r="CG726" s="9"/>
      <c r="CH726" s="9"/>
      <c r="CI726" s="9"/>
      <c r="CJ726" s="9"/>
      <c r="CK726" s="9"/>
      <c r="CL726" s="9"/>
      <c r="CM726" s="9"/>
      <c r="CN726" s="9"/>
      <c r="CO726" s="9"/>
      <c r="CP726" s="9"/>
      <c r="CQ726" s="9"/>
      <c r="CR726" s="9"/>
      <c r="CS726" s="9"/>
      <c r="CT726" s="9"/>
      <c r="CU726" s="9"/>
      <c r="CV726" s="9"/>
      <c r="CW726" s="9"/>
      <c r="CX726" s="9"/>
      <c r="CY726" s="9"/>
      <c r="CZ726" s="9"/>
      <c r="DA726" s="9"/>
      <c r="DB726" s="9"/>
      <c r="DC726" s="9"/>
      <c r="DD726" s="9"/>
      <c r="DE726" s="9"/>
      <c r="DF726" s="9"/>
      <c r="DG726" s="9"/>
      <c r="DH726" s="9"/>
      <c r="DI726" s="9"/>
      <c r="DJ726" s="9"/>
      <c r="DK726" s="9"/>
      <c r="DL726" s="9"/>
      <c r="DM726" s="9"/>
      <c r="DN726" s="9"/>
      <c r="DO726" s="9"/>
      <c r="DP726" s="9"/>
      <c r="DQ726" s="9"/>
      <c r="DR726" s="9"/>
      <c r="DS726" s="9"/>
      <c r="DT726" s="9"/>
      <c r="DU726" s="9"/>
      <c r="DV726" s="9"/>
      <c r="DW726" s="9"/>
      <c r="DX726" s="9"/>
      <c r="DY726" s="9"/>
      <c r="DZ726" s="9"/>
      <c r="EA726" s="9"/>
      <c r="EB726" s="9"/>
      <c r="EC726" s="9"/>
      <c r="ED726" s="9"/>
      <c r="EE726" s="9"/>
      <c r="EF726" s="9"/>
      <c r="EG726" s="9"/>
      <c r="EH726" s="9"/>
      <c r="EI726" s="9"/>
      <c r="EJ726" s="9"/>
      <c r="EK726" s="9"/>
      <c r="EL726" s="9"/>
    </row>
    <row r="727" spans="1:142" x14ac:dyDescent="0.35">
      <c r="I727" s="36"/>
      <c r="J727" s="29"/>
      <c r="K727" s="22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  <c r="CB727" s="9"/>
      <c r="CC727" s="9"/>
      <c r="CD727" s="9"/>
      <c r="CE727" s="9"/>
      <c r="CF727" s="9"/>
      <c r="CG727" s="9"/>
      <c r="CH727" s="9"/>
      <c r="CI727" s="9"/>
      <c r="CJ727" s="9"/>
      <c r="CK727" s="9"/>
      <c r="CL727" s="9"/>
      <c r="CM727" s="9"/>
      <c r="CN727" s="9"/>
      <c r="CO727" s="9"/>
      <c r="CP727" s="9"/>
      <c r="CQ727" s="9"/>
      <c r="CR727" s="9"/>
      <c r="CS727" s="9"/>
      <c r="CT727" s="9"/>
      <c r="CU727" s="9"/>
      <c r="CV727" s="9"/>
      <c r="CW727" s="9"/>
      <c r="CX727" s="9"/>
      <c r="CY727" s="9"/>
      <c r="CZ727" s="9"/>
      <c r="DA727" s="9"/>
      <c r="DB727" s="9"/>
      <c r="DC727" s="9"/>
      <c r="DD727" s="9"/>
      <c r="DE727" s="9"/>
      <c r="DF727" s="9"/>
      <c r="DG727" s="9"/>
      <c r="DH727" s="9"/>
      <c r="DI727" s="9"/>
      <c r="DJ727" s="9"/>
      <c r="DK727" s="9"/>
      <c r="DL727" s="9"/>
      <c r="DM727" s="9"/>
      <c r="DN727" s="9"/>
      <c r="DO727" s="9"/>
      <c r="DP727" s="9"/>
      <c r="DQ727" s="9"/>
      <c r="DR727" s="9"/>
      <c r="DS727" s="9"/>
      <c r="DT727" s="9"/>
      <c r="DU727" s="9"/>
      <c r="DV727" s="9"/>
      <c r="DW727" s="9"/>
      <c r="DX727" s="9"/>
      <c r="DY727" s="9"/>
      <c r="DZ727" s="9"/>
      <c r="EA727" s="9"/>
      <c r="EB727" s="9"/>
      <c r="EC727" s="9"/>
      <c r="ED727" s="9"/>
      <c r="EE727" s="9"/>
      <c r="EF727" s="9"/>
      <c r="EG727" s="9"/>
      <c r="EH727" s="9"/>
      <c r="EI727" s="9"/>
      <c r="EJ727" s="9"/>
      <c r="EK727" s="9"/>
      <c r="EL727" s="9"/>
    </row>
    <row r="728" spans="1:142" x14ac:dyDescent="0.35">
      <c r="I728" s="36"/>
      <c r="J728" s="31"/>
      <c r="K728" s="22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  <c r="CB728" s="9"/>
      <c r="CC728" s="9"/>
      <c r="CD728" s="9"/>
      <c r="CE728" s="9"/>
      <c r="CF728" s="9"/>
      <c r="CG728" s="9"/>
      <c r="CH728" s="9"/>
      <c r="CI728" s="9"/>
      <c r="CJ728" s="9"/>
      <c r="CK728" s="9"/>
      <c r="CL728" s="9"/>
      <c r="CM728" s="9"/>
      <c r="CN728" s="9"/>
      <c r="CO728" s="9"/>
      <c r="CP728" s="9"/>
      <c r="CQ728" s="9"/>
      <c r="CR728" s="9"/>
      <c r="CS728" s="9"/>
      <c r="CT728" s="9"/>
      <c r="CU728" s="9"/>
      <c r="CV728" s="9"/>
      <c r="CW728" s="9"/>
      <c r="CX728" s="9"/>
      <c r="CY728" s="9"/>
      <c r="CZ728" s="9"/>
      <c r="DA728" s="9"/>
      <c r="DB728" s="9"/>
      <c r="DC728" s="9"/>
      <c r="DD728" s="9"/>
      <c r="DE728" s="9"/>
      <c r="DF728" s="9"/>
      <c r="DG728" s="9"/>
      <c r="DH728" s="9"/>
      <c r="DI728" s="9"/>
      <c r="DJ728" s="9"/>
      <c r="DK728" s="9"/>
      <c r="DL728" s="9"/>
      <c r="DM728" s="9"/>
      <c r="DN728" s="9"/>
      <c r="DO728" s="9"/>
      <c r="DP728" s="9"/>
      <c r="DQ728" s="9"/>
      <c r="DR728" s="9"/>
      <c r="DS728" s="9"/>
      <c r="DT728" s="9"/>
      <c r="DU728" s="9"/>
      <c r="DV728" s="9"/>
      <c r="DW728" s="9"/>
      <c r="DX728" s="9"/>
      <c r="DY728" s="9"/>
      <c r="DZ728" s="9"/>
      <c r="EA728" s="9"/>
      <c r="EB728" s="9"/>
      <c r="EC728" s="9"/>
      <c r="ED728" s="9"/>
      <c r="EE728" s="9"/>
      <c r="EF728" s="9"/>
      <c r="EG728" s="9"/>
      <c r="EH728" s="9"/>
      <c r="EI728" s="9"/>
      <c r="EJ728" s="9"/>
      <c r="EK728" s="9"/>
      <c r="EL728" s="9"/>
    </row>
    <row r="729" spans="1:142" x14ac:dyDescent="0.35">
      <c r="I729" s="36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4">
    <mergeCell ref="A1:L1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11</v>
      </c>
      <c r="B1" s="2" t="s">
        <v>12</v>
      </c>
    </row>
    <row r="2" spans="1:2" x14ac:dyDescent="0.35">
      <c r="A2" s="5">
        <v>101</v>
      </c>
      <c r="B2" s="3" t="s">
        <v>13</v>
      </c>
    </row>
    <row r="3" spans="1:2" x14ac:dyDescent="0.35">
      <c r="A3" s="5">
        <v>102</v>
      </c>
      <c r="B3" s="3" t="s">
        <v>14</v>
      </c>
    </row>
    <row r="4" spans="1:2" x14ac:dyDescent="0.35">
      <c r="A4" s="5">
        <v>103</v>
      </c>
      <c r="B4" s="3" t="s">
        <v>15</v>
      </c>
    </row>
    <row r="5" spans="1:2" x14ac:dyDescent="0.35">
      <c r="A5" s="5">
        <v>104</v>
      </c>
      <c r="B5" s="3" t="s">
        <v>16</v>
      </c>
    </row>
    <row r="6" spans="1:2" x14ac:dyDescent="0.35">
      <c r="A6" s="5">
        <v>105</v>
      </c>
      <c r="B6" s="3" t="s">
        <v>17</v>
      </c>
    </row>
    <row r="7" spans="1:2" x14ac:dyDescent="0.35">
      <c r="A7" s="5">
        <v>106</v>
      </c>
      <c r="B7" s="3" t="s">
        <v>18</v>
      </c>
    </row>
    <row r="8" spans="1:2" x14ac:dyDescent="0.35">
      <c r="A8" s="5">
        <v>107</v>
      </c>
      <c r="B8" s="3" t="s">
        <v>19</v>
      </c>
    </row>
    <row r="9" spans="1:2" x14ac:dyDescent="0.35">
      <c r="A9" s="5">
        <v>108</v>
      </c>
      <c r="B9" s="3" t="s">
        <v>20</v>
      </c>
    </row>
    <row r="10" spans="1:2" x14ac:dyDescent="0.35">
      <c r="A10" s="5">
        <v>109</v>
      </c>
      <c r="B10" s="3" t="s">
        <v>21</v>
      </c>
    </row>
    <row r="11" spans="1:2" x14ac:dyDescent="0.35">
      <c r="A11" s="5">
        <v>110</v>
      </c>
      <c r="B11" s="3" t="s">
        <v>22</v>
      </c>
    </row>
    <row r="12" spans="1:2" x14ac:dyDescent="0.35">
      <c r="A12" s="5">
        <v>111</v>
      </c>
      <c r="B12" s="3" t="s">
        <v>23</v>
      </c>
    </row>
    <row r="13" spans="1:2" x14ac:dyDescent="0.35">
      <c r="A13" s="5">
        <v>112</v>
      </c>
      <c r="B13" s="3" t="s">
        <v>24</v>
      </c>
    </row>
    <row r="14" spans="1:2" x14ac:dyDescent="0.35">
      <c r="A14" s="5">
        <v>113</v>
      </c>
      <c r="B14" s="3" t="s">
        <v>25</v>
      </c>
    </row>
    <row r="15" spans="1:2" x14ac:dyDescent="0.35">
      <c r="A15" s="5">
        <v>114</v>
      </c>
      <c r="B15" s="3" t="s">
        <v>26</v>
      </c>
    </row>
    <row r="16" spans="1:2" x14ac:dyDescent="0.35">
      <c r="A16" s="5">
        <v>201</v>
      </c>
      <c r="B16" s="3" t="s">
        <v>27</v>
      </c>
    </row>
    <row r="17" spans="1:2" x14ac:dyDescent="0.35">
      <c r="A17" s="5">
        <v>202</v>
      </c>
      <c r="B17" s="3" t="s">
        <v>28</v>
      </c>
    </row>
    <row r="18" spans="1:2" x14ac:dyDescent="0.35">
      <c r="A18" s="5">
        <v>203</v>
      </c>
      <c r="B18" s="3" t="s">
        <v>29</v>
      </c>
    </row>
    <row r="19" spans="1:2" x14ac:dyDescent="0.35">
      <c r="A19" s="5">
        <v>204</v>
      </c>
      <c r="B19" s="3" t="s">
        <v>30</v>
      </c>
    </row>
    <row r="20" spans="1:2" x14ac:dyDescent="0.35">
      <c r="A20" s="5">
        <v>205</v>
      </c>
      <c r="B20" s="3" t="s">
        <v>31</v>
      </c>
    </row>
    <row r="21" spans="1:2" x14ac:dyDescent="0.35">
      <c r="A21" s="5">
        <v>206</v>
      </c>
      <c r="B21" s="3" t="s">
        <v>32</v>
      </c>
    </row>
    <row r="22" spans="1:2" x14ac:dyDescent="0.35">
      <c r="A22" s="5">
        <v>207</v>
      </c>
      <c r="B22" s="3" t="s">
        <v>33</v>
      </c>
    </row>
    <row r="23" spans="1:2" x14ac:dyDescent="0.35">
      <c r="A23" s="5">
        <v>208</v>
      </c>
      <c r="B23" s="3" t="s">
        <v>34</v>
      </c>
    </row>
    <row r="24" spans="1:2" x14ac:dyDescent="0.35">
      <c r="A24" s="5">
        <v>209</v>
      </c>
      <c r="B24" s="3" t="s">
        <v>35</v>
      </c>
    </row>
    <row r="25" spans="1:2" x14ac:dyDescent="0.35">
      <c r="A25" s="5">
        <v>210</v>
      </c>
      <c r="B25" s="3" t="s">
        <v>36</v>
      </c>
    </row>
    <row r="26" spans="1:2" x14ac:dyDescent="0.35">
      <c r="A26" s="5">
        <v>211</v>
      </c>
      <c r="B26" s="3" t="s">
        <v>37</v>
      </c>
    </row>
    <row r="27" spans="1:2" x14ac:dyDescent="0.35">
      <c r="A27" s="5">
        <v>212</v>
      </c>
      <c r="B27" s="3" t="s">
        <v>38</v>
      </c>
    </row>
    <row r="28" spans="1:2" x14ac:dyDescent="0.35">
      <c r="A28" s="5">
        <v>213</v>
      </c>
      <c r="B28" s="3" t="s">
        <v>39</v>
      </c>
    </row>
    <row r="29" spans="1:2" x14ac:dyDescent="0.35">
      <c r="A29" s="5">
        <v>214</v>
      </c>
      <c r="B29" s="3" t="s">
        <v>40</v>
      </c>
    </row>
    <row r="30" spans="1:2" x14ac:dyDescent="0.35">
      <c r="A30" s="5">
        <v>215</v>
      </c>
      <c r="B30" s="3" t="s">
        <v>41</v>
      </c>
    </row>
    <row r="31" spans="1:2" x14ac:dyDescent="0.35">
      <c r="A31" s="5">
        <v>216</v>
      </c>
      <c r="B31" s="3" t="s">
        <v>42</v>
      </c>
    </row>
    <row r="32" spans="1:2" x14ac:dyDescent="0.35">
      <c r="A32" s="5">
        <v>217</v>
      </c>
      <c r="B32" s="3" t="s">
        <v>43</v>
      </c>
    </row>
    <row r="33" spans="1:2" x14ac:dyDescent="0.35">
      <c r="A33" s="5">
        <v>219</v>
      </c>
      <c r="B33" s="3" t="s">
        <v>44</v>
      </c>
    </row>
    <row r="34" spans="1:2" x14ac:dyDescent="0.35">
      <c r="A34" s="5">
        <v>301</v>
      </c>
      <c r="B34" s="3" t="s">
        <v>45</v>
      </c>
    </row>
    <row r="35" spans="1:2" x14ac:dyDescent="0.35">
      <c r="A35" s="5">
        <v>302</v>
      </c>
      <c r="B35" s="3" t="s">
        <v>46</v>
      </c>
    </row>
    <row r="36" spans="1:2" x14ac:dyDescent="0.35">
      <c r="A36" s="5">
        <v>303</v>
      </c>
      <c r="B36" s="3" t="s">
        <v>47</v>
      </c>
    </row>
    <row r="37" spans="1:2" x14ac:dyDescent="0.35">
      <c r="A37" s="5">
        <v>304</v>
      </c>
      <c r="B37" s="3" t="s">
        <v>48</v>
      </c>
    </row>
    <row r="38" spans="1:2" x14ac:dyDescent="0.35">
      <c r="A38" s="5">
        <v>305</v>
      </c>
      <c r="B38" s="3" t="s">
        <v>49</v>
      </c>
    </row>
    <row r="39" spans="1:2" x14ac:dyDescent="0.35">
      <c r="A39" s="5">
        <v>306</v>
      </c>
      <c r="B39" s="3" t="s">
        <v>50</v>
      </c>
    </row>
    <row r="40" spans="1:2" x14ac:dyDescent="0.35">
      <c r="A40" s="5">
        <v>307</v>
      </c>
      <c r="B40" s="3" t="s">
        <v>51</v>
      </c>
    </row>
    <row r="41" spans="1:2" x14ac:dyDescent="0.35">
      <c r="A41" s="5">
        <v>308</v>
      </c>
      <c r="B41" s="3" t="s">
        <v>52</v>
      </c>
    </row>
    <row r="42" spans="1:2" x14ac:dyDescent="0.35">
      <c r="A42" s="5">
        <v>309</v>
      </c>
      <c r="B42" s="3" t="s">
        <v>53</v>
      </c>
    </row>
    <row r="43" spans="1:2" x14ac:dyDescent="0.35">
      <c r="A43" s="5">
        <v>310</v>
      </c>
      <c r="B43" s="3" t="s">
        <v>54</v>
      </c>
    </row>
    <row r="44" spans="1:2" x14ac:dyDescent="0.35">
      <c r="A44" s="5">
        <v>311</v>
      </c>
      <c r="B44" s="3" t="s">
        <v>55</v>
      </c>
    </row>
    <row r="45" spans="1:2" x14ac:dyDescent="0.35">
      <c r="A45" s="5">
        <v>312</v>
      </c>
      <c r="B45" s="3" t="s">
        <v>56</v>
      </c>
    </row>
    <row r="46" spans="1:2" x14ac:dyDescent="0.35">
      <c r="A46" s="5">
        <v>313</v>
      </c>
      <c r="B46" s="3" t="s">
        <v>57</v>
      </c>
    </row>
    <row r="47" spans="1:2" x14ac:dyDescent="0.35">
      <c r="A47" s="5">
        <v>314</v>
      </c>
      <c r="B47" s="3" t="s">
        <v>58</v>
      </c>
    </row>
    <row r="48" spans="1:2" x14ac:dyDescent="0.35">
      <c r="A48" s="5">
        <v>315</v>
      </c>
      <c r="B48" s="3" t="s">
        <v>59</v>
      </c>
    </row>
    <row r="49" spans="1:2" x14ac:dyDescent="0.35">
      <c r="A49" s="5">
        <v>316</v>
      </c>
      <c r="B49" s="3" t="s">
        <v>60</v>
      </c>
    </row>
    <row r="50" spans="1:2" x14ac:dyDescent="0.35">
      <c r="A50" s="5">
        <v>317</v>
      </c>
      <c r="B50" s="3" t="s">
        <v>61</v>
      </c>
    </row>
    <row r="51" spans="1:2" x14ac:dyDescent="0.35">
      <c r="A51" s="5">
        <v>318</v>
      </c>
      <c r="B51" s="3" t="s">
        <v>62</v>
      </c>
    </row>
    <row r="52" spans="1:2" x14ac:dyDescent="0.35">
      <c r="A52" s="5">
        <v>319</v>
      </c>
      <c r="B52" s="3" t="s">
        <v>63</v>
      </c>
    </row>
    <row r="53" spans="1:2" x14ac:dyDescent="0.35">
      <c r="A53" s="5">
        <v>320</v>
      </c>
      <c r="B53" s="3" t="s">
        <v>64</v>
      </c>
    </row>
    <row r="54" spans="1:2" x14ac:dyDescent="0.35">
      <c r="A54" s="5">
        <v>321</v>
      </c>
      <c r="B54" s="3" t="s">
        <v>65</v>
      </c>
    </row>
    <row r="55" spans="1:2" x14ac:dyDescent="0.35">
      <c r="A55" s="5">
        <v>322</v>
      </c>
      <c r="B55" s="3" t="s">
        <v>66</v>
      </c>
    </row>
    <row r="56" spans="1:2" x14ac:dyDescent="0.35">
      <c r="A56" s="5">
        <v>323</v>
      </c>
      <c r="B56" s="3" t="s">
        <v>67</v>
      </c>
    </row>
    <row r="57" spans="1:2" x14ac:dyDescent="0.35">
      <c r="A57" s="5">
        <v>324</v>
      </c>
      <c r="B57" s="3" t="s">
        <v>68</v>
      </c>
    </row>
    <row r="58" spans="1:2" x14ac:dyDescent="0.35">
      <c r="A58" s="5">
        <v>325</v>
      </c>
      <c r="B58" s="3" t="s">
        <v>69</v>
      </c>
    </row>
    <row r="59" spans="1:2" x14ac:dyDescent="0.35">
      <c r="A59" s="5">
        <v>326</v>
      </c>
      <c r="B59" s="3" t="s">
        <v>70</v>
      </c>
    </row>
    <row r="60" spans="1:2" x14ac:dyDescent="0.35">
      <c r="A60" s="5">
        <v>327</v>
      </c>
      <c r="B60" s="3" t="s">
        <v>71</v>
      </c>
    </row>
    <row r="61" spans="1:2" x14ac:dyDescent="0.35">
      <c r="A61" s="5">
        <v>328</v>
      </c>
      <c r="B61" s="3" t="s">
        <v>72</v>
      </c>
    </row>
    <row r="62" spans="1:2" x14ac:dyDescent="0.35">
      <c r="A62" s="5">
        <v>329</v>
      </c>
      <c r="B62" s="3" t="s">
        <v>73</v>
      </c>
    </row>
    <row r="63" spans="1:2" x14ac:dyDescent="0.35">
      <c r="A63" s="5">
        <v>330</v>
      </c>
      <c r="B63" s="3" t="s">
        <v>74</v>
      </c>
    </row>
    <row r="64" spans="1:2" x14ac:dyDescent="0.35">
      <c r="A64" s="5">
        <v>331</v>
      </c>
      <c r="B64" s="3" t="s">
        <v>75</v>
      </c>
    </row>
    <row r="65" spans="1:2" x14ac:dyDescent="0.35">
      <c r="A65" s="5">
        <v>332</v>
      </c>
      <c r="B65" s="3" t="s">
        <v>76</v>
      </c>
    </row>
    <row r="66" spans="1:2" x14ac:dyDescent="0.35">
      <c r="A66" s="5">
        <v>333</v>
      </c>
      <c r="B66" s="3" t="s">
        <v>77</v>
      </c>
    </row>
    <row r="67" spans="1:2" x14ac:dyDescent="0.35">
      <c r="A67" s="5">
        <v>334</v>
      </c>
      <c r="B67" s="3" t="s">
        <v>78</v>
      </c>
    </row>
    <row r="68" spans="1:2" x14ac:dyDescent="0.35">
      <c r="A68" s="5">
        <v>401</v>
      </c>
      <c r="B68" s="3" t="s">
        <v>79</v>
      </c>
    </row>
    <row r="69" spans="1:2" x14ac:dyDescent="0.35">
      <c r="A69" s="5">
        <v>402</v>
      </c>
      <c r="B69" s="3" t="s">
        <v>80</v>
      </c>
    </row>
    <row r="70" spans="1:2" x14ac:dyDescent="0.35">
      <c r="A70" s="5">
        <v>901</v>
      </c>
      <c r="B70" s="3" t="s">
        <v>81</v>
      </c>
    </row>
    <row r="71" spans="1:2" x14ac:dyDescent="0.35">
      <c r="A71" s="5">
        <v>902</v>
      </c>
      <c r="B71" s="3" t="s">
        <v>82</v>
      </c>
    </row>
    <row r="72" spans="1:2" x14ac:dyDescent="0.35">
      <c r="A72" s="5">
        <v>903</v>
      </c>
      <c r="B72" s="3" t="s">
        <v>83</v>
      </c>
    </row>
    <row r="73" spans="1:2" x14ac:dyDescent="0.3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85</v>
      </c>
      <c r="B1" s="1" t="s">
        <v>86</v>
      </c>
    </row>
    <row r="2" spans="1:2" x14ac:dyDescent="0.35">
      <c r="A2" s="7" t="s">
        <v>87</v>
      </c>
      <c r="B2" s="7" t="s">
        <v>88</v>
      </c>
    </row>
    <row r="3" spans="1:2" x14ac:dyDescent="0.35">
      <c r="A3" s="7" t="s">
        <v>89</v>
      </c>
      <c r="B3" s="7" t="s">
        <v>90</v>
      </c>
    </row>
    <row r="4" spans="1:2" x14ac:dyDescent="0.35">
      <c r="A4" s="7" t="s">
        <v>91</v>
      </c>
      <c r="B4" s="7" t="s">
        <v>92</v>
      </c>
    </row>
    <row r="5" spans="1:2" x14ac:dyDescent="0.35">
      <c r="A5" s="7" t="s">
        <v>93</v>
      </c>
      <c r="B5" s="7" t="s">
        <v>94</v>
      </c>
    </row>
    <row r="6" spans="1:2" x14ac:dyDescent="0.35">
      <c r="A6" s="7" t="s">
        <v>95</v>
      </c>
      <c r="B6" s="7" t="s">
        <v>96</v>
      </c>
    </row>
    <row r="7" spans="1:2" x14ac:dyDescent="0.35">
      <c r="A7" s="7" t="s">
        <v>97</v>
      </c>
      <c r="B7" s="7" t="s">
        <v>98</v>
      </c>
    </row>
    <row r="8" spans="1:2" x14ac:dyDescent="0.35">
      <c r="A8" s="7" t="s">
        <v>99</v>
      </c>
      <c r="B8" s="7" t="s">
        <v>100</v>
      </c>
    </row>
    <row r="9" spans="1:2" x14ac:dyDescent="0.35">
      <c r="A9" s="7" t="s">
        <v>101</v>
      </c>
      <c r="B9" s="7" t="s">
        <v>102</v>
      </c>
    </row>
    <row r="10" spans="1:2" x14ac:dyDescent="0.35">
      <c r="A10" s="7" t="s">
        <v>103</v>
      </c>
      <c r="B10" s="7" t="s">
        <v>104</v>
      </c>
    </row>
    <row r="11" spans="1:2" x14ac:dyDescent="0.35">
      <c r="A11" s="7" t="s">
        <v>105</v>
      </c>
      <c r="B11" s="7" t="s">
        <v>106</v>
      </c>
    </row>
    <row r="12" spans="1:2" x14ac:dyDescent="0.35">
      <c r="A12" s="7" t="s">
        <v>107</v>
      </c>
      <c r="B12" s="7" t="s">
        <v>108</v>
      </c>
    </row>
    <row r="13" spans="1:2" x14ac:dyDescent="0.35">
      <c r="A13" s="7" t="s">
        <v>109</v>
      </c>
      <c r="B13" s="7" t="s">
        <v>110</v>
      </c>
    </row>
    <row r="14" spans="1:2" x14ac:dyDescent="0.35">
      <c r="A14" s="7" t="s">
        <v>111</v>
      </c>
      <c r="B14" s="7" t="s">
        <v>112</v>
      </c>
    </row>
    <row r="15" spans="1:2" x14ac:dyDescent="0.35">
      <c r="A15" s="7" t="s">
        <v>113</v>
      </c>
      <c r="B15" s="7" t="s">
        <v>114</v>
      </c>
    </row>
    <row r="16" spans="1:2" x14ac:dyDescent="0.35">
      <c r="A16" s="7" t="s">
        <v>115</v>
      </c>
      <c r="B16" s="7" t="s">
        <v>116</v>
      </c>
    </row>
    <row r="17" spans="1:2" x14ac:dyDescent="0.35">
      <c r="A17" s="7" t="s">
        <v>117</v>
      </c>
      <c r="B17" s="7" t="s">
        <v>118</v>
      </c>
    </row>
    <row r="18" spans="1:2" x14ac:dyDescent="0.35">
      <c r="A18" s="7" t="s">
        <v>119</v>
      </c>
      <c r="B18" s="7" t="s">
        <v>120</v>
      </c>
    </row>
    <row r="19" spans="1:2" x14ac:dyDescent="0.35">
      <c r="A19" s="7" t="s">
        <v>121</v>
      </c>
      <c r="B19" s="7" t="s">
        <v>122</v>
      </c>
    </row>
    <row r="20" spans="1:2" x14ac:dyDescent="0.35">
      <c r="A20" s="7" t="s">
        <v>123</v>
      </c>
      <c r="B20" s="7" t="s">
        <v>124</v>
      </c>
    </row>
    <row r="21" spans="1:2" x14ac:dyDescent="0.35">
      <c r="A21" s="7" t="s">
        <v>125</v>
      </c>
      <c r="B21" s="7" t="s">
        <v>126</v>
      </c>
    </row>
    <row r="22" spans="1:2" x14ac:dyDescent="0.35">
      <c r="A22" s="7" t="s">
        <v>127</v>
      </c>
      <c r="B22" s="7" t="s">
        <v>128</v>
      </c>
    </row>
    <row r="23" spans="1:2" x14ac:dyDescent="0.35">
      <c r="A23" s="7" t="s">
        <v>129</v>
      </c>
      <c r="B23" s="7" t="s">
        <v>130</v>
      </c>
    </row>
    <row r="24" spans="1:2" x14ac:dyDescent="0.35">
      <c r="A24" s="7" t="s">
        <v>131</v>
      </c>
      <c r="B24" s="7" t="s">
        <v>132</v>
      </c>
    </row>
    <row r="25" spans="1:2" x14ac:dyDescent="0.35">
      <c r="A25" s="7" t="s">
        <v>133</v>
      </c>
      <c r="B25" s="7" t="s">
        <v>134</v>
      </c>
    </row>
    <row r="26" spans="1:2" x14ac:dyDescent="0.35">
      <c r="A26" s="7" t="s">
        <v>135</v>
      </c>
      <c r="B26" s="7" t="s">
        <v>136</v>
      </c>
    </row>
    <row r="27" spans="1:2" x14ac:dyDescent="0.35">
      <c r="A27" s="7" t="s">
        <v>137</v>
      </c>
      <c r="B27" s="7" t="s">
        <v>138</v>
      </c>
    </row>
    <row r="28" spans="1:2" x14ac:dyDescent="0.35">
      <c r="A28" s="7" t="s">
        <v>139</v>
      </c>
      <c r="B28" s="7" t="s">
        <v>140</v>
      </c>
    </row>
    <row r="29" spans="1:2" x14ac:dyDescent="0.35">
      <c r="A29" s="7" t="s">
        <v>141</v>
      </c>
      <c r="B29" s="7" t="s">
        <v>142</v>
      </c>
    </row>
    <row r="30" spans="1:2" x14ac:dyDescent="0.35">
      <c r="A30" s="7" t="s">
        <v>143</v>
      </c>
      <c r="B30" s="7" t="s">
        <v>144</v>
      </c>
    </row>
    <row r="31" spans="1:2" x14ac:dyDescent="0.35">
      <c r="A31" s="7" t="s">
        <v>145</v>
      </c>
      <c r="B31" s="7" t="s">
        <v>146</v>
      </c>
    </row>
    <row r="32" spans="1:2" x14ac:dyDescent="0.35">
      <c r="A32" s="7" t="s">
        <v>147</v>
      </c>
      <c r="B32" s="7" t="s">
        <v>148</v>
      </c>
    </row>
    <row r="33" spans="1:2" x14ac:dyDescent="0.35">
      <c r="A33" s="7" t="s">
        <v>149</v>
      </c>
      <c r="B33" s="7" t="s">
        <v>150</v>
      </c>
    </row>
    <row r="34" spans="1:2" x14ac:dyDescent="0.35">
      <c r="A34" s="7" t="s">
        <v>151</v>
      </c>
      <c r="B34" s="7" t="s">
        <v>152</v>
      </c>
    </row>
    <row r="35" spans="1:2" x14ac:dyDescent="0.35">
      <c r="A35" s="7" t="s">
        <v>153</v>
      </c>
      <c r="B35" s="7" t="s">
        <v>154</v>
      </c>
    </row>
    <row r="36" spans="1:2" x14ac:dyDescent="0.35">
      <c r="A36" s="7" t="s">
        <v>155</v>
      </c>
      <c r="B36" s="7" t="s">
        <v>156</v>
      </c>
    </row>
    <row r="37" spans="1:2" x14ac:dyDescent="0.35">
      <c r="A37" s="7" t="s">
        <v>157</v>
      </c>
      <c r="B37" s="7" t="s">
        <v>158</v>
      </c>
    </row>
    <row r="38" spans="1:2" x14ac:dyDescent="0.35">
      <c r="A38" s="7" t="s">
        <v>159</v>
      </c>
      <c r="B38" s="7" t="s">
        <v>160</v>
      </c>
    </row>
    <row r="39" spans="1:2" x14ac:dyDescent="0.35">
      <c r="A39" s="7" t="s">
        <v>161</v>
      </c>
      <c r="B39" s="7" t="s">
        <v>162</v>
      </c>
    </row>
    <row r="40" spans="1:2" x14ac:dyDescent="0.35">
      <c r="A40" s="7" t="s">
        <v>163</v>
      </c>
      <c r="B40" s="7" t="s">
        <v>164</v>
      </c>
    </row>
    <row r="41" spans="1:2" x14ac:dyDescent="0.35">
      <c r="A41" s="7" t="s">
        <v>165</v>
      </c>
      <c r="B41" s="7" t="s">
        <v>166</v>
      </c>
    </row>
    <row r="42" spans="1:2" x14ac:dyDescent="0.35">
      <c r="A42" s="7" t="s">
        <v>167</v>
      </c>
      <c r="B42" s="7" t="s">
        <v>168</v>
      </c>
    </row>
    <row r="43" spans="1:2" x14ac:dyDescent="0.35">
      <c r="A43" s="7" t="s">
        <v>169</v>
      </c>
      <c r="B43" s="7" t="s">
        <v>170</v>
      </c>
    </row>
    <row r="44" spans="1:2" x14ac:dyDescent="0.35">
      <c r="A44" s="7" t="s">
        <v>171</v>
      </c>
      <c r="B44" s="7" t="s">
        <v>172</v>
      </c>
    </row>
    <row r="45" spans="1:2" x14ac:dyDescent="0.35">
      <c r="A45" s="7" t="s">
        <v>173</v>
      </c>
      <c r="B45" s="7" t="s">
        <v>174</v>
      </c>
    </row>
    <row r="46" spans="1:2" x14ac:dyDescent="0.35">
      <c r="A46" s="7" t="s">
        <v>175</v>
      </c>
      <c r="B46" s="7" t="s">
        <v>176</v>
      </c>
    </row>
    <row r="47" spans="1:2" x14ac:dyDescent="0.35">
      <c r="A47" s="7" t="s">
        <v>177</v>
      </c>
      <c r="B47" s="7" t="s">
        <v>178</v>
      </c>
    </row>
    <row r="48" spans="1:2" x14ac:dyDescent="0.35">
      <c r="A48" s="7" t="s">
        <v>179</v>
      </c>
      <c r="B48" s="7" t="s">
        <v>180</v>
      </c>
    </row>
    <row r="49" spans="1:2" x14ac:dyDescent="0.35">
      <c r="A49" s="7" t="s">
        <v>181</v>
      </c>
      <c r="B49" s="7" t="s">
        <v>182</v>
      </c>
    </row>
    <row r="50" spans="1:2" x14ac:dyDescent="0.35">
      <c r="A50" s="7" t="s">
        <v>183</v>
      </c>
      <c r="B50" s="7" t="s">
        <v>184</v>
      </c>
    </row>
    <row r="51" spans="1:2" x14ac:dyDescent="0.35">
      <c r="A51" s="7" t="s">
        <v>185</v>
      </c>
      <c r="B51" s="7" t="s">
        <v>186</v>
      </c>
    </row>
    <row r="52" spans="1:2" x14ac:dyDescent="0.35">
      <c r="A52" s="7" t="s">
        <v>187</v>
      </c>
      <c r="B52" s="7" t="s">
        <v>188</v>
      </c>
    </row>
    <row r="53" spans="1:2" x14ac:dyDescent="0.35">
      <c r="A53" s="7" t="s">
        <v>189</v>
      </c>
      <c r="B53" s="7" t="s">
        <v>190</v>
      </c>
    </row>
    <row r="54" spans="1:2" x14ac:dyDescent="0.35">
      <c r="A54" s="7" t="s">
        <v>191</v>
      </c>
      <c r="B54" s="7" t="s">
        <v>192</v>
      </c>
    </row>
    <row r="55" spans="1:2" x14ac:dyDescent="0.35">
      <c r="A55" s="7" t="s">
        <v>193</v>
      </c>
      <c r="B55" s="7" t="s">
        <v>194</v>
      </c>
    </row>
    <row r="56" spans="1:2" x14ac:dyDescent="0.35">
      <c r="A56" s="7" t="s">
        <v>195</v>
      </c>
      <c r="B56" s="7" t="s">
        <v>196</v>
      </c>
    </row>
    <row r="57" spans="1:2" x14ac:dyDescent="0.35">
      <c r="A57" s="7" t="s">
        <v>197</v>
      </c>
      <c r="B57" s="7" t="s">
        <v>198</v>
      </c>
    </row>
    <row r="58" spans="1:2" x14ac:dyDescent="0.35">
      <c r="A58" s="7" t="s">
        <v>199</v>
      </c>
      <c r="B58" s="7" t="s">
        <v>200</v>
      </c>
    </row>
    <row r="59" spans="1:2" x14ac:dyDescent="0.35">
      <c r="A59" s="7" t="s">
        <v>201</v>
      </c>
      <c r="B59" s="7" t="s">
        <v>202</v>
      </c>
    </row>
    <row r="60" spans="1:2" x14ac:dyDescent="0.35">
      <c r="A60" s="7" t="s">
        <v>203</v>
      </c>
      <c r="B60" s="7" t="s">
        <v>204</v>
      </c>
    </row>
    <row r="61" spans="1:2" x14ac:dyDescent="0.35">
      <c r="A61" s="7" t="s">
        <v>205</v>
      </c>
      <c r="B61" s="7" t="s">
        <v>206</v>
      </c>
    </row>
    <row r="62" spans="1:2" x14ac:dyDescent="0.35">
      <c r="A62" s="7" t="s">
        <v>207</v>
      </c>
      <c r="B62" s="7" t="s">
        <v>208</v>
      </c>
    </row>
    <row r="63" spans="1:2" x14ac:dyDescent="0.35">
      <c r="A63" s="7" t="s">
        <v>209</v>
      </c>
      <c r="B63" s="7" t="s">
        <v>210</v>
      </c>
    </row>
    <row r="64" spans="1:2" x14ac:dyDescent="0.35">
      <c r="A64" s="7" t="s">
        <v>211</v>
      </c>
      <c r="B64" s="7" t="s">
        <v>212</v>
      </c>
    </row>
    <row r="65" spans="1:2" x14ac:dyDescent="0.35">
      <c r="A65" s="7" t="s">
        <v>213</v>
      </c>
      <c r="B65" s="7" t="s">
        <v>214</v>
      </c>
    </row>
    <row r="66" spans="1:2" x14ac:dyDescent="0.35">
      <c r="A66" s="7" t="s">
        <v>215</v>
      </c>
      <c r="B66" s="7" t="s">
        <v>216</v>
      </c>
    </row>
    <row r="67" spans="1:2" x14ac:dyDescent="0.35">
      <c r="A67" s="7" t="s">
        <v>217</v>
      </c>
      <c r="B67" s="7" t="s">
        <v>218</v>
      </c>
    </row>
    <row r="68" spans="1:2" x14ac:dyDescent="0.35">
      <c r="A68" s="7" t="s">
        <v>219</v>
      </c>
      <c r="B68" s="7" t="s">
        <v>220</v>
      </c>
    </row>
    <row r="69" spans="1:2" x14ac:dyDescent="0.35">
      <c r="A69" s="7" t="s">
        <v>221</v>
      </c>
      <c r="B69" s="7" t="s">
        <v>222</v>
      </c>
    </row>
    <row r="70" spans="1:2" x14ac:dyDescent="0.35">
      <c r="A70" s="7" t="s">
        <v>223</v>
      </c>
      <c r="B70" s="7" t="s">
        <v>224</v>
      </c>
    </row>
    <row r="71" spans="1:2" x14ac:dyDescent="0.35">
      <c r="A71" s="7" t="s">
        <v>225</v>
      </c>
      <c r="B71" s="7" t="s">
        <v>226</v>
      </c>
    </row>
    <row r="72" spans="1:2" x14ac:dyDescent="0.35">
      <c r="A72" s="7" t="s">
        <v>227</v>
      </c>
      <c r="B72" s="7" t="s">
        <v>228</v>
      </c>
    </row>
    <row r="73" spans="1:2" x14ac:dyDescent="0.35">
      <c r="A73" s="7" t="s">
        <v>229</v>
      </c>
      <c r="B73" s="7" t="s">
        <v>230</v>
      </c>
    </row>
    <row r="74" spans="1:2" x14ac:dyDescent="0.35">
      <c r="A74" s="7" t="s">
        <v>231</v>
      </c>
      <c r="B74" s="7" t="s">
        <v>232</v>
      </c>
    </row>
    <row r="75" spans="1:2" x14ac:dyDescent="0.35">
      <c r="A75" s="7" t="s">
        <v>233</v>
      </c>
      <c r="B75" s="7" t="s">
        <v>234</v>
      </c>
    </row>
    <row r="76" spans="1:2" x14ac:dyDescent="0.35">
      <c r="A76" s="7" t="s">
        <v>235</v>
      </c>
      <c r="B76" s="7" t="s">
        <v>236</v>
      </c>
    </row>
    <row r="77" spans="1:2" x14ac:dyDescent="0.35">
      <c r="A77" s="7" t="s">
        <v>237</v>
      </c>
      <c r="B77" s="7" t="s">
        <v>238</v>
      </c>
    </row>
    <row r="78" spans="1:2" x14ac:dyDescent="0.35">
      <c r="A78" s="7" t="s">
        <v>239</v>
      </c>
      <c r="B78" s="7" t="s">
        <v>240</v>
      </c>
    </row>
    <row r="79" spans="1:2" x14ac:dyDescent="0.35">
      <c r="A79" s="7" t="s">
        <v>241</v>
      </c>
      <c r="B79" s="7" t="s">
        <v>242</v>
      </c>
    </row>
    <row r="80" spans="1:2" x14ac:dyDescent="0.35">
      <c r="A80" s="7" t="s">
        <v>243</v>
      </c>
      <c r="B80" s="7" t="s">
        <v>244</v>
      </c>
    </row>
    <row r="81" spans="1:2" x14ac:dyDescent="0.35">
      <c r="A81" s="7" t="s">
        <v>245</v>
      </c>
      <c r="B81" s="7" t="s">
        <v>246</v>
      </c>
    </row>
    <row r="82" spans="1:2" x14ac:dyDescent="0.35">
      <c r="A82" s="7" t="s">
        <v>247</v>
      </c>
      <c r="B82" s="7" t="s">
        <v>248</v>
      </c>
    </row>
    <row r="83" spans="1:2" x14ac:dyDescent="0.35">
      <c r="A83" s="7" t="s">
        <v>249</v>
      </c>
      <c r="B83" s="7" t="s">
        <v>250</v>
      </c>
    </row>
    <row r="84" spans="1:2" x14ac:dyDescent="0.35">
      <c r="A84" s="7" t="s">
        <v>251</v>
      </c>
      <c r="B84" s="7" t="s">
        <v>252</v>
      </c>
    </row>
    <row r="85" spans="1:2" x14ac:dyDescent="0.35">
      <c r="A85" s="7" t="s">
        <v>253</v>
      </c>
      <c r="B85" s="7" t="s">
        <v>254</v>
      </c>
    </row>
    <row r="86" spans="1:2" x14ac:dyDescent="0.35">
      <c r="A86" s="7" t="s">
        <v>255</v>
      </c>
      <c r="B86" s="7" t="s">
        <v>256</v>
      </c>
    </row>
    <row r="87" spans="1:2" x14ac:dyDescent="0.35">
      <c r="A87" s="7" t="s">
        <v>257</v>
      </c>
      <c r="B87" s="7" t="s">
        <v>258</v>
      </c>
    </row>
    <row r="88" spans="1:2" x14ac:dyDescent="0.35">
      <c r="A88" s="7" t="s">
        <v>259</v>
      </c>
      <c r="B88" s="7" t="s">
        <v>260</v>
      </c>
    </row>
    <row r="89" spans="1:2" x14ac:dyDescent="0.35">
      <c r="A89" s="7" t="s">
        <v>261</v>
      </c>
      <c r="B89" s="7" t="s">
        <v>262</v>
      </c>
    </row>
    <row r="90" spans="1:2" x14ac:dyDescent="0.35">
      <c r="A90" s="7" t="s">
        <v>263</v>
      </c>
      <c r="B90" s="7" t="s">
        <v>264</v>
      </c>
    </row>
    <row r="91" spans="1:2" x14ac:dyDescent="0.35">
      <c r="A91" s="7" t="s">
        <v>265</v>
      </c>
      <c r="B91" s="7" t="s">
        <v>266</v>
      </c>
    </row>
    <row r="92" spans="1:2" x14ac:dyDescent="0.35">
      <c r="A92" s="7" t="s">
        <v>267</v>
      </c>
      <c r="B92" s="7" t="s">
        <v>268</v>
      </c>
    </row>
    <row r="93" spans="1:2" x14ac:dyDescent="0.35">
      <c r="A93" s="7" t="s">
        <v>269</v>
      </c>
      <c r="B93" s="7" t="s">
        <v>270</v>
      </c>
    </row>
    <row r="94" spans="1:2" x14ac:dyDescent="0.35">
      <c r="A94" s="7" t="s">
        <v>271</v>
      </c>
      <c r="B94" s="7" t="s">
        <v>272</v>
      </c>
    </row>
    <row r="95" spans="1:2" x14ac:dyDescent="0.35">
      <c r="A95" s="7" t="s">
        <v>273</v>
      </c>
      <c r="B95" s="7" t="s">
        <v>274</v>
      </c>
    </row>
    <row r="96" spans="1:2" x14ac:dyDescent="0.35">
      <c r="A96" s="7" t="s">
        <v>275</v>
      </c>
      <c r="B96" s="7" t="s">
        <v>276</v>
      </c>
    </row>
    <row r="97" spans="1:2" x14ac:dyDescent="0.35">
      <c r="A97" s="7" t="s">
        <v>277</v>
      </c>
      <c r="B97" s="7" t="s">
        <v>278</v>
      </c>
    </row>
    <row r="98" spans="1:2" x14ac:dyDescent="0.35">
      <c r="A98" s="7" t="s">
        <v>279</v>
      </c>
      <c r="B98" s="7" t="s">
        <v>280</v>
      </c>
    </row>
    <row r="99" spans="1:2" x14ac:dyDescent="0.35">
      <c r="A99" s="7" t="s">
        <v>281</v>
      </c>
      <c r="B99" s="7" t="s">
        <v>282</v>
      </c>
    </row>
    <row r="100" spans="1:2" x14ac:dyDescent="0.35">
      <c r="A100" s="7" t="s">
        <v>283</v>
      </c>
      <c r="B100" s="7" t="s">
        <v>284</v>
      </c>
    </row>
    <row r="101" spans="1:2" x14ac:dyDescent="0.35">
      <c r="A101" s="7" t="s">
        <v>285</v>
      </c>
      <c r="B101" s="7" t="s">
        <v>286</v>
      </c>
    </row>
    <row r="102" spans="1:2" x14ac:dyDescent="0.35">
      <c r="A102" s="7" t="s">
        <v>287</v>
      </c>
      <c r="B102" s="7" t="s">
        <v>288</v>
      </c>
    </row>
    <row r="103" spans="1:2" x14ac:dyDescent="0.35">
      <c r="A103" s="7" t="s">
        <v>289</v>
      </c>
      <c r="B103" s="7" t="s">
        <v>290</v>
      </c>
    </row>
    <row r="104" spans="1:2" x14ac:dyDescent="0.35">
      <c r="A104" s="7" t="s">
        <v>291</v>
      </c>
      <c r="B104" s="7" t="s">
        <v>292</v>
      </c>
    </row>
    <row r="105" spans="1:2" x14ac:dyDescent="0.35">
      <c r="A105" s="7" t="s">
        <v>293</v>
      </c>
      <c r="B105" s="7" t="s">
        <v>294</v>
      </c>
    </row>
    <row r="106" spans="1:2" x14ac:dyDescent="0.35">
      <c r="A106" s="7" t="s">
        <v>295</v>
      </c>
      <c r="B106" s="7" t="s">
        <v>296</v>
      </c>
    </row>
    <row r="107" spans="1:2" x14ac:dyDescent="0.35">
      <c r="A107" s="7" t="s">
        <v>297</v>
      </c>
      <c r="B107" s="7" t="s">
        <v>298</v>
      </c>
    </row>
    <row r="108" spans="1:2" x14ac:dyDescent="0.35">
      <c r="A108" s="7" t="s">
        <v>299</v>
      </c>
      <c r="B108" s="7" t="s">
        <v>300</v>
      </c>
    </row>
    <row r="109" spans="1:2" x14ac:dyDescent="0.35">
      <c r="A109" s="7" t="s">
        <v>301</v>
      </c>
      <c r="B109" s="7" t="s">
        <v>302</v>
      </c>
    </row>
    <row r="110" spans="1:2" x14ac:dyDescent="0.35">
      <c r="A110" s="7" t="s">
        <v>303</v>
      </c>
      <c r="B110" s="7" t="s">
        <v>304</v>
      </c>
    </row>
    <row r="111" spans="1:2" x14ac:dyDescent="0.35">
      <c r="A111" s="7" t="s">
        <v>305</v>
      </c>
      <c r="B111" s="7" t="s">
        <v>306</v>
      </c>
    </row>
    <row r="112" spans="1:2" x14ac:dyDescent="0.35">
      <c r="A112" s="7" t="s">
        <v>307</v>
      </c>
      <c r="B112" s="7" t="s">
        <v>308</v>
      </c>
    </row>
    <row r="113" spans="1:2" x14ac:dyDescent="0.35">
      <c r="A113" s="7" t="s">
        <v>309</v>
      </c>
      <c r="B113" s="7" t="s">
        <v>310</v>
      </c>
    </row>
    <row r="114" spans="1:2" x14ac:dyDescent="0.35">
      <c r="A114" s="7" t="s">
        <v>311</v>
      </c>
      <c r="B114" s="7" t="s">
        <v>312</v>
      </c>
    </row>
    <row r="115" spans="1:2" x14ac:dyDescent="0.35">
      <c r="A115" s="7" t="s">
        <v>313</v>
      </c>
      <c r="B115" s="7" t="s">
        <v>314</v>
      </c>
    </row>
    <row r="116" spans="1:2" x14ac:dyDescent="0.35">
      <c r="A116" s="7" t="s">
        <v>315</v>
      </c>
      <c r="B116" s="7" t="s">
        <v>316</v>
      </c>
    </row>
    <row r="117" spans="1:2" x14ac:dyDescent="0.35">
      <c r="A117" s="7" t="s">
        <v>317</v>
      </c>
      <c r="B117" s="7" t="s">
        <v>318</v>
      </c>
    </row>
    <row r="118" spans="1:2" x14ac:dyDescent="0.35">
      <c r="A118" s="7" t="s">
        <v>319</v>
      </c>
      <c r="B118" s="7" t="s">
        <v>320</v>
      </c>
    </row>
    <row r="119" spans="1:2" x14ac:dyDescent="0.35">
      <c r="A119" s="7" t="s">
        <v>321</v>
      </c>
      <c r="B119" s="7" t="s">
        <v>322</v>
      </c>
    </row>
    <row r="120" spans="1:2" x14ac:dyDescent="0.35">
      <c r="A120" s="7" t="s">
        <v>323</v>
      </c>
      <c r="B120" s="7" t="s">
        <v>324</v>
      </c>
    </row>
    <row r="121" spans="1:2" x14ac:dyDescent="0.35">
      <c r="A121" s="7" t="s">
        <v>325</v>
      </c>
      <c r="B121" s="7" t="s">
        <v>326</v>
      </c>
    </row>
    <row r="122" spans="1:2" x14ac:dyDescent="0.35">
      <c r="A122" s="7" t="s">
        <v>327</v>
      </c>
      <c r="B122" s="7" t="s">
        <v>328</v>
      </c>
    </row>
    <row r="123" spans="1:2" x14ac:dyDescent="0.35">
      <c r="A123" s="7" t="s">
        <v>329</v>
      </c>
      <c r="B123" s="7" t="s">
        <v>330</v>
      </c>
    </row>
    <row r="124" spans="1:2" x14ac:dyDescent="0.35">
      <c r="A124" s="7" t="s">
        <v>331</v>
      </c>
      <c r="B124" s="7" t="s">
        <v>332</v>
      </c>
    </row>
    <row r="125" spans="1:2" x14ac:dyDescent="0.35">
      <c r="A125" s="7" t="s">
        <v>333</v>
      </c>
      <c r="B125" s="7" t="s">
        <v>334</v>
      </c>
    </row>
    <row r="126" spans="1:2" x14ac:dyDescent="0.35">
      <c r="A126" s="7" t="s">
        <v>335</v>
      </c>
      <c r="B126" s="7" t="s">
        <v>336</v>
      </c>
    </row>
    <row r="127" spans="1:2" x14ac:dyDescent="0.35">
      <c r="A127" s="7" t="s">
        <v>337</v>
      </c>
      <c r="B127" s="7" t="s">
        <v>338</v>
      </c>
    </row>
    <row r="128" spans="1:2" x14ac:dyDescent="0.35">
      <c r="A128" s="7" t="s">
        <v>339</v>
      </c>
      <c r="B128" s="7" t="s">
        <v>340</v>
      </c>
    </row>
    <row r="129" spans="1:2" x14ac:dyDescent="0.35">
      <c r="A129" s="7" t="s">
        <v>341</v>
      </c>
      <c r="B129" s="7" t="s">
        <v>342</v>
      </c>
    </row>
    <row r="130" spans="1:2" x14ac:dyDescent="0.35">
      <c r="A130" s="7" t="s">
        <v>343</v>
      </c>
      <c r="B130" s="7" t="s">
        <v>344</v>
      </c>
    </row>
    <row r="131" spans="1:2" x14ac:dyDescent="0.35">
      <c r="A131" s="7" t="s">
        <v>345</v>
      </c>
      <c r="B131" s="7" t="s">
        <v>346</v>
      </c>
    </row>
    <row r="132" spans="1:2" x14ac:dyDescent="0.35">
      <c r="A132" s="7" t="s">
        <v>347</v>
      </c>
      <c r="B132" s="7" t="s">
        <v>348</v>
      </c>
    </row>
    <row r="133" spans="1:2" x14ac:dyDescent="0.35">
      <c r="A133" s="7" t="s">
        <v>349</v>
      </c>
      <c r="B133" s="7" t="s">
        <v>350</v>
      </c>
    </row>
    <row r="134" spans="1:2" x14ac:dyDescent="0.35">
      <c r="A134" s="7" t="s">
        <v>351</v>
      </c>
      <c r="B134" s="7" t="s">
        <v>352</v>
      </c>
    </row>
    <row r="135" spans="1:2" x14ac:dyDescent="0.35">
      <c r="A135" s="7" t="s">
        <v>353</v>
      </c>
      <c r="B135" s="7" t="s">
        <v>354</v>
      </c>
    </row>
    <row r="136" spans="1:2" x14ac:dyDescent="0.35">
      <c r="A136" s="7" t="s">
        <v>355</v>
      </c>
      <c r="B136" s="7" t="s">
        <v>356</v>
      </c>
    </row>
    <row r="137" spans="1:2" x14ac:dyDescent="0.35">
      <c r="A137" s="7" t="s">
        <v>357</v>
      </c>
      <c r="B137" s="7" t="s">
        <v>358</v>
      </c>
    </row>
    <row r="138" spans="1:2" x14ac:dyDescent="0.35">
      <c r="A138" s="7" t="s">
        <v>359</v>
      </c>
      <c r="B138" s="7" t="s">
        <v>360</v>
      </c>
    </row>
    <row r="139" spans="1:2" x14ac:dyDescent="0.35">
      <c r="A139" s="7" t="s">
        <v>361</v>
      </c>
      <c r="B139" s="7" t="s">
        <v>362</v>
      </c>
    </row>
    <row r="140" spans="1:2" x14ac:dyDescent="0.35">
      <c r="A140" s="7" t="s">
        <v>363</v>
      </c>
      <c r="B140" s="7" t="s">
        <v>364</v>
      </c>
    </row>
    <row r="141" spans="1:2" x14ac:dyDescent="0.35">
      <c r="A141" s="7" t="s">
        <v>365</v>
      </c>
      <c r="B141" s="7" t="s">
        <v>366</v>
      </c>
    </row>
    <row r="142" spans="1:2" x14ac:dyDescent="0.35">
      <c r="A142" s="7" t="s">
        <v>367</v>
      </c>
      <c r="B142" s="7" t="s">
        <v>368</v>
      </c>
    </row>
    <row r="143" spans="1:2" x14ac:dyDescent="0.35">
      <c r="A143" s="7" t="s">
        <v>369</v>
      </c>
      <c r="B143" s="7" t="s">
        <v>370</v>
      </c>
    </row>
    <row r="144" spans="1:2" x14ac:dyDescent="0.35">
      <c r="A144" s="7" t="s">
        <v>371</v>
      </c>
      <c r="B144" s="7" t="s">
        <v>372</v>
      </c>
    </row>
    <row r="145" spans="1:2" x14ac:dyDescent="0.35">
      <c r="A145" s="7" t="s">
        <v>373</v>
      </c>
      <c r="B145" s="7" t="s">
        <v>374</v>
      </c>
    </row>
    <row r="146" spans="1:2" x14ac:dyDescent="0.35">
      <c r="A146" s="7" t="s">
        <v>375</v>
      </c>
      <c r="B146" s="7" t="s">
        <v>376</v>
      </c>
    </row>
    <row r="147" spans="1:2" x14ac:dyDescent="0.35">
      <c r="A147" s="7" t="s">
        <v>377</v>
      </c>
      <c r="B147" s="7" t="s">
        <v>378</v>
      </c>
    </row>
    <row r="148" spans="1:2" x14ac:dyDescent="0.35">
      <c r="A148" s="7" t="s">
        <v>379</v>
      </c>
      <c r="B148" s="7" t="s">
        <v>380</v>
      </c>
    </row>
    <row r="149" spans="1:2" x14ac:dyDescent="0.35">
      <c r="A149" s="7" t="s">
        <v>381</v>
      </c>
      <c r="B149" s="7" t="s">
        <v>382</v>
      </c>
    </row>
    <row r="150" spans="1:2" x14ac:dyDescent="0.35">
      <c r="A150" s="7" t="s">
        <v>383</v>
      </c>
      <c r="B150" s="7" t="s">
        <v>384</v>
      </c>
    </row>
    <row r="151" spans="1:2" x14ac:dyDescent="0.35">
      <c r="A151" s="7" t="s">
        <v>385</v>
      </c>
      <c r="B151" s="7" t="s">
        <v>386</v>
      </c>
    </row>
    <row r="152" spans="1:2" x14ac:dyDescent="0.35">
      <c r="A152" s="7" t="s">
        <v>387</v>
      </c>
      <c r="B152" s="7" t="s">
        <v>388</v>
      </c>
    </row>
    <row r="153" spans="1:2" x14ac:dyDescent="0.35">
      <c r="A153" s="7" t="s">
        <v>389</v>
      </c>
      <c r="B153" s="7" t="s">
        <v>390</v>
      </c>
    </row>
    <row r="154" spans="1:2" x14ac:dyDescent="0.35">
      <c r="A154" s="7" t="s">
        <v>391</v>
      </c>
      <c r="B154" s="7" t="s">
        <v>392</v>
      </c>
    </row>
    <row r="155" spans="1:2" x14ac:dyDescent="0.35">
      <c r="A155" s="7" t="s">
        <v>393</v>
      </c>
      <c r="B155" s="7" t="s">
        <v>394</v>
      </c>
    </row>
    <row r="156" spans="1:2" x14ac:dyDescent="0.35">
      <c r="A156" s="7" t="s">
        <v>395</v>
      </c>
      <c r="B156" s="7" t="s">
        <v>396</v>
      </c>
    </row>
    <row r="157" spans="1:2" x14ac:dyDescent="0.35">
      <c r="A157" s="7" t="s">
        <v>397</v>
      </c>
      <c r="B157" s="7" t="s">
        <v>398</v>
      </c>
    </row>
    <row r="158" spans="1:2" x14ac:dyDescent="0.35">
      <c r="A158" s="7" t="s">
        <v>399</v>
      </c>
      <c r="B158" s="7" t="s">
        <v>400</v>
      </c>
    </row>
    <row r="159" spans="1:2" x14ac:dyDescent="0.35">
      <c r="A159" s="7" t="s">
        <v>401</v>
      </c>
      <c r="B159" s="7" t="s">
        <v>402</v>
      </c>
    </row>
    <row r="160" spans="1:2" x14ac:dyDescent="0.35">
      <c r="A160" s="7" t="s">
        <v>403</v>
      </c>
      <c r="B160" s="7" t="s">
        <v>404</v>
      </c>
    </row>
    <row r="161" spans="1:2" x14ac:dyDescent="0.35">
      <c r="A161" s="7" t="s">
        <v>405</v>
      </c>
      <c r="B161" s="7" t="s">
        <v>406</v>
      </c>
    </row>
    <row r="162" spans="1:2" x14ac:dyDescent="0.35">
      <c r="A162" s="7" t="s">
        <v>407</v>
      </c>
      <c r="B162" s="7" t="s">
        <v>408</v>
      </c>
    </row>
    <row r="163" spans="1:2" x14ac:dyDescent="0.35">
      <c r="A163" s="7" t="s">
        <v>409</v>
      </c>
      <c r="B163" s="7" t="s">
        <v>410</v>
      </c>
    </row>
    <row r="164" spans="1:2" x14ac:dyDescent="0.35">
      <c r="A164" s="7" t="s">
        <v>411</v>
      </c>
      <c r="B164" s="7" t="s">
        <v>214</v>
      </c>
    </row>
    <row r="165" spans="1:2" x14ac:dyDescent="0.35">
      <c r="A165" s="7" t="s">
        <v>412</v>
      </c>
      <c r="B165" s="7" t="s">
        <v>413</v>
      </c>
    </row>
    <row r="166" spans="1:2" x14ac:dyDescent="0.35">
      <c r="A166" s="7" t="s">
        <v>414</v>
      </c>
      <c r="B166" s="7" t="s">
        <v>415</v>
      </c>
    </row>
    <row r="167" spans="1:2" x14ac:dyDescent="0.35">
      <c r="A167" s="7" t="s">
        <v>416</v>
      </c>
      <c r="B167" s="7" t="s">
        <v>417</v>
      </c>
    </row>
    <row r="168" spans="1:2" x14ac:dyDescent="0.35">
      <c r="A168" s="7" t="s">
        <v>418</v>
      </c>
      <c r="B168" s="7" t="s">
        <v>419</v>
      </c>
    </row>
    <row r="169" spans="1:2" x14ac:dyDescent="0.35">
      <c r="A169" s="7" t="s">
        <v>420</v>
      </c>
      <c r="B169" s="7" t="s">
        <v>421</v>
      </c>
    </row>
    <row r="170" spans="1:2" x14ac:dyDescent="0.35">
      <c r="A170" s="7" t="s">
        <v>422</v>
      </c>
      <c r="B170" s="7" t="s">
        <v>423</v>
      </c>
    </row>
    <row r="171" spans="1:2" x14ac:dyDescent="0.35">
      <c r="A171" s="7" t="s">
        <v>424</v>
      </c>
      <c r="B171" s="7" t="s">
        <v>425</v>
      </c>
    </row>
    <row r="172" spans="1:2" x14ac:dyDescent="0.35">
      <c r="A172" s="7" t="s">
        <v>426</v>
      </c>
      <c r="B172" s="7" t="s">
        <v>427</v>
      </c>
    </row>
    <row r="173" spans="1:2" x14ac:dyDescent="0.35">
      <c r="A173" s="7" t="s">
        <v>428</v>
      </c>
      <c r="B173" s="7" t="s">
        <v>429</v>
      </c>
    </row>
    <row r="174" spans="1:2" x14ac:dyDescent="0.35">
      <c r="A174" s="7" t="s">
        <v>430</v>
      </c>
      <c r="B174" s="7" t="s">
        <v>431</v>
      </c>
    </row>
    <row r="175" spans="1:2" x14ac:dyDescent="0.35">
      <c r="A175" s="7" t="s">
        <v>432</v>
      </c>
      <c r="B175" s="7" t="s">
        <v>433</v>
      </c>
    </row>
    <row r="176" spans="1:2" x14ac:dyDescent="0.35">
      <c r="A176" s="7" t="s">
        <v>434</v>
      </c>
      <c r="B176" s="7" t="s">
        <v>435</v>
      </c>
    </row>
    <row r="177" spans="1:2" x14ac:dyDescent="0.35">
      <c r="A177" s="7" t="s">
        <v>436</v>
      </c>
      <c r="B177" s="7" t="s">
        <v>437</v>
      </c>
    </row>
    <row r="178" spans="1:2" x14ac:dyDescent="0.35">
      <c r="A178" s="7" t="s">
        <v>438</v>
      </c>
      <c r="B178" s="7" t="s">
        <v>439</v>
      </c>
    </row>
    <row r="179" spans="1:2" x14ac:dyDescent="0.35">
      <c r="A179" s="7" t="s">
        <v>440</v>
      </c>
      <c r="B179" s="7" t="s">
        <v>441</v>
      </c>
    </row>
    <row r="180" spans="1:2" x14ac:dyDescent="0.35">
      <c r="A180" s="7" t="s">
        <v>442</v>
      </c>
      <c r="B180" s="7" t="s">
        <v>443</v>
      </c>
    </row>
    <row r="181" spans="1:2" x14ac:dyDescent="0.35">
      <c r="A181" s="7" t="s">
        <v>444</v>
      </c>
      <c r="B181" s="7" t="s">
        <v>445</v>
      </c>
    </row>
    <row r="182" spans="1:2" x14ac:dyDescent="0.35">
      <c r="A182" s="7" t="s">
        <v>446</v>
      </c>
      <c r="B182" s="7" t="s">
        <v>447</v>
      </c>
    </row>
    <row r="183" spans="1:2" x14ac:dyDescent="0.35">
      <c r="A183" s="7" t="s">
        <v>448</v>
      </c>
      <c r="B183" s="7" t="s">
        <v>449</v>
      </c>
    </row>
    <row r="184" spans="1:2" x14ac:dyDescent="0.35">
      <c r="A184" s="7" t="s">
        <v>450</v>
      </c>
      <c r="B184" s="7" t="s">
        <v>451</v>
      </c>
    </row>
    <row r="185" spans="1:2" x14ac:dyDescent="0.35">
      <c r="A185" s="7" t="s">
        <v>452</v>
      </c>
      <c r="B185" s="7" t="s">
        <v>453</v>
      </c>
    </row>
    <row r="186" spans="1:2" x14ac:dyDescent="0.35">
      <c r="A186" s="7" t="s">
        <v>454</v>
      </c>
      <c r="B186" s="7" t="s">
        <v>455</v>
      </c>
    </row>
    <row r="187" spans="1:2" x14ac:dyDescent="0.35">
      <c r="A187" s="7" t="s">
        <v>456</v>
      </c>
      <c r="B187" s="7" t="s">
        <v>457</v>
      </c>
    </row>
    <row r="188" spans="1:2" x14ac:dyDescent="0.35">
      <c r="A188" s="7" t="s">
        <v>458</v>
      </c>
      <c r="B188" s="7" t="s">
        <v>459</v>
      </c>
    </row>
    <row r="189" spans="1:2" x14ac:dyDescent="0.35">
      <c r="A189" s="7" t="s">
        <v>460</v>
      </c>
      <c r="B189" s="7" t="s">
        <v>461</v>
      </c>
    </row>
    <row r="190" spans="1:2" x14ac:dyDescent="0.35">
      <c r="A190" s="7" t="s">
        <v>462</v>
      </c>
      <c r="B190" s="7" t="s">
        <v>463</v>
      </c>
    </row>
    <row r="191" spans="1:2" x14ac:dyDescent="0.35">
      <c r="A191" s="7" t="s">
        <v>464</v>
      </c>
      <c r="B191" s="7" t="s">
        <v>465</v>
      </c>
    </row>
    <row r="192" spans="1:2" x14ac:dyDescent="0.35">
      <c r="A192" s="7" t="s">
        <v>466</v>
      </c>
      <c r="B192" s="7" t="s">
        <v>467</v>
      </c>
    </row>
    <row r="193" spans="1:2" x14ac:dyDescent="0.35">
      <c r="A193" s="7" t="s">
        <v>468</v>
      </c>
      <c r="B193" s="7" t="s">
        <v>469</v>
      </c>
    </row>
    <row r="194" spans="1:2" x14ac:dyDescent="0.35">
      <c r="A194" s="7" t="s">
        <v>470</v>
      </c>
      <c r="B194" s="7" t="s">
        <v>471</v>
      </c>
    </row>
    <row r="195" spans="1:2" x14ac:dyDescent="0.35">
      <c r="A195" s="7" t="s">
        <v>472</v>
      </c>
      <c r="B195" s="7" t="s">
        <v>473</v>
      </c>
    </row>
    <row r="196" spans="1:2" x14ac:dyDescent="0.35">
      <c r="A196" s="7" t="s">
        <v>474</v>
      </c>
      <c r="B196" s="7" t="s">
        <v>475</v>
      </c>
    </row>
    <row r="197" spans="1:2" x14ac:dyDescent="0.35">
      <c r="A197" s="7" t="s">
        <v>476</v>
      </c>
      <c r="B197" s="7" t="s">
        <v>477</v>
      </c>
    </row>
    <row r="198" spans="1:2" x14ac:dyDescent="0.35">
      <c r="A198" s="7" t="s">
        <v>478</v>
      </c>
      <c r="B198" s="7" t="s">
        <v>479</v>
      </c>
    </row>
    <row r="199" spans="1:2" x14ac:dyDescent="0.35">
      <c r="A199" s="7" t="s">
        <v>480</v>
      </c>
      <c r="B199" s="7" t="s">
        <v>481</v>
      </c>
    </row>
    <row r="200" spans="1:2" x14ac:dyDescent="0.35">
      <c r="A200" s="7" t="s">
        <v>482</v>
      </c>
      <c r="B200" s="7" t="s">
        <v>483</v>
      </c>
    </row>
    <row r="201" spans="1:2" x14ac:dyDescent="0.35">
      <c r="A201" s="7" t="s">
        <v>484</v>
      </c>
      <c r="B201" s="7" t="s">
        <v>485</v>
      </c>
    </row>
    <row r="202" spans="1:2" x14ac:dyDescent="0.35">
      <c r="A202" s="7" t="s">
        <v>486</v>
      </c>
      <c r="B202" s="7" t="s">
        <v>487</v>
      </c>
    </row>
    <row r="203" spans="1:2" x14ac:dyDescent="0.35">
      <c r="A203" s="7" t="s">
        <v>488</v>
      </c>
      <c r="B203" s="7" t="s">
        <v>489</v>
      </c>
    </row>
    <row r="204" spans="1:2" x14ac:dyDescent="0.35">
      <c r="A204" s="7" t="s">
        <v>490</v>
      </c>
      <c r="B204" s="7" t="s">
        <v>491</v>
      </c>
    </row>
    <row r="205" spans="1:2" x14ac:dyDescent="0.35">
      <c r="A205" s="7" t="s">
        <v>492</v>
      </c>
      <c r="B205" s="7" t="s">
        <v>493</v>
      </c>
    </row>
    <row r="206" spans="1:2" x14ac:dyDescent="0.35">
      <c r="A206" s="7" t="s">
        <v>494</v>
      </c>
      <c r="B206" s="7" t="s">
        <v>495</v>
      </c>
    </row>
    <row r="207" spans="1:2" x14ac:dyDescent="0.35">
      <c r="A207" s="7" t="s">
        <v>496</v>
      </c>
      <c r="B207" s="7" t="s">
        <v>497</v>
      </c>
    </row>
    <row r="208" spans="1:2" x14ac:dyDescent="0.35">
      <c r="A208" s="7" t="s">
        <v>498</v>
      </c>
      <c r="B208" s="7" t="s">
        <v>499</v>
      </c>
    </row>
    <row r="209" spans="1:2" x14ac:dyDescent="0.35">
      <c r="A209" s="7" t="s">
        <v>500</v>
      </c>
      <c r="B209" s="7" t="s">
        <v>501</v>
      </c>
    </row>
    <row r="210" spans="1:2" x14ac:dyDescent="0.35">
      <c r="A210" s="7" t="s">
        <v>502</v>
      </c>
      <c r="B210" s="7" t="s">
        <v>503</v>
      </c>
    </row>
    <row r="211" spans="1:2" x14ac:dyDescent="0.35">
      <c r="A211" s="7" t="s">
        <v>504</v>
      </c>
      <c r="B211" s="7" t="s">
        <v>505</v>
      </c>
    </row>
    <row r="212" spans="1:2" x14ac:dyDescent="0.35">
      <c r="A212" s="7" t="s">
        <v>506</v>
      </c>
      <c r="B212" s="7" t="s">
        <v>507</v>
      </c>
    </row>
    <row r="213" spans="1:2" x14ac:dyDescent="0.35">
      <c r="A213" s="7" t="s">
        <v>508</v>
      </c>
      <c r="B213" s="7" t="s">
        <v>509</v>
      </c>
    </row>
    <row r="214" spans="1:2" x14ac:dyDescent="0.35">
      <c r="A214" s="7" t="s">
        <v>510</v>
      </c>
      <c r="B214" s="7" t="s">
        <v>511</v>
      </c>
    </row>
    <row r="215" spans="1:2" x14ac:dyDescent="0.35">
      <c r="A215" s="7" t="s">
        <v>512</v>
      </c>
      <c r="B215" s="7" t="s">
        <v>513</v>
      </c>
    </row>
    <row r="216" spans="1:2" x14ac:dyDescent="0.35">
      <c r="A216" s="7" t="s">
        <v>514</v>
      </c>
      <c r="B216" s="7" t="s">
        <v>515</v>
      </c>
    </row>
    <row r="217" spans="1:2" x14ac:dyDescent="0.35">
      <c r="A217" s="7" t="s">
        <v>516</v>
      </c>
      <c r="B217" s="7" t="s">
        <v>517</v>
      </c>
    </row>
    <row r="218" spans="1:2" x14ac:dyDescent="0.35">
      <c r="A218" s="7" t="s">
        <v>518</v>
      </c>
      <c r="B218" s="7" t="s">
        <v>519</v>
      </c>
    </row>
    <row r="219" spans="1:2" x14ac:dyDescent="0.35">
      <c r="A219" s="7" t="s">
        <v>520</v>
      </c>
      <c r="B219" s="7" t="s">
        <v>521</v>
      </c>
    </row>
    <row r="220" spans="1:2" x14ac:dyDescent="0.35">
      <c r="A220" s="7" t="s">
        <v>522</v>
      </c>
      <c r="B220" s="7" t="s">
        <v>523</v>
      </c>
    </row>
    <row r="221" spans="1:2" x14ac:dyDescent="0.35">
      <c r="A221" s="7" t="s">
        <v>524</v>
      </c>
      <c r="B221" s="7" t="s">
        <v>525</v>
      </c>
    </row>
    <row r="222" spans="1:2" x14ac:dyDescent="0.35">
      <c r="A222" s="7" t="s">
        <v>526</v>
      </c>
      <c r="B222" s="7" t="s">
        <v>527</v>
      </c>
    </row>
    <row r="223" spans="1:2" x14ac:dyDescent="0.35">
      <c r="A223" s="7" t="s">
        <v>528</v>
      </c>
      <c r="B223" s="7" t="s">
        <v>529</v>
      </c>
    </row>
    <row r="224" spans="1:2" x14ac:dyDescent="0.35">
      <c r="A224" s="7" t="s">
        <v>530</v>
      </c>
      <c r="B224" s="7" t="s">
        <v>531</v>
      </c>
    </row>
    <row r="225" spans="1:2" x14ac:dyDescent="0.35">
      <c r="A225" s="7" t="s">
        <v>532</v>
      </c>
      <c r="B225" s="7" t="s">
        <v>533</v>
      </c>
    </row>
    <row r="226" spans="1:2" x14ac:dyDescent="0.35">
      <c r="A226" s="7" t="s">
        <v>534</v>
      </c>
      <c r="B226" s="7" t="s">
        <v>535</v>
      </c>
    </row>
    <row r="227" spans="1:2" x14ac:dyDescent="0.35">
      <c r="A227" s="7" t="s">
        <v>536</v>
      </c>
      <c r="B227" s="7" t="s">
        <v>537</v>
      </c>
    </row>
    <row r="228" spans="1:2" x14ac:dyDescent="0.35">
      <c r="A228" s="7" t="s">
        <v>538</v>
      </c>
      <c r="B228" s="7" t="s">
        <v>539</v>
      </c>
    </row>
    <row r="229" spans="1:2" x14ac:dyDescent="0.35">
      <c r="A229" s="7" t="s">
        <v>540</v>
      </c>
      <c r="B229" s="7" t="s">
        <v>541</v>
      </c>
    </row>
    <row r="230" spans="1:2" x14ac:dyDescent="0.35">
      <c r="A230" s="7" t="s">
        <v>542</v>
      </c>
      <c r="B230" s="7" t="s">
        <v>543</v>
      </c>
    </row>
    <row r="231" spans="1:2" x14ac:dyDescent="0.35">
      <c r="A231" s="7" t="s">
        <v>544</v>
      </c>
      <c r="B231" s="7" t="s">
        <v>545</v>
      </c>
    </row>
    <row r="232" spans="1:2" x14ac:dyDescent="0.35">
      <c r="A232" s="7" t="s">
        <v>546</v>
      </c>
      <c r="B232" s="7" t="s">
        <v>547</v>
      </c>
    </row>
    <row r="233" spans="1:2" x14ac:dyDescent="0.35">
      <c r="A233" s="7" t="s">
        <v>548</v>
      </c>
      <c r="B233" s="7" t="s">
        <v>549</v>
      </c>
    </row>
    <row r="234" spans="1:2" x14ac:dyDescent="0.35">
      <c r="A234" s="7" t="s">
        <v>550</v>
      </c>
      <c r="B234" s="7" t="s">
        <v>551</v>
      </c>
    </row>
    <row r="235" spans="1:2" x14ac:dyDescent="0.35">
      <c r="A235" s="7" t="s">
        <v>552</v>
      </c>
      <c r="B235" s="7" t="s">
        <v>553</v>
      </c>
    </row>
    <row r="236" spans="1:2" x14ac:dyDescent="0.35">
      <c r="A236" s="7" t="s">
        <v>554</v>
      </c>
      <c r="B236" s="7" t="s">
        <v>555</v>
      </c>
    </row>
    <row r="237" spans="1:2" x14ac:dyDescent="0.35">
      <c r="A237" s="7" t="s">
        <v>556</v>
      </c>
      <c r="B237" s="7" t="s">
        <v>557</v>
      </c>
    </row>
    <row r="238" spans="1:2" x14ac:dyDescent="0.35">
      <c r="A238" s="7" t="s">
        <v>558</v>
      </c>
      <c r="B238" s="7" t="s">
        <v>559</v>
      </c>
    </row>
    <row r="239" spans="1:2" x14ac:dyDescent="0.35">
      <c r="A239" s="7" t="s">
        <v>560</v>
      </c>
      <c r="B239" s="7" t="s">
        <v>561</v>
      </c>
    </row>
    <row r="240" spans="1:2" x14ac:dyDescent="0.35">
      <c r="A240" s="7" t="s">
        <v>562</v>
      </c>
      <c r="B240" s="7" t="s">
        <v>563</v>
      </c>
    </row>
    <row r="241" spans="1:2" x14ac:dyDescent="0.35">
      <c r="A241" s="7" t="s">
        <v>564</v>
      </c>
      <c r="B241" s="7" t="s">
        <v>565</v>
      </c>
    </row>
    <row r="242" spans="1:2" x14ac:dyDescent="0.35">
      <c r="A242" s="7" t="s">
        <v>566</v>
      </c>
      <c r="B242" s="7" t="s">
        <v>567</v>
      </c>
    </row>
    <row r="243" spans="1:2" x14ac:dyDescent="0.35">
      <c r="A243" s="7" t="s">
        <v>568</v>
      </c>
      <c r="B243" s="7" t="s">
        <v>569</v>
      </c>
    </row>
    <row r="244" spans="1:2" x14ac:dyDescent="0.35">
      <c r="A244" s="7" t="s">
        <v>570</v>
      </c>
      <c r="B244" s="7" t="s">
        <v>571</v>
      </c>
    </row>
    <row r="245" spans="1:2" x14ac:dyDescent="0.35">
      <c r="A245" s="7" t="s">
        <v>572</v>
      </c>
      <c r="B245" s="7" t="s">
        <v>573</v>
      </c>
    </row>
    <row r="246" spans="1:2" x14ac:dyDescent="0.35">
      <c r="A246" s="7" t="s">
        <v>574</v>
      </c>
      <c r="B246" s="7" t="s">
        <v>575</v>
      </c>
    </row>
    <row r="247" spans="1:2" x14ac:dyDescent="0.35">
      <c r="A247" s="7" t="s">
        <v>576</v>
      </c>
      <c r="B247" s="7" t="s">
        <v>577</v>
      </c>
    </row>
    <row r="248" spans="1:2" x14ac:dyDescent="0.35">
      <c r="A248" s="7" t="s">
        <v>578</v>
      </c>
      <c r="B248" s="7" t="s">
        <v>579</v>
      </c>
    </row>
    <row r="249" spans="1:2" x14ac:dyDescent="0.35">
      <c r="A249" s="7" t="s">
        <v>580</v>
      </c>
      <c r="B249" s="7" t="s">
        <v>581</v>
      </c>
    </row>
    <row r="250" spans="1:2" x14ac:dyDescent="0.35">
      <c r="A250" s="7" t="s">
        <v>582</v>
      </c>
      <c r="B250" s="7" t="s">
        <v>583</v>
      </c>
    </row>
    <row r="251" spans="1:2" x14ac:dyDescent="0.35">
      <c r="A251" s="7" t="s">
        <v>584</v>
      </c>
      <c r="B251" s="7" t="s">
        <v>585</v>
      </c>
    </row>
    <row r="252" spans="1:2" x14ac:dyDescent="0.35">
      <c r="A252" s="7" t="s">
        <v>586</v>
      </c>
      <c r="B252" s="7" t="s">
        <v>587</v>
      </c>
    </row>
    <row r="253" spans="1:2" x14ac:dyDescent="0.35">
      <c r="A253" s="7" t="s">
        <v>588</v>
      </c>
      <c r="B253" s="7" t="s">
        <v>589</v>
      </c>
    </row>
    <row r="254" spans="1:2" x14ac:dyDescent="0.35">
      <c r="A254" s="7" t="s">
        <v>590</v>
      </c>
      <c r="B254" s="7" t="s">
        <v>591</v>
      </c>
    </row>
    <row r="255" spans="1:2" x14ac:dyDescent="0.35">
      <c r="A255" s="7" t="s">
        <v>592</v>
      </c>
      <c r="B255" s="7" t="s">
        <v>593</v>
      </c>
    </row>
    <row r="256" spans="1:2" x14ac:dyDescent="0.35">
      <c r="A256" s="7" t="s">
        <v>594</v>
      </c>
      <c r="B256" s="7" t="s">
        <v>595</v>
      </c>
    </row>
    <row r="257" spans="1:2" x14ac:dyDescent="0.35">
      <c r="A257" s="7" t="s">
        <v>596</v>
      </c>
      <c r="B257" s="7" t="s">
        <v>597</v>
      </c>
    </row>
    <row r="258" spans="1:2" x14ac:dyDescent="0.35">
      <c r="A258" s="7" t="s">
        <v>598</v>
      </c>
      <c r="B258" s="7" t="s">
        <v>599</v>
      </c>
    </row>
    <row r="259" spans="1:2" x14ac:dyDescent="0.35">
      <c r="A259" s="7" t="s">
        <v>600</v>
      </c>
      <c r="B259" s="7" t="s">
        <v>601</v>
      </c>
    </row>
    <row r="260" spans="1:2" x14ac:dyDescent="0.35">
      <c r="A260" s="7" t="s">
        <v>602</v>
      </c>
      <c r="B260" s="7" t="s">
        <v>603</v>
      </c>
    </row>
    <row r="261" spans="1:2" x14ac:dyDescent="0.35">
      <c r="A261" s="7" t="s">
        <v>604</v>
      </c>
      <c r="B261" s="7" t="s">
        <v>605</v>
      </c>
    </row>
    <row r="262" spans="1:2" x14ac:dyDescent="0.35">
      <c r="A262" s="7" t="s">
        <v>606</v>
      </c>
      <c r="B262" s="7" t="s">
        <v>607</v>
      </c>
    </row>
    <row r="263" spans="1:2" x14ac:dyDescent="0.35">
      <c r="A263" s="7" t="s">
        <v>608</v>
      </c>
      <c r="B263" s="7" t="s">
        <v>609</v>
      </c>
    </row>
    <row r="264" spans="1:2" x14ac:dyDescent="0.35">
      <c r="A264" s="7" t="s">
        <v>610</v>
      </c>
      <c r="B264" s="7" t="s">
        <v>611</v>
      </c>
    </row>
    <row r="265" spans="1:2" x14ac:dyDescent="0.35">
      <c r="A265" s="7" t="s">
        <v>612</v>
      </c>
      <c r="B265" s="7" t="s">
        <v>613</v>
      </c>
    </row>
    <row r="266" spans="1:2" x14ac:dyDescent="0.35">
      <c r="A266" s="7" t="s">
        <v>614</v>
      </c>
      <c r="B266" s="7" t="s">
        <v>615</v>
      </c>
    </row>
    <row r="267" spans="1:2" x14ac:dyDescent="0.35">
      <c r="A267" s="7" t="s">
        <v>616</v>
      </c>
      <c r="B267" s="7" t="s">
        <v>617</v>
      </c>
    </row>
    <row r="268" spans="1:2" x14ac:dyDescent="0.35">
      <c r="A268" s="7" t="s">
        <v>618</v>
      </c>
      <c r="B268" s="7" t="s">
        <v>619</v>
      </c>
    </row>
    <row r="269" spans="1:2" x14ac:dyDescent="0.35">
      <c r="A269" s="7" t="s">
        <v>620</v>
      </c>
      <c r="B269" s="7" t="s">
        <v>621</v>
      </c>
    </row>
    <row r="270" spans="1:2" x14ac:dyDescent="0.35">
      <c r="A270" s="7" t="s">
        <v>622</v>
      </c>
      <c r="B270" s="7" t="s">
        <v>623</v>
      </c>
    </row>
    <row r="271" spans="1:2" x14ac:dyDescent="0.35">
      <c r="A271" s="7" t="s">
        <v>624</v>
      </c>
      <c r="B271" s="7" t="s">
        <v>625</v>
      </c>
    </row>
    <row r="272" spans="1:2" x14ac:dyDescent="0.35">
      <c r="A272" s="7" t="s">
        <v>626</v>
      </c>
      <c r="B272" s="7" t="s">
        <v>627</v>
      </c>
    </row>
    <row r="273" spans="1:2" x14ac:dyDescent="0.35">
      <c r="A273" s="7" t="s">
        <v>628</v>
      </c>
      <c r="B273" s="7" t="s">
        <v>158</v>
      </c>
    </row>
    <row r="274" spans="1:2" x14ac:dyDescent="0.35">
      <c r="A274" s="7" t="s">
        <v>629</v>
      </c>
      <c r="B274" s="7" t="s">
        <v>630</v>
      </c>
    </row>
    <row r="275" spans="1:2" x14ac:dyDescent="0.35">
      <c r="A275" s="7" t="s">
        <v>631</v>
      </c>
      <c r="B275" s="7" t="s">
        <v>344</v>
      </c>
    </row>
    <row r="276" spans="1:2" x14ac:dyDescent="0.35">
      <c r="A276" s="7" t="s">
        <v>632</v>
      </c>
      <c r="B276" s="7" t="s">
        <v>633</v>
      </c>
    </row>
    <row r="277" spans="1:2" x14ac:dyDescent="0.35">
      <c r="A277" s="7" t="s">
        <v>634</v>
      </c>
      <c r="B277" s="7" t="s">
        <v>635</v>
      </c>
    </row>
    <row r="278" spans="1:2" x14ac:dyDescent="0.35">
      <c r="A278" s="7" t="s">
        <v>636</v>
      </c>
      <c r="B278" s="7" t="s">
        <v>94</v>
      </c>
    </row>
    <row r="279" spans="1:2" x14ac:dyDescent="0.35">
      <c r="A279" s="7" t="s">
        <v>637</v>
      </c>
      <c r="B279" s="7" t="s">
        <v>638</v>
      </c>
    </row>
    <row r="280" spans="1:2" x14ac:dyDescent="0.35">
      <c r="A280" s="7" t="s">
        <v>639</v>
      </c>
      <c r="B280" s="7" t="s">
        <v>640</v>
      </c>
    </row>
    <row r="281" spans="1:2" x14ac:dyDescent="0.35">
      <c r="A281" s="7" t="s">
        <v>641</v>
      </c>
      <c r="B281" s="7" t="s">
        <v>642</v>
      </c>
    </row>
    <row r="282" spans="1:2" x14ac:dyDescent="0.35">
      <c r="A282" s="7" t="s">
        <v>643</v>
      </c>
      <c r="B282" s="7" t="s">
        <v>644</v>
      </c>
    </row>
    <row r="283" spans="1:2" x14ac:dyDescent="0.35">
      <c r="A283" s="7" t="s">
        <v>645</v>
      </c>
      <c r="B283" s="7" t="s">
        <v>646</v>
      </c>
    </row>
    <row r="284" spans="1:2" x14ac:dyDescent="0.35">
      <c r="A284" s="7" t="s">
        <v>647</v>
      </c>
      <c r="B284" s="7" t="s">
        <v>648</v>
      </c>
    </row>
    <row r="285" spans="1:2" x14ac:dyDescent="0.35">
      <c r="A285" s="7" t="s">
        <v>649</v>
      </c>
      <c r="B285" s="7" t="s">
        <v>650</v>
      </c>
    </row>
    <row r="286" spans="1:2" x14ac:dyDescent="0.35">
      <c r="A286" s="7" t="s">
        <v>651</v>
      </c>
      <c r="B286" s="7" t="s">
        <v>652</v>
      </c>
    </row>
    <row r="287" spans="1:2" x14ac:dyDescent="0.35">
      <c r="A287" s="7" t="s">
        <v>653</v>
      </c>
      <c r="B287" s="7" t="s">
        <v>654</v>
      </c>
    </row>
    <row r="288" spans="1:2" x14ac:dyDescent="0.35">
      <c r="A288" s="7" t="s">
        <v>655</v>
      </c>
      <c r="B288" s="7" t="s">
        <v>656</v>
      </c>
    </row>
    <row r="289" spans="1:2" x14ac:dyDescent="0.35">
      <c r="A289" s="7" t="s">
        <v>657</v>
      </c>
      <c r="B289" s="7" t="s">
        <v>658</v>
      </c>
    </row>
    <row r="290" spans="1:2" x14ac:dyDescent="0.35">
      <c r="A290" s="7" t="s">
        <v>659</v>
      </c>
      <c r="B290" s="7" t="s">
        <v>660</v>
      </c>
    </row>
    <row r="291" spans="1:2" x14ac:dyDescent="0.35">
      <c r="A291" s="7" t="s">
        <v>661</v>
      </c>
      <c r="B291" s="7" t="s">
        <v>662</v>
      </c>
    </row>
    <row r="292" spans="1:2" x14ac:dyDescent="0.35">
      <c r="A292" s="7" t="s">
        <v>663</v>
      </c>
      <c r="B292" s="7" t="s">
        <v>664</v>
      </c>
    </row>
    <row r="293" spans="1:2" x14ac:dyDescent="0.35">
      <c r="A293" s="7" t="s">
        <v>665</v>
      </c>
      <c r="B293" s="7" t="s">
        <v>666</v>
      </c>
    </row>
    <row r="294" spans="1:2" x14ac:dyDescent="0.35">
      <c r="A294" s="7" t="s">
        <v>667</v>
      </c>
      <c r="B294" s="7" t="s">
        <v>668</v>
      </c>
    </row>
    <row r="295" spans="1:2" x14ac:dyDescent="0.35">
      <c r="A295" s="7" t="s">
        <v>669</v>
      </c>
      <c r="B295" s="7" t="s">
        <v>670</v>
      </c>
    </row>
    <row r="296" spans="1:2" x14ac:dyDescent="0.35">
      <c r="A296" s="7" t="s">
        <v>671</v>
      </c>
      <c r="B296" s="7" t="s">
        <v>672</v>
      </c>
    </row>
    <row r="297" spans="1:2" x14ac:dyDescent="0.35">
      <c r="A297" s="7" t="s">
        <v>673</v>
      </c>
      <c r="B297" s="7" t="s">
        <v>674</v>
      </c>
    </row>
    <row r="298" spans="1:2" x14ac:dyDescent="0.35">
      <c r="A298" s="7" t="s">
        <v>675</v>
      </c>
      <c r="B298" s="7" t="s">
        <v>676</v>
      </c>
    </row>
    <row r="299" spans="1:2" x14ac:dyDescent="0.35">
      <c r="A299" s="7" t="s">
        <v>677</v>
      </c>
      <c r="B299" s="7" t="s">
        <v>678</v>
      </c>
    </row>
    <row r="300" spans="1:2" x14ac:dyDescent="0.35">
      <c r="A300" s="7" t="s">
        <v>679</v>
      </c>
      <c r="B300" s="7" t="s">
        <v>680</v>
      </c>
    </row>
    <row r="301" spans="1:2" x14ac:dyDescent="0.35">
      <c r="A301" s="7" t="s">
        <v>681</v>
      </c>
      <c r="B301" s="7" t="s">
        <v>682</v>
      </c>
    </row>
    <row r="302" spans="1:2" x14ac:dyDescent="0.35">
      <c r="A302" s="7" t="s">
        <v>683</v>
      </c>
      <c r="B302" s="7" t="s">
        <v>684</v>
      </c>
    </row>
    <row r="303" spans="1:2" x14ac:dyDescent="0.35">
      <c r="A303" s="7" t="s">
        <v>685</v>
      </c>
      <c r="B303" s="7" t="s">
        <v>686</v>
      </c>
    </row>
    <row r="304" spans="1:2" x14ac:dyDescent="0.35">
      <c r="A304" s="7" t="s">
        <v>687</v>
      </c>
      <c r="B304" s="7" t="s">
        <v>688</v>
      </c>
    </row>
    <row r="305" spans="1:2" x14ac:dyDescent="0.35">
      <c r="A305" s="7" t="s">
        <v>689</v>
      </c>
      <c r="B305" s="7" t="s">
        <v>690</v>
      </c>
    </row>
    <row r="306" spans="1:2" x14ac:dyDescent="0.35">
      <c r="A306" s="7" t="s">
        <v>691</v>
      </c>
      <c r="B306" s="7" t="s">
        <v>692</v>
      </c>
    </row>
    <row r="307" spans="1:2" x14ac:dyDescent="0.35">
      <c r="A307" s="7" t="s">
        <v>693</v>
      </c>
      <c r="B307" s="7" t="s">
        <v>694</v>
      </c>
    </row>
    <row r="308" spans="1:2" x14ac:dyDescent="0.35">
      <c r="A308" s="7" t="s">
        <v>695</v>
      </c>
      <c r="B308" s="7" t="s">
        <v>696</v>
      </c>
    </row>
    <row r="309" spans="1:2" x14ac:dyDescent="0.35">
      <c r="A309" s="7" t="s">
        <v>697</v>
      </c>
      <c r="B309" s="7" t="s">
        <v>698</v>
      </c>
    </row>
    <row r="310" spans="1:2" x14ac:dyDescent="0.35">
      <c r="A310" s="7" t="s">
        <v>699</v>
      </c>
      <c r="B310" s="7" t="s">
        <v>700</v>
      </c>
    </row>
    <row r="311" spans="1:2" x14ac:dyDescent="0.35">
      <c r="A311" s="7" t="s">
        <v>701</v>
      </c>
      <c r="B311" s="7" t="s">
        <v>702</v>
      </c>
    </row>
    <row r="312" spans="1:2" x14ac:dyDescent="0.35">
      <c r="A312" s="7" t="s">
        <v>703</v>
      </c>
      <c r="B312" s="7" t="s">
        <v>704</v>
      </c>
    </row>
    <row r="313" spans="1:2" x14ac:dyDescent="0.35">
      <c r="A313" s="7" t="s">
        <v>705</v>
      </c>
      <c r="B313" s="7" t="s">
        <v>706</v>
      </c>
    </row>
    <row r="314" spans="1:2" x14ac:dyDescent="0.35">
      <c r="A314" s="7" t="s">
        <v>707</v>
      </c>
      <c r="B314" s="7" t="s">
        <v>708</v>
      </c>
    </row>
    <row r="315" spans="1:2" x14ac:dyDescent="0.35">
      <c r="A315" s="7" t="s">
        <v>709</v>
      </c>
      <c r="B315" s="7" t="s">
        <v>710</v>
      </c>
    </row>
    <row r="316" spans="1:2" x14ac:dyDescent="0.35">
      <c r="A316" s="7" t="s">
        <v>711</v>
      </c>
      <c r="B316" s="7" t="s">
        <v>712</v>
      </c>
    </row>
    <row r="317" spans="1:2" x14ac:dyDescent="0.35">
      <c r="A317" s="7" t="s">
        <v>713</v>
      </c>
      <c r="B317" s="7" t="s">
        <v>714</v>
      </c>
    </row>
    <row r="318" spans="1:2" x14ac:dyDescent="0.35">
      <c r="A318" s="7" t="s">
        <v>715</v>
      </c>
      <c r="B318" s="7" t="s">
        <v>716</v>
      </c>
    </row>
    <row r="319" spans="1:2" x14ac:dyDescent="0.35">
      <c r="A319" s="7" t="s">
        <v>717</v>
      </c>
      <c r="B319" s="7" t="s">
        <v>718</v>
      </c>
    </row>
    <row r="320" spans="1:2" x14ac:dyDescent="0.35">
      <c r="A320" s="7" t="s">
        <v>719</v>
      </c>
      <c r="B320" s="7" t="s">
        <v>720</v>
      </c>
    </row>
    <row r="321" spans="1:2" x14ac:dyDescent="0.35">
      <c r="A321" s="7" t="s">
        <v>721</v>
      </c>
      <c r="B321" s="7" t="s">
        <v>722</v>
      </c>
    </row>
    <row r="322" spans="1:2" x14ac:dyDescent="0.35">
      <c r="A322" s="7" t="s">
        <v>723</v>
      </c>
      <c r="B322" s="7" t="s">
        <v>724</v>
      </c>
    </row>
    <row r="323" spans="1:2" x14ac:dyDescent="0.35">
      <c r="A323" s="7" t="s">
        <v>725</v>
      </c>
      <c r="B323" s="7" t="s">
        <v>726</v>
      </c>
    </row>
    <row r="324" spans="1:2" x14ac:dyDescent="0.35">
      <c r="A324" s="7" t="s">
        <v>727</v>
      </c>
      <c r="B324" s="7" t="s">
        <v>728</v>
      </c>
    </row>
    <row r="325" spans="1:2" x14ac:dyDescent="0.35">
      <c r="A325" s="7" t="s">
        <v>729</v>
      </c>
      <c r="B325" s="7" t="s">
        <v>730</v>
      </c>
    </row>
    <row r="326" spans="1:2" x14ac:dyDescent="0.35">
      <c r="A326" s="7" t="s">
        <v>731</v>
      </c>
      <c r="B326" s="7" t="s">
        <v>732</v>
      </c>
    </row>
    <row r="327" spans="1:2" x14ac:dyDescent="0.35">
      <c r="A327" s="7" t="s">
        <v>733</v>
      </c>
      <c r="B327" s="7" t="s">
        <v>734</v>
      </c>
    </row>
    <row r="328" spans="1:2" x14ac:dyDescent="0.35">
      <c r="A328" s="7" t="s">
        <v>735</v>
      </c>
      <c r="B328" s="7" t="s">
        <v>736</v>
      </c>
    </row>
    <row r="329" spans="1:2" x14ac:dyDescent="0.35">
      <c r="A329" s="7" t="s">
        <v>737</v>
      </c>
      <c r="B329" s="7" t="s">
        <v>738</v>
      </c>
    </row>
    <row r="330" spans="1:2" x14ac:dyDescent="0.35">
      <c r="A330" s="7" t="s">
        <v>739</v>
      </c>
      <c r="B330" s="7" t="s">
        <v>740</v>
      </c>
    </row>
    <row r="331" spans="1:2" x14ac:dyDescent="0.35">
      <c r="A331" s="7" t="s">
        <v>741</v>
      </c>
      <c r="B331" s="7" t="s">
        <v>742</v>
      </c>
    </row>
    <row r="332" spans="1:2" x14ac:dyDescent="0.35">
      <c r="A332" s="7" t="s">
        <v>743</v>
      </c>
      <c r="B332" s="7" t="s">
        <v>744</v>
      </c>
    </row>
    <row r="333" spans="1:2" x14ac:dyDescent="0.35">
      <c r="A333" s="7" t="s">
        <v>745</v>
      </c>
      <c r="B333" s="7" t="s">
        <v>746</v>
      </c>
    </row>
    <row r="334" spans="1:2" x14ac:dyDescent="0.35">
      <c r="A334" s="7" t="s">
        <v>747</v>
      </c>
      <c r="B334" s="7" t="s">
        <v>294</v>
      </c>
    </row>
    <row r="335" spans="1:2" x14ac:dyDescent="0.35">
      <c r="A335" s="7" t="s">
        <v>748</v>
      </c>
      <c r="B335" s="7" t="s">
        <v>749</v>
      </c>
    </row>
    <row r="336" spans="1:2" x14ac:dyDescent="0.35">
      <c r="A336" s="7" t="s">
        <v>750</v>
      </c>
      <c r="B336" s="7" t="s">
        <v>751</v>
      </c>
    </row>
    <row r="337" spans="1:2" x14ac:dyDescent="0.35">
      <c r="A337" s="7" t="s">
        <v>752</v>
      </c>
      <c r="B337" s="7" t="s">
        <v>753</v>
      </c>
    </row>
    <row r="338" spans="1:2" x14ac:dyDescent="0.35">
      <c r="A338" s="7" t="s">
        <v>754</v>
      </c>
      <c r="B338" s="7" t="s">
        <v>755</v>
      </c>
    </row>
    <row r="339" spans="1:2" x14ac:dyDescent="0.35">
      <c r="A339" s="7" t="s">
        <v>756</v>
      </c>
      <c r="B339" s="7" t="s">
        <v>757</v>
      </c>
    </row>
    <row r="340" spans="1:2" x14ac:dyDescent="0.35">
      <c r="A340" s="7" t="s">
        <v>758</v>
      </c>
      <c r="B340" s="7" t="s">
        <v>759</v>
      </c>
    </row>
    <row r="341" spans="1:2" x14ac:dyDescent="0.35">
      <c r="A341" s="7" t="s">
        <v>760</v>
      </c>
      <c r="B341" s="7" t="s">
        <v>761</v>
      </c>
    </row>
    <row r="342" spans="1:2" x14ac:dyDescent="0.35">
      <c r="A342" s="7" t="s">
        <v>762</v>
      </c>
      <c r="B342" s="7" t="s">
        <v>763</v>
      </c>
    </row>
    <row r="343" spans="1:2" x14ac:dyDescent="0.35">
      <c r="A343" s="7" t="s">
        <v>764</v>
      </c>
      <c r="B343" s="7" t="s">
        <v>765</v>
      </c>
    </row>
    <row r="344" spans="1:2" x14ac:dyDescent="0.35">
      <c r="A344" s="7" t="s">
        <v>766</v>
      </c>
      <c r="B344" s="7" t="s">
        <v>767</v>
      </c>
    </row>
    <row r="345" spans="1:2" x14ac:dyDescent="0.35">
      <c r="A345" s="7" t="s">
        <v>768</v>
      </c>
      <c r="B345" s="7" t="s">
        <v>769</v>
      </c>
    </row>
    <row r="346" spans="1:2" x14ac:dyDescent="0.35">
      <c r="A346" s="7" t="s">
        <v>770</v>
      </c>
      <c r="B346" s="7" t="s">
        <v>771</v>
      </c>
    </row>
    <row r="347" spans="1:2" x14ac:dyDescent="0.35">
      <c r="A347" s="7" t="s">
        <v>772</v>
      </c>
      <c r="B347" s="7" t="s">
        <v>773</v>
      </c>
    </row>
    <row r="348" spans="1:2" x14ac:dyDescent="0.35">
      <c r="A348" s="7" t="s">
        <v>774</v>
      </c>
      <c r="B348" s="7" t="s">
        <v>775</v>
      </c>
    </row>
    <row r="349" spans="1:2" x14ac:dyDescent="0.35">
      <c r="A349" s="7" t="s">
        <v>776</v>
      </c>
      <c r="B349" s="7" t="s">
        <v>777</v>
      </c>
    </row>
    <row r="350" spans="1:2" x14ac:dyDescent="0.35">
      <c r="A350" s="7" t="s">
        <v>778</v>
      </c>
      <c r="B350" s="7" t="s">
        <v>779</v>
      </c>
    </row>
    <row r="351" spans="1:2" x14ac:dyDescent="0.35">
      <c r="A351" s="7" t="s">
        <v>780</v>
      </c>
      <c r="B351" s="7" t="s">
        <v>781</v>
      </c>
    </row>
    <row r="352" spans="1:2" x14ac:dyDescent="0.35">
      <c r="A352" s="7" t="s">
        <v>782</v>
      </c>
      <c r="B352" s="7" t="s">
        <v>783</v>
      </c>
    </row>
    <row r="353" spans="1:2" x14ac:dyDescent="0.35">
      <c r="A353" s="7" t="s">
        <v>784</v>
      </c>
      <c r="B353" s="7" t="s">
        <v>785</v>
      </c>
    </row>
    <row r="354" spans="1:2" x14ac:dyDescent="0.35">
      <c r="A354" s="7" t="s">
        <v>786</v>
      </c>
      <c r="B354" s="7" t="s">
        <v>787</v>
      </c>
    </row>
    <row r="355" spans="1:2" x14ac:dyDescent="0.35">
      <c r="A355" s="7" t="s">
        <v>788</v>
      </c>
      <c r="B355" s="7" t="s">
        <v>789</v>
      </c>
    </row>
    <row r="356" spans="1:2" x14ac:dyDescent="0.35">
      <c r="A356" s="7" t="s">
        <v>790</v>
      </c>
      <c r="B356" s="7" t="s">
        <v>791</v>
      </c>
    </row>
    <row r="357" spans="1:2" x14ac:dyDescent="0.35">
      <c r="A357" s="7" t="s">
        <v>792</v>
      </c>
      <c r="B357" s="7" t="s">
        <v>793</v>
      </c>
    </row>
    <row r="358" spans="1:2" x14ac:dyDescent="0.35">
      <c r="A358" s="7" t="s">
        <v>794</v>
      </c>
      <c r="B358" s="7" t="s">
        <v>795</v>
      </c>
    </row>
    <row r="359" spans="1:2" x14ac:dyDescent="0.35">
      <c r="A359" s="7" t="s">
        <v>796</v>
      </c>
      <c r="B359" s="7" t="s">
        <v>797</v>
      </c>
    </row>
    <row r="360" spans="1:2" x14ac:dyDescent="0.35">
      <c r="A360" s="7" t="s">
        <v>798</v>
      </c>
      <c r="B360" s="7" t="s">
        <v>799</v>
      </c>
    </row>
    <row r="361" spans="1:2" x14ac:dyDescent="0.35">
      <c r="A361" s="7" t="s">
        <v>800</v>
      </c>
      <c r="B361" s="7" t="s">
        <v>801</v>
      </c>
    </row>
    <row r="362" spans="1:2" x14ac:dyDescent="0.35">
      <c r="A362" s="7" t="s">
        <v>802</v>
      </c>
      <c r="B362" s="7" t="s">
        <v>803</v>
      </c>
    </row>
    <row r="363" spans="1:2" x14ac:dyDescent="0.35">
      <c r="A363" s="7" t="s">
        <v>804</v>
      </c>
      <c r="B363" s="7" t="s">
        <v>805</v>
      </c>
    </row>
    <row r="364" spans="1:2" x14ac:dyDescent="0.35">
      <c r="A364" s="7" t="s">
        <v>806</v>
      </c>
      <c r="B364" s="7" t="s">
        <v>807</v>
      </c>
    </row>
    <row r="365" spans="1:2" x14ac:dyDescent="0.35">
      <c r="A365" s="7" t="s">
        <v>808</v>
      </c>
      <c r="B365" s="7" t="s">
        <v>809</v>
      </c>
    </row>
    <row r="366" spans="1:2" x14ac:dyDescent="0.35">
      <c r="A366" s="7" t="s">
        <v>810</v>
      </c>
      <c r="B366" s="7" t="s">
        <v>811</v>
      </c>
    </row>
    <row r="367" spans="1:2" x14ac:dyDescent="0.35">
      <c r="A367" s="7" t="s">
        <v>812</v>
      </c>
      <c r="B367" s="7" t="s">
        <v>813</v>
      </c>
    </row>
    <row r="368" spans="1:2" x14ac:dyDescent="0.35">
      <c r="A368" s="7" t="s">
        <v>814</v>
      </c>
      <c r="B368" s="7" t="s">
        <v>815</v>
      </c>
    </row>
    <row r="369" spans="1:2" x14ac:dyDescent="0.35">
      <c r="A369" s="7" t="s">
        <v>816</v>
      </c>
      <c r="B369" s="7" t="s">
        <v>817</v>
      </c>
    </row>
    <row r="370" spans="1:2" x14ac:dyDescent="0.35">
      <c r="A370" s="7" t="s">
        <v>818</v>
      </c>
      <c r="B370" s="7" t="s">
        <v>819</v>
      </c>
    </row>
    <row r="371" spans="1:2" x14ac:dyDescent="0.35">
      <c r="A371" s="7" t="s">
        <v>820</v>
      </c>
      <c r="B371" s="7" t="s">
        <v>821</v>
      </c>
    </row>
    <row r="372" spans="1:2" x14ac:dyDescent="0.35">
      <c r="A372" s="7" t="s">
        <v>822</v>
      </c>
      <c r="B372" s="7" t="s">
        <v>823</v>
      </c>
    </row>
    <row r="373" spans="1:2" x14ac:dyDescent="0.35">
      <c r="A373" s="7" t="s">
        <v>824</v>
      </c>
      <c r="B373" s="7" t="s">
        <v>825</v>
      </c>
    </row>
    <row r="374" spans="1:2" x14ac:dyDescent="0.35">
      <c r="A374" s="7" t="s">
        <v>826</v>
      </c>
      <c r="B374" s="7" t="s">
        <v>827</v>
      </c>
    </row>
    <row r="375" spans="1:2" x14ac:dyDescent="0.35">
      <c r="A375" s="7" t="s">
        <v>828</v>
      </c>
      <c r="B375" s="7" t="s">
        <v>829</v>
      </c>
    </row>
    <row r="376" spans="1:2" x14ac:dyDescent="0.35">
      <c r="A376" s="7" t="s">
        <v>830</v>
      </c>
      <c r="B376" s="7" t="s">
        <v>831</v>
      </c>
    </row>
    <row r="377" spans="1:2" x14ac:dyDescent="0.35">
      <c r="A377" s="7" t="s">
        <v>832</v>
      </c>
      <c r="B377" s="7" t="s">
        <v>833</v>
      </c>
    </row>
    <row r="378" spans="1:2" x14ac:dyDescent="0.35">
      <c r="A378" s="7" t="s">
        <v>834</v>
      </c>
      <c r="B378" s="7" t="s">
        <v>835</v>
      </c>
    </row>
    <row r="379" spans="1:2" x14ac:dyDescent="0.35">
      <c r="A379" s="7" t="s">
        <v>836</v>
      </c>
      <c r="B379" s="7" t="s">
        <v>837</v>
      </c>
    </row>
    <row r="380" spans="1:2" x14ac:dyDescent="0.35">
      <c r="A380" s="7" t="s">
        <v>838</v>
      </c>
      <c r="B380" s="7" t="s">
        <v>839</v>
      </c>
    </row>
    <row r="381" spans="1:2" x14ac:dyDescent="0.35">
      <c r="A381" s="7" t="s">
        <v>840</v>
      </c>
      <c r="B381" s="7" t="s">
        <v>314</v>
      </c>
    </row>
    <row r="382" spans="1:2" x14ac:dyDescent="0.35">
      <c r="A382" s="7" t="s">
        <v>841</v>
      </c>
      <c r="B382" s="7" t="s">
        <v>842</v>
      </c>
    </row>
    <row r="383" spans="1:2" x14ac:dyDescent="0.35">
      <c r="A383" s="7" t="s">
        <v>843</v>
      </c>
      <c r="B383" s="7" t="s">
        <v>844</v>
      </c>
    </row>
    <row r="384" spans="1:2" x14ac:dyDescent="0.35">
      <c r="A384" s="7" t="s">
        <v>845</v>
      </c>
      <c r="B384" s="7" t="s">
        <v>846</v>
      </c>
    </row>
    <row r="385" spans="1:2" x14ac:dyDescent="0.35">
      <c r="A385" s="7" t="s">
        <v>847</v>
      </c>
      <c r="B385" s="7" t="s">
        <v>848</v>
      </c>
    </row>
    <row r="386" spans="1:2" x14ac:dyDescent="0.35">
      <c r="A386" s="7" t="s">
        <v>849</v>
      </c>
      <c r="B386" s="7" t="s">
        <v>850</v>
      </c>
    </row>
    <row r="387" spans="1:2" x14ac:dyDescent="0.35">
      <c r="A387" s="7" t="s">
        <v>851</v>
      </c>
      <c r="B387" s="7" t="s">
        <v>852</v>
      </c>
    </row>
    <row r="388" spans="1:2" x14ac:dyDescent="0.35">
      <c r="A388" s="7" t="s">
        <v>853</v>
      </c>
      <c r="B388" s="7" t="s">
        <v>854</v>
      </c>
    </row>
    <row r="389" spans="1:2" x14ac:dyDescent="0.35">
      <c r="A389" s="7" t="s">
        <v>855</v>
      </c>
      <c r="B389" s="7" t="s">
        <v>856</v>
      </c>
    </row>
    <row r="390" spans="1:2" x14ac:dyDescent="0.35">
      <c r="A390" s="7" t="s">
        <v>857</v>
      </c>
      <c r="B390" s="7" t="s">
        <v>858</v>
      </c>
    </row>
    <row r="391" spans="1:2" x14ac:dyDescent="0.35">
      <c r="A391" s="7" t="s">
        <v>859</v>
      </c>
      <c r="B391" s="7" t="s">
        <v>860</v>
      </c>
    </row>
    <row r="392" spans="1:2" x14ac:dyDescent="0.35">
      <c r="A392" s="7" t="s">
        <v>861</v>
      </c>
      <c r="B392" s="7" t="s">
        <v>862</v>
      </c>
    </row>
    <row r="393" spans="1:2" x14ac:dyDescent="0.35">
      <c r="A393" s="7" t="s">
        <v>863</v>
      </c>
      <c r="B393" s="7" t="s">
        <v>214</v>
      </c>
    </row>
    <row r="394" spans="1:2" x14ac:dyDescent="0.35">
      <c r="A394" s="7" t="s">
        <v>864</v>
      </c>
      <c r="B394" s="7" t="s">
        <v>865</v>
      </c>
    </row>
    <row r="395" spans="1:2" x14ac:dyDescent="0.35">
      <c r="A395" s="7" t="s">
        <v>866</v>
      </c>
      <c r="B395" s="7" t="s">
        <v>867</v>
      </c>
    </row>
    <row r="396" spans="1:2" x14ac:dyDescent="0.35">
      <c r="A396" s="7" t="s">
        <v>868</v>
      </c>
      <c r="B396" s="7" t="s">
        <v>869</v>
      </c>
    </row>
    <row r="397" spans="1:2" x14ac:dyDescent="0.35">
      <c r="A397" s="7" t="s">
        <v>870</v>
      </c>
      <c r="B397" s="7" t="s">
        <v>871</v>
      </c>
    </row>
    <row r="398" spans="1:2" x14ac:dyDescent="0.35">
      <c r="A398" s="7" t="s">
        <v>872</v>
      </c>
      <c r="B398" s="7" t="s">
        <v>873</v>
      </c>
    </row>
    <row r="399" spans="1:2" x14ac:dyDescent="0.35">
      <c r="A399" s="7" t="s">
        <v>874</v>
      </c>
      <c r="B399" s="7" t="s">
        <v>463</v>
      </c>
    </row>
    <row r="400" spans="1:2" x14ac:dyDescent="0.35">
      <c r="A400" s="7" t="s">
        <v>875</v>
      </c>
      <c r="B400" s="7" t="s">
        <v>876</v>
      </c>
    </row>
    <row r="401" spans="1:2" x14ac:dyDescent="0.35">
      <c r="A401" s="7" t="s">
        <v>877</v>
      </c>
      <c r="B401" s="7" t="s">
        <v>878</v>
      </c>
    </row>
    <row r="402" spans="1:2" x14ac:dyDescent="0.35">
      <c r="A402" s="7" t="s">
        <v>879</v>
      </c>
      <c r="B402" s="7" t="s">
        <v>880</v>
      </c>
    </row>
    <row r="403" spans="1:2" x14ac:dyDescent="0.35">
      <c r="A403" s="7" t="s">
        <v>881</v>
      </c>
      <c r="B403" s="7" t="s">
        <v>882</v>
      </c>
    </row>
    <row r="404" spans="1:2" x14ac:dyDescent="0.35">
      <c r="A404" s="7" t="s">
        <v>883</v>
      </c>
      <c r="B404" s="7" t="s">
        <v>481</v>
      </c>
    </row>
    <row r="405" spans="1:2" x14ac:dyDescent="0.35">
      <c r="A405" s="7" t="s">
        <v>884</v>
      </c>
      <c r="B405" s="7" t="s">
        <v>885</v>
      </c>
    </row>
    <row r="406" spans="1:2" x14ac:dyDescent="0.35">
      <c r="A406" s="7" t="s">
        <v>886</v>
      </c>
      <c r="B406" s="7" t="s">
        <v>887</v>
      </c>
    </row>
    <row r="407" spans="1:2" x14ac:dyDescent="0.35">
      <c r="A407" s="7" t="s">
        <v>888</v>
      </c>
      <c r="B407" s="7" t="s">
        <v>889</v>
      </c>
    </row>
    <row r="408" spans="1:2" x14ac:dyDescent="0.35">
      <c r="A408" s="7" t="s">
        <v>890</v>
      </c>
      <c r="B408" s="7" t="s">
        <v>891</v>
      </c>
    </row>
    <row r="409" spans="1:2" x14ac:dyDescent="0.35">
      <c r="A409" s="7" t="s">
        <v>892</v>
      </c>
      <c r="B409" s="7" t="s">
        <v>893</v>
      </c>
    </row>
    <row r="410" spans="1:2" x14ac:dyDescent="0.35">
      <c r="A410" s="7" t="s">
        <v>894</v>
      </c>
      <c r="B410" s="7" t="s">
        <v>895</v>
      </c>
    </row>
    <row r="411" spans="1:2" x14ac:dyDescent="0.35">
      <c r="A411" s="7" t="s">
        <v>896</v>
      </c>
      <c r="B411" s="7" t="s">
        <v>897</v>
      </c>
    </row>
    <row r="412" spans="1:2" x14ac:dyDescent="0.35">
      <c r="A412" s="7" t="s">
        <v>898</v>
      </c>
      <c r="B412" s="7" t="s">
        <v>899</v>
      </c>
    </row>
    <row r="413" spans="1:2" x14ac:dyDescent="0.35">
      <c r="A413" s="7" t="s">
        <v>900</v>
      </c>
      <c r="B413" s="7" t="s">
        <v>901</v>
      </c>
    </row>
    <row r="414" spans="1:2" x14ac:dyDescent="0.35">
      <c r="A414" s="7" t="s">
        <v>902</v>
      </c>
      <c r="B414" s="7" t="s">
        <v>903</v>
      </c>
    </row>
    <row r="415" spans="1:2" x14ac:dyDescent="0.35">
      <c r="A415" s="7" t="s">
        <v>904</v>
      </c>
      <c r="B415" s="7" t="s">
        <v>905</v>
      </c>
    </row>
    <row r="416" spans="1:2" x14ac:dyDescent="0.35">
      <c r="A416" s="7" t="s">
        <v>906</v>
      </c>
      <c r="B416" s="7" t="s">
        <v>907</v>
      </c>
    </row>
    <row r="417" spans="1:2" x14ac:dyDescent="0.35">
      <c r="A417" s="7" t="s">
        <v>908</v>
      </c>
      <c r="B417" s="7" t="s">
        <v>909</v>
      </c>
    </row>
    <row r="418" spans="1:2" x14ac:dyDescent="0.35">
      <c r="A418" s="7" t="s">
        <v>910</v>
      </c>
      <c r="B418" s="7" t="s">
        <v>911</v>
      </c>
    </row>
    <row r="419" spans="1:2" x14ac:dyDescent="0.35">
      <c r="A419" s="7" t="s">
        <v>912</v>
      </c>
      <c r="B419" s="7" t="s">
        <v>913</v>
      </c>
    </row>
    <row r="420" spans="1:2" x14ac:dyDescent="0.35">
      <c r="A420" s="7" t="s">
        <v>914</v>
      </c>
      <c r="B420" s="7" t="s">
        <v>915</v>
      </c>
    </row>
    <row r="421" spans="1:2" x14ac:dyDescent="0.35">
      <c r="A421" s="7" t="s">
        <v>916</v>
      </c>
      <c r="B421" s="7" t="s">
        <v>917</v>
      </c>
    </row>
    <row r="422" spans="1:2" x14ac:dyDescent="0.35">
      <c r="A422" s="7" t="s">
        <v>918</v>
      </c>
      <c r="B422" s="7" t="s">
        <v>919</v>
      </c>
    </row>
    <row r="423" spans="1:2" x14ac:dyDescent="0.35">
      <c r="A423" s="7" t="s">
        <v>920</v>
      </c>
      <c r="B423" s="7" t="s">
        <v>921</v>
      </c>
    </row>
    <row r="424" spans="1:2" x14ac:dyDescent="0.35">
      <c r="A424" s="7" t="s">
        <v>922</v>
      </c>
      <c r="B424" s="7" t="s">
        <v>923</v>
      </c>
    </row>
    <row r="425" spans="1:2" x14ac:dyDescent="0.35">
      <c r="A425" s="7" t="s">
        <v>924</v>
      </c>
      <c r="B425" s="7" t="s">
        <v>925</v>
      </c>
    </row>
    <row r="426" spans="1:2" x14ac:dyDescent="0.35">
      <c r="A426" s="7" t="s">
        <v>926</v>
      </c>
      <c r="B426" s="7" t="s">
        <v>927</v>
      </c>
    </row>
    <row r="427" spans="1:2" x14ac:dyDescent="0.35">
      <c r="A427" s="7" t="s">
        <v>928</v>
      </c>
      <c r="B427" s="7" t="s">
        <v>929</v>
      </c>
    </row>
    <row r="428" spans="1:2" x14ac:dyDescent="0.35">
      <c r="A428" s="7" t="s">
        <v>930</v>
      </c>
      <c r="B428" s="7" t="s">
        <v>931</v>
      </c>
    </row>
    <row r="429" spans="1:2" x14ac:dyDescent="0.35">
      <c r="A429" s="7" t="s">
        <v>932</v>
      </c>
      <c r="B429" s="7" t="s">
        <v>933</v>
      </c>
    </row>
    <row r="430" spans="1:2" x14ac:dyDescent="0.35">
      <c r="A430" s="7" t="s">
        <v>934</v>
      </c>
      <c r="B430" s="7" t="s">
        <v>935</v>
      </c>
    </row>
    <row r="431" spans="1:2" x14ac:dyDescent="0.35">
      <c r="A431" s="7" t="s">
        <v>936</v>
      </c>
      <c r="B431" s="7" t="s">
        <v>228</v>
      </c>
    </row>
    <row r="432" spans="1:2" x14ac:dyDescent="0.35">
      <c r="A432" s="7" t="s">
        <v>937</v>
      </c>
      <c r="B432" s="7" t="s">
        <v>938</v>
      </c>
    </row>
    <row r="433" spans="1:2" x14ac:dyDescent="0.35">
      <c r="A433" s="7" t="s">
        <v>939</v>
      </c>
      <c r="B433" s="7" t="s">
        <v>940</v>
      </c>
    </row>
    <row r="434" spans="1:2" x14ac:dyDescent="0.35">
      <c r="A434" s="7" t="s">
        <v>941</v>
      </c>
      <c r="B434" s="7" t="s">
        <v>823</v>
      </c>
    </row>
    <row r="435" spans="1:2" x14ac:dyDescent="0.35">
      <c r="A435" s="7" t="s">
        <v>942</v>
      </c>
      <c r="B435" s="7" t="s">
        <v>943</v>
      </c>
    </row>
    <row r="436" spans="1:2" x14ac:dyDescent="0.35">
      <c r="A436" s="7" t="s">
        <v>944</v>
      </c>
      <c r="B436" s="7" t="s">
        <v>945</v>
      </c>
    </row>
    <row r="437" spans="1:2" x14ac:dyDescent="0.35">
      <c r="A437" s="7" t="s">
        <v>946</v>
      </c>
      <c r="B437" s="7" t="s">
        <v>947</v>
      </c>
    </row>
    <row r="438" spans="1:2" x14ac:dyDescent="0.35">
      <c r="A438" s="7" t="s">
        <v>948</v>
      </c>
      <c r="B438" s="7" t="s">
        <v>949</v>
      </c>
    </row>
    <row r="439" spans="1:2" x14ac:dyDescent="0.35">
      <c r="A439" s="7" t="s">
        <v>950</v>
      </c>
      <c r="B439" s="7" t="s">
        <v>951</v>
      </c>
    </row>
    <row r="440" spans="1:2" x14ac:dyDescent="0.35">
      <c r="A440" s="7" t="s">
        <v>952</v>
      </c>
      <c r="B440" s="7" t="s">
        <v>953</v>
      </c>
    </row>
    <row r="441" spans="1:2" x14ac:dyDescent="0.35">
      <c r="A441" s="7" t="s">
        <v>954</v>
      </c>
      <c r="B441" s="7" t="s">
        <v>955</v>
      </c>
    </row>
    <row r="442" spans="1:2" x14ac:dyDescent="0.35">
      <c r="A442" s="7" t="s">
        <v>956</v>
      </c>
      <c r="B442" s="7" t="s">
        <v>957</v>
      </c>
    </row>
    <row r="443" spans="1:2" x14ac:dyDescent="0.35">
      <c r="A443" s="7" t="s">
        <v>958</v>
      </c>
      <c r="B443" s="7" t="s">
        <v>959</v>
      </c>
    </row>
    <row r="444" spans="1:2" x14ac:dyDescent="0.35">
      <c r="A444" s="7" t="s">
        <v>960</v>
      </c>
      <c r="B444" s="7" t="s">
        <v>961</v>
      </c>
    </row>
    <row r="445" spans="1:2" x14ac:dyDescent="0.35">
      <c r="A445" s="7" t="s">
        <v>962</v>
      </c>
      <c r="B445" s="7" t="s">
        <v>963</v>
      </c>
    </row>
    <row r="446" spans="1:2" x14ac:dyDescent="0.35">
      <c r="A446" s="7" t="s">
        <v>964</v>
      </c>
      <c r="B446" s="7" t="s">
        <v>965</v>
      </c>
    </row>
    <row r="447" spans="1:2" x14ac:dyDescent="0.35">
      <c r="A447" s="7" t="s">
        <v>966</v>
      </c>
      <c r="B447" s="7" t="s">
        <v>967</v>
      </c>
    </row>
    <row r="448" spans="1:2" x14ac:dyDescent="0.35">
      <c r="A448" s="7" t="s">
        <v>968</v>
      </c>
      <c r="B448" s="7" t="s">
        <v>969</v>
      </c>
    </row>
    <row r="449" spans="1:2" x14ac:dyDescent="0.35">
      <c r="A449" s="7" t="s">
        <v>970</v>
      </c>
      <c r="B449" s="7" t="s">
        <v>971</v>
      </c>
    </row>
    <row r="450" spans="1:2" x14ac:dyDescent="0.35">
      <c r="A450" s="7" t="s">
        <v>972</v>
      </c>
      <c r="B450" s="7" t="s">
        <v>973</v>
      </c>
    </row>
    <row r="451" spans="1:2" x14ac:dyDescent="0.35">
      <c r="A451" s="7" t="s">
        <v>974</v>
      </c>
      <c r="B451" s="7" t="s">
        <v>975</v>
      </c>
    </row>
    <row r="452" spans="1:2" x14ac:dyDescent="0.35">
      <c r="A452" s="7" t="s">
        <v>976</v>
      </c>
      <c r="B452" s="7" t="s">
        <v>977</v>
      </c>
    </row>
    <row r="453" spans="1:2" x14ac:dyDescent="0.35">
      <c r="A453" s="7" t="s">
        <v>978</v>
      </c>
      <c r="B453" s="7" t="s">
        <v>979</v>
      </c>
    </row>
    <row r="454" spans="1:2" x14ac:dyDescent="0.35">
      <c r="A454" s="7" t="s">
        <v>980</v>
      </c>
      <c r="B454" s="7" t="s">
        <v>981</v>
      </c>
    </row>
    <row r="455" spans="1:2" x14ac:dyDescent="0.35">
      <c r="A455" s="7" t="s">
        <v>982</v>
      </c>
      <c r="B455" s="7" t="s">
        <v>983</v>
      </c>
    </row>
    <row r="456" spans="1:2" x14ac:dyDescent="0.35">
      <c r="A456" s="7" t="s">
        <v>984</v>
      </c>
      <c r="B456" s="7" t="s">
        <v>985</v>
      </c>
    </row>
    <row r="457" spans="1:2" x14ac:dyDescent="0.35">
      <c r="A457" s="7" t="s">
        <v>986</v>
      </c>
      <c r="B457" s="7" t="s">
        <v>987</v>
      </c>
    </row>
    <row r="458" spans="1:2" x14ac:dyDescent="0.35">
      <c r="A458" s="7" t="s">
        <v>988</v>
      </c>
      <c r="B458" s="7" t="s">
        <v>989</v>
      </c>
    </row>
    <row r="459" spans="1:2" x14ac:dyDescent="0.35">
      <c r="A459" s="7" t="s">
        <v>990</v>
      </c>
      <c r="B459" s="7" t="s">
        <v>991</v>
      </c>
    </row>
    <row r="460" spans="1:2" x14ac:dyDescent="0.35">
      <c r="A460" s="7" t="s">
        <v>992</v>
      </c>
      <c r="B460" s="7" t="s">
        <v>993</v>
      </c>
    </row>
    <row r="461" spans="1:2" x14ac:dyDescent="0.35">
      <c r="A461" s="7" t="s">
        <v>994</v>
      </c>
      <c r="B461" s="7" t="s">
        <v>995</v>
      </c>
    </row>
    <row r="462" spans="1:2" x14ac:dyDescent="0.35">
      <c r="A462" s="7" t="s">
        <v>996</v>
      </c>
      <c r="B462" s="7" t="s">
        <v>997</v>
      </c>
    </row>
    <row r="463" spans="1:2" x14ac:dyDescent="0.35">
      <c r="A463" s="7" t="s">
        <v>998</v>
      </c>
      <c r="B463" s="7" t="s">
        <v>999</v>
      </c>
    </row>
    <row r="464" spans="1:2" x14ac:dyDescent="0.35">
      <c r="A464" s="7" t="s">
        <v>1000</v>
      </c>
      <c r="B464" s="7" t="s">
        <v>1001</v>
      </c>
    </row>
    <row r="465" spans="1:2" x14ac:dyDescent="0.35">
      <c r="A465" s="7" t="s">
        <v>1002</v>
      </c>
      <c r="B465" s="7" t="s">
        <v>1003</v>
      </c>
    </row>
    <row r="466" spans="1:2" x14ac:dyDescent="0.35">
      <c r="A466" s="7" t="s">
        <v>1004</v>
      </c>
      <c r="B466" s="7" t="s">
        <v>1005</v>
      </c>
    </row>
    <row r="467" spans="1:2" x14ac:dyDescent="0.35">
      <c r="A467" s="7" t="s">
        <v>1006</v>
      </c>
      <c r="B467" s="7" t="s">
        <v>1007</v>
      </c>
    </row>
    <row r="468" spans="1:2" x14ac:dyDescent="0.35">
      <c r="A468" s="7" t="s">
        <v>1008</v>
      </c>
      <c r="B468" s="7" t="s">
        <v>1009</v>
      </c>
    </row>
    <row r="469" spans="1:2" x14ac:dyDescent="0.35">
      <c r="A469" s="7" t="s">
        <v>1010</v>
      </c>
      <c r="B469" s="7" t="s">
        <v>1011</v>
      </c>
    </row>
    <row r="470" spans="1:2" x14ac:dyDescent="0.35">
      <c r="A470" s="7" t="s">
        <v>1012</v>
      </c>
      <c r="B470" s="7" t="s">
        <v>1013</v>
      </c>
    </row>
    <row r="471" spans="1:2" x14ac:dyDescent="0.35">
      <c r="A471" s="7" t="s">
        <v>1014</v>
      </c>
      <c r="B471" s="7" t="s">
        <v>1015</v>
      </c>
    </row>
    <row r="472" spans="1:2" x14ac:dyDescent="0.35">
      <c r="A472" s="7" t="s">
        <v>1016</v>
      </c>
      <c r="B472" s="7" t="s">
        <v>1017</v>
      </c>
    </row>
    <row r="473" spans="1:2" x14ac:dyDescent="0.35">
      <c r="A473" s="7" t="s">
        <v>1018</v>
      </c>
      <c r="B473" s="7" t="s">
        <v>1019</v>
      </c>
    </row>
    <row r="474" spans="1:2" x14ac:dyDescent="0.35">
      <c r="A474" s="7" t="s">
        <v>1020</v>
      </c>
      <c r="B474" s="7" t="s">
        <v>1021</v>
      </c>
    </row>
    <row r="475" spans="1:2" x14ac:dyDescent="0.35">
      <c r="A475" s="7" t="s">
        <v>1022</v>
      </c>
      <c r="B475" s="7" t="s">
        <v>1023</v>
      </c>
    </row>
    <row r="476" spans="1:2" x14ac:dyDescent="0.35">
      <c r="A476" s="7" t="s">
        <v>1024</v>
      </c>
      <c r="B476" s="7" t="s">
        <v>1025</v>
      </c>
    </row>
    <row r="477" spans="1:2" x14ac:dyDescent="0.35">
      <c r="A477" s="7" t="s">
        <v>1026</v>
      </c>
      <c r="B477" s="7" t="s">
        <v>1027</v>
      </c>
    </row>
    <row r="478" spans="1:2" x14ac:dyDescent="0.35">
      <c r="A478" s="7" t="s">
        <v>1028</v>
      </c>
      <c r="B478" s="7" t="s">
        <v>763</v>
      </c>
    </row>
    <row r="479" spans="1:2" x14ac:dyDescent="0.35">
      <c r="A479" s="7" t="s">
        <v>1029</v>
      </c>
      <c r="B479" s="7" t="s">
        <v>1030</v>
      </c>
    </row>
    <row r="480" spans="1:2" x14ac:dyDescent="0.35">
      <c r="A480" s="7" t="s">
        <v>1031</v>
      </c>
      <c r="B480" s="7" t="s">
        <v>1032</v>
      </c>
    </row>
    <row r="481" spans="1:2" x14ac:dyDescent="0.35">
      <c r="A481" s="7" t="s">
        <v>1033</v>
      </c>
      <c r="B481" s="7" t="s">
        <v>1034</v>
      </c>
    </row>
    <row r="482" spans="1:2" x14ac:dyDescent="0.35">
      <c r="A482" s="7" t="s">
        <v>1035</v>
      </c>
      <c r="B482" s="7" t="s">
        <v>1036</v>
      </c>
    </row>
    <row r="483" spans="1:2" x14ac:dyDescent="0.35">
      <c r="A483" s="7" t="s">
        <v>1037</v>
      </c>
      <c r="B483" s="7" t="s">
        <v>1038</v>
      </c>
    </row>
    <row r="484" spans="1:2" x14ac:dyDescent="0.35">
      <c r="A484" s="7" t="s">
        <v>1039</v>
      </c>
      <c r="B484" s="7" t="s">
        <v>1040</v>
      </c>
    </row>
    <row r="485" spans="1:2" x14ac:dyDescent="0.35">
      <c r="A485" s="7" t="s">
        <v>1041</v>
      </c>
      <c r="B485" s="7" t="s">
        <v>1042</v>
      </c>
    </row>
    <row r="486" spans="1:2" x14ac:dyDescent="0.35">
      <c r="A486" s="7" t="s">
        <v>1043</v>
      </c>
      <c r="B486" s="7" t="s">
        <v>1044</v>
      </c>
    </row>
    <row r="487" spans="1:2" x14ac:dyDescent="0.35">
      <c r="A487" s="7" t="s">
        <v>1045</v>
      </c>
      <c r="B487" s="7" t="s">
        <v>1046</v>
      </c>
    </row>
    <row r="488" spans="1:2" x14ac:dyDescent="0.35">
      <c r="A488" s="7" t="s">
        <v>1047</v>
      </c>
      <c r="B488" s="7" t="s">
        <v>1048</v>
      </c>
    </row>
    <row r="489" spans="1:2" x14ac:dyDescent="0.35">
      <c r="A489" s="7" t="s">
        <v>1049</v>
      </c>
      <c r="B489" s="7" t="s">
        <v>1050</v>
      </c>
    </row>
    <row r="490" spans="1:2" x14ac:dyDescent="0.35">
      <c r="A490" s="7" t="s">
        <v>1051</v>
      </c>
      <c r="B490" s="7" t="s">
        <v>1052</v>
      </c>
    </row>
    <row r="491" spans="1:2" x14ac:dyDescent="0.35">
      <c r="A491" s="7" t="s">
        <v>1053</v>
      </c>
      <c r="B491" s="7" t="s">
        <v>1054</v>
      </c>
    </row>
    <row r="492" spans="1:2" x14ac:dyDescent="0.35">
      <c r="A492" s="7" t="s">
        <v>1055</v>
      </c>
      <c r="B492" s="7" t="s">
        <v>1056</v>
      </c>
    </row>
    <row r="493" spans="1:2" x14ac:dyDescent="0.35">
      <c r="A493" s="7" t="s">
        <v>1057</v>
      </c>
      <c r="B493" s="7" t="s">
        <v>1058</v>
      </c>
    </row>
    <row r="494" spans="1:2" x14ac:dyDescent="0.35">
      <c r="A494" s="7" t="s">
        <v>1059</v>
      </c>
      <c r="B494" s="7" t="s">
        <v>1060</v>
      </c>
    </row>
    <row r="495" spans="1:2" x14ac:dyDescent="0.35">
      <c r="A495" s="7" t="s">
        <v>1061</v>
      </c>
      <c r="B495" s="7" t="s">
        <v>1062</v>
      </c>
    </row>
    <row r="496" spans="1:2" x14ac:dyDescent="0.35">
      <c r="A496" s="7" t="s">
        <v>1063</v>
      </c>
      <c r="B496" s="7" t="s">
        <v>1064</v>
      </c>
    </row>
    <row r="497" spans="1:2" x14ac:dyDescent="0.35">
      <c r="A497" s="7" t="s">
        <v>1065</v>
      </c>
      <c r="B497" s="7" t="s">
        <v>1066</v>
      </c>
    </row>
    <row r="498" spans="1:2" x14ac:dyDescent="0.35">
      <c r="A498" s="7" t="s">
        <v>1067</v>
      </c>
      <c r="B498" s="7" t="s">
        <v>1068</v>
      </c>
    </row>
    <row r="499" spans="1:2" x14ac:dyDescent="0.35">
      <c r="A499" s="7" t="s">
        <v>1069</v>
      </c>
      <c r="B499" s="7" t="s">
        <v>1070</v>
      </c>
    </row>
    <row r="500" spans="1:2" x14ac:dyDescent="0.35">
      <c r="A500" s="7" t="s">
        <v>1071</v>
      </c>
      <c r="B500" s="7" t="s">
        <v>1072</v>
      </c>
    </row>
    <row r="501" spans="1:2" x14ac:dyDescent="0.35">
      <c r="A501" s="7" t="s">
        <v>1073</v>
      </c>
      <c r="B501" s="7" t="s">
        <v>1074</v>
      </c>
    </row>
    <row r="502" spans="1:2" x14ac:dyDescent="0.35">
      <c r="A502" s="7" t="s">
        <v>1075</v>
      </c>
      <c r="B502" s="7" t="s">
        <v>1076</v>
      </c>
    </row>
    <row r="503" spans="1:2" x14ac:dyDescent="0.35">
      <c r="A503" s="7" t="s">
        <v>1077</v>
      </c>
      <c r="B503" s="7" t="s">
        <v>1078</v>
      </c>
    </row>
    <row r="504" spans="1:2" x14ac:dyDescent="0.35">
      <c r="A504" s="7" t="s">
        <v>1079</v>
      </c>
      <c r="B504" s="7" t="s">
        <v>1080</v>
      </c>
    </row>
    <row r="505" spans="1:2" x14ac:dyDescent="0.35">
      <c r="A505" s="7" t="s">
        <v>1081</v>
      </c>
      <c r="B505" s="7" t="s">
        <v>1082</v>
      </c>
    </row>
    <row r="506" spans="1:2" x14ac:dyDescent="0.35">
      <c r="A506" s="7" t="s">
        <v>1083</v>
      </c>
      <c r="B506" s="7" t="s">
        <v>1084</v>
      </c>
    </row>
    <row r="507" spans="1:2" x14ac:dyDescent="0.35">
      <c r="A507" s="7" t="s">
        <v>1085</v>
      </c>
      <c r="B507" s="7" t="s">
        <v>1086</v>
      </c>
    </row>
    <row r="508" spans="1:2" x14ac:dyDescent="0.35">
      <c r="A508" s="7" t="s">
        <v>1087</v>
      </c>
      <c r="B508" s="7" t="s">
        <v>1088</v>
      </c>
    </row>
    <row r="509" spans="1:2" x14ac:dyDescent="0.35">
      <c r="A509" s="7" t="s">
        <v>1089</v>
      </c>
      <c r="B509" s="7" t="s">
        <v>1090</v>
      </c>
    </row>
    <row r="510" spans="1:2" x14ac:dyDescent="0.35">
      <c r="A510" s="7" t="s">
        <v>1091</v>
      </c>
      <c r="B510" s="7" t="s">
        <v>1092</v>
      </c>
    </row>
    <row r="511" spans="1:2" x14ac:dyDescent="0.35">
      <c r="A511" s="7" t="s">
        <v>1093</v>
      </c>
      <c r="B511" s="7" t="s">
        <v>1094</v>
      </c>
    </row>
    <row r="512" spans="1:2" x14ac:dyDescent="0.35">
      <c r="A512" s="7" t="s">
        <v>1095</v>
      </c>
      <c r="B512" s="7" t="s">
        <v>1096</v>
      </c>
    </row>
    <row r="513" spans="1:2" x14ac:dyDescent="0.35">
      <c r="A513" s="7" t="s">
        <v>1097</v>
      </c>
      <c r="B513" s="7" t="s">
        <v>1098</v>
      </c>
    </row>
    <row r="514" spans="1:2" x14ac:dyDescent="0.35">
      <c r="A514" s="7" t="s">
        <v>1099</v>
      </c>
      <c r="B514" s="7" t="s">
        <v>1100</v>
      </c>
    </row>
    <row r="515" spans="1:2" x14ac:dyDescent="0.35">
      <c r="A515" s="7" t="s">
        <v>1101</v>
      </c>
      <c r="B515" s="7" t="s">
        <v>1102</v>
      </c>
    </row>
    <row r="516" spans="1:2" x14ac:dyDescent="0.35">
      <c r="A516" s="7" t="s">
        <v>1103</v>
      </c>
      <c r="B516" s="7" t="s">
        <v>630</v>
      </c>
    </row>
    <row r="517" spans="1:2" x14ac:dyDescent="0.35">
      <c r="A517" s="7" t="s">
        <v>1104</v>
      </c>
      <c r="B517" s="7" t="s">
        <v>1105</v>
      </c>
    </row>
    <row r="518" spans="1:2" x14ac:dyDescent="0.35">
      <c r="A518" s="7" t="s">
        <v>1106</v>
      </c>
      <c r="B518" s="7" t="s">
        <v>1107</v>
      </c>
    </row>
    <row r="519" spans="1:2" x14ac:dyDescent="0.35">
      <c r="A519" s="7" t="s">
        <v>1108</v>
      </c>
      <c r="B519" s="7" t="s">
        <v>1109</v>
      </c>
    </row>
    <row r="520" spans="1:2" x14ac:dyDescent="0.35">
      <c r="A520" s="7" t="s">
        <v>1110</v>
      </c>
      <c r="B520" s="7" t="s">
        <v>1111</v>
      </c>
    </row>
    <row r="521" spans="1:2" x14ac:dyDescent="0.35">
      <c r="A521" s="7" t="s">
        <v>1112</v>
      </c>
      <c r="B521" s="7" t="s">
        <v>1113</v>
      </c>
    </row>
    <row r="522" spans="1:2" x14ac:dyDescent="0.35">
      <c r="A522" s="7" t="s">
        <v>1114</v>
      </c>
      <c r="B522" s="7" t="s">
        <v>1115</v>
      </c>
    </row>
    <row r="523" spans="1:2" x14ac:dyDescent="0.35">
      <c r="A523" s="7" t="s">
        <v>1116</v>
      </c>
      <c r="B523" s="7" t="s">
        <v>1117</v>
      </c>
    </row>
    <row r="524" spans="1:2" x14ac:dyDescent="0.35">
      <c r="A524" s="7" t="s">
        <v>1118</v>
      </c>
      <c r="B524" s="7" t="s">
        <v>256</v>
      </c>
    </row>
    <row r="525" spans="1:2" x14ac:dyDescent="0.35">
      <c r="A525" s="7" t="s">
        <v>1119</v>
      </c>
      <c r="B525" s="7" t="s">
        <v>1120</v>
      </c>
    </row>
    <row r="526" spans="1:2" x14ac:dyDescent="0.35">
      <c r="A526" s="7" t="s">
        <v>1121</v>
      </c>
      <c r="B526" s="7" t="s">
        <v>1122</v>
      </c>
    </row>
    <row r="527" spans="1:2" x14ac:dyDescent="0.35">
      <c r="A527" s="7" t="s">
        <v>1123</v>
      </c>
      <c r="B527" s="7" t="s">
        <v>1124</v>
      </c>
    </row>
    <row r="528" spans="1:2" x14ac:dyDescent="0.35">
      <c r="A528" s="7" t="s">
        <v>1125</v>
      </c>
      <c r="B528" s="7" t="s">
        <v>1126</v>
      </c>
    </row>
    <row r="529" spans="1:2" x14ac:dyDescent="0.35">
      <c r="A529" s="7" t="s">
        <v>1127</v>
      </c>
      <c r="B529" s="7" t="s">
        <v>1128</v>
      </c>
    </row>
    <row r="530" spans="1:2" x14ac:dyDescent="0.35">
      <c r="A530" s="7" t="s">
        <v>1129</v>
      </c>
      <c r="B530" s="7" t="s">
        <v>1130</v>
      </c>
    </row>
    <row r="531" spans="1:2" x14ac:dyDescent="0.35">
      <c r="A531" s="7" t="s">
        <v>1131</v>
      </c>
      <c r="B531" s="7" t="s">
        <v>1132</v>
      </c>
    </row>
    <row r="532" spans="1:2" x14ac:dyDescent="0.35">
      <c r="A532" s="7" t="s">
        <v>1133</v>
      </c>
      <c r="B532" s="7" t="s">
        <v>1134</v>
      </c>
    </row>
    <row r="533" spans="1:2" x14ac:dyDescent="0.35">
      <c r="A533" s="7" t="s">
        <v>1135</v>
      </c>
      <c r="B533" s="7" t="s">
        <v>1136</v>
      </c>
    </row>
    <row r="534" spans="1:2" x14ac:dyDescent="0.35">
      <c r="A534" s="7" t="s">
        <v>1137</v>
      </c>
      <c r="B534" s="7" t="s">
        <v>1138</v>
      </c>
    </row>
    <row r="535" spans="1:2" x14ac:dyDescent="0.35">
      <c r="A535" s="7" t="s">
        <v>1139</v>
      </c>
      <c r="B535" s="7" t="s">
        <v>1140</v>
      </c>
    </row>
    <row r="536" spans="1:2" x14ac:dyDescent="0.35">
      <c r="A536" s="7" t="s">
        <v>1141</v>
      </c>
      <c r="B536" s="7" t="s">
        <v>1142</v>
      </c>
    </row>
    <row r="537" spans="1:2" x14ac:dyDescent="0.35">
      <c r="A537" s="7" t="s">
        <v>1143</v>
      </c>
      <c r="B537" s="7" t="s">
        <v>248</v>
      </c>
    </row>
    <row r="538" spans="1:2" x14ac:dyDescent="0.35">
      <c r="A538" s="7" t="s">
        <v>1144</v>
      </c>
      <c r="B538" s="7" t="s">
        <v>1145</v>
      </c>
    </row>
    <row r="539" spans="1:2" x14ac:dyDescent="0.35">
      <c r="A539" s="7" t="s">
        <v>1146</v>
      </c>
      <c r="B539" s="7" t="s">
        <v>1147</v>
      </c>
    </row>
    <row r="540" spans="1:2" x14ac:dyDescent="0.35">
      <c r="A540" s="7" t="s">
        <v>1148</v>
      </c>
      <c r="B540" s="7" t="s">
        <v>1149</v>
      </c>
    </row>
    <row r="541" spans="1:2" x14ac:dyDescent="0.35">
      <c r="A541" s="7" t="s">
        <v>1150</v>
      </c>
      <c r="B541" s="7" t="s">
        <v>1151</v>
      </c>
    </row>
    <row r="542" spans="1:2" x14ac:dyDescent="0.35">
      <c r="A542" s="7" t="s">
        <v>1152</v>
      </c>
      <c r="B542" s="7" t="s">
        <v>1153</v>
      </c>
    </row>
    <row r="543" spans="1:2" x14ac:dyDescent="0.35">
      <c r="A543" s="7" t="s">
        <v>1154</v>
      </c>
      <c r="B543" s="7" t="s">
        <v>1155</v>
      </c>
    </row>
    <row r="544" spans="1:2" x14ac:dyDescent="0.35">
      <c r="A544" s="7" t="s">
        <v>1156</v>
      </c>
      <c r="B544" s="7" t="s">
        <v>1157</v>
      </c>
    </row>
    <row r="545" spans="1:2" x14ac:dyDescent="0.35">
      <c r="A545" s="7" t="s">
        <v>1158</v>
      </c>
      <c r="B545" s="7" t="s">
        <v>1159</v>
      </c>
    </row>
    <row r="546" spans="1:2" x14ac:dyDescent="0.35">
      <c r="A546" s="7" t="s">
        <v>1160</v>
      </c>
      <c r="B546" s="7" t="s">
        <v>943</v>
      </c>
    </row>
    <row r="547" spans="1:2" x14ac:dyDescent="0.35">
      <c r="A547" s="7" t="s">
        <v>1161</v>
      </c>
      <c r="B547" s="7" t="s">
        <v>1162</v>
      </c>
    </row>
    <row r="548" spans="1:2" x14ac:dyDescent="0.35">
      <c r="A548" s="7" t="s">
        <v>1163</v>
      </c>
      <c r="B548" s="7" t="s">
        <v>1164</v>
      </c>
    </row>
    <row r="549" spans="1:2" x14ac:dyDescent="0.35">
      <c r="A549" s="7" t="s">
        <v>1165</v>
      </c>
      <c r="B549" s="7" t="s">
        <v>1166</v>
      </c>
    </row>
    <row r="550" spans="1:2" x14ac:dyDescent="0.35">
      <c r="A550" s="7" t="s">
        <v>1167</v>
      </c>
      <c r="B550" s="7" t="s">
        <v>258</v>
      </c>
    </row>
    <row r="551" spans="1:2" x14ac:dyDescent="0.35">
      <c r="A551" s="7" t="s">
        <v>1168</v>
      </c>
      <c r="B551" s="7" t="s">
        <v>1169</v>
      </c>
    </row>
    <row r="552" spans="1:2" x14ac:dyDescent="0.35">
      <c r="A552" s="7" t="s">
        <v>1170</v>
      </c>
      <c r="B552" s="7" t="s">
        <v>1171</v>
      </c>
    </row>
    <row r="553" spans="1:2" x14ac:dyDescent="0.35">
      <c r="A553" s="7" t="s">
        <v>1172</v>
      </c>
      <c r="B553" s="7" t="s">
        <v>1173</v>
      </c>
    </row>
    <row r="554" spans="1:2" x14ac:dyDescent="0.35">
      <c r="A554" s="7" t="s">
        <v>1174</v>
      </c>
      <c r="B554" s="7" t="s">
        <v>1175</v>
      </c>
    </row>
    <row r="555" spans="1:2" x14ac:dyDescent="0.35">
      <c r="A555" s="7" t="s">
        <v>1176</v>
      </c>
      <c r="B555" s="7" t="s">
        <v>1177</v>
      </c>
    </row>
    <row r="556" spans="1:2" x14ac:dyDescent="0.35">
      <c r="A556" s="7" t="s">
        <v>1178</v>
      </c>
      <c r="B556" s="7" t="s">
        <v>1179</v>
      </c>
    </row>
    <row r="557" spans="1:2" x14ac:dyDescent="0.35">
      <c r="A557" s="7" t="s">
        <v>1180</v>
      </c>
      <c r="B557" s="7" t="s">
        <v>1181</v>
      </c>
    </row>
    <row r="558" spans="1:2" x14ac:dyDescent="0.35">
      <c r="A558" s="7" t="s">
        <v>1182</v>
      </c>
      <c r="B558" s="7" t="s">
        <v>1183</v>
      </c>
    </row>
    <row r="559" spans="1:2" x14ac:dyDescent="0.35">
      <c r="A559" s="7" t="s">
        <v>1184</v>
      </c>
      <c r="B559" s="7" t="s">
        <v>1185</v>
      </c>
    </row>
    <row r="560" spans="1:2" x14ac:dyDescent="0.35">
      <c r="A560" s="7" t="s">
        <v>1186</v>
      </c>
      <c r="B560" s="7" t="s">
        <v>1187</v>
      </c>
    </row>
    <row r="561" spans="1:2" x14ac:dyDescent="0.35">
      <c r="A561" s="7" t="s">
        <v>1188</v>
      </c>
      <c r="B561" s="7" t="s">
        <v>1189</v>
      </c>
    </row>
    <row r="562" spans="1:2" x14ac:dyDescent="0.35">
      <c r="A562" s="7" t="s">
        <v>1190</v>
      </c>
      <c r="B562" s="7" t="s">
        <v>1191</v>
      </c>
    </row>
    <row r="563" spans="1:2" x14ac:dyDescent="0.35">
      <c r="A563" s="7" t="s">
        <v>1192</v>
      </c>
      <c r="B563" s="7" t="s">
        <v>1193</v>
      </c>
    </row>
    <row r="564" spans="1:2" x14ac:dyDescent="0.35">
      <c r="A564" s="7" t="s">
        <v>1194</v>
      </c>
      <c r="B564" s="7" t="s">
        <v>1195</v>
      </c>
    </row>
    <row r="565" spans="1:2" x14ac:dyDescent="0.35">
      <c r="A565" s="7" t="s">
        <v>1196</v>
      </c>
      <c r="B565" s="7" t="s">
        <v>1197</v>
      </c>
    </row>
    <row r="566" spans="1:2" x14ac:dyDescent="0.35">
      <c r="A566" s="7" t="s">
        <v>1198</v>
      </c>
      <c r="B566" s="7" t="s">
        <v>1199</v>
      </c>
    </row>
    <row r="567" spans="1:2" x14ac:dyDescent="0.35">
      <c r="A567" s="7" t="s">
        <v>1200</v>
      </c>
      <c r="B567" s="7" t="s">
        <v>1201</v>
      </c>
    </row>
    <row r="568" spans="1:2" x14ac:dyDescent="0.35">
      <c r="A568" s="7" t="s">
        <v>1202</v>
      </c>
      <c r="B568" s="7" t="s">
        <v>1203</v>
      </c>
    </row>
    <row r="569" spans="1:2" x14ac:dyDescent="0.35">
      <c r="A569" s="7" t="s">
        <v>1204</v>
      </c>
      <c r="B569" s="7" t="s">
        <v>1205</v>
      </c>
    </row>
    <row r="570" spans="1:2" x14ac:dyDescent="0.35">
      <c r="A570" s="7" t="s">
        <v>1206</v>
      </c>
      <c r="B570" s="7" t="s">
        <v>1207</v>
      </c>
    </row>
    <row r="571" spans="1:2" x14ac:dyDescent="0.35">
      <c r="A571" s="7" t="s">
        <v>1208</v>
      </c>
      <c r="B571" s="7" t="s">
        <v>1209</v>
      </c>
    </row>
    <row r="572" spans="1:2" x14ac:dyDescent="0.35">
      <c r="A572" s="7" t="s">
        <v>1210</v>
      </c>
      <c r="B572" s="7" t="s">
        <v>1211</v>
      </c>
    </row>
    <row r="573" spans="1:2" x14ac:dyDescent="0.35">
      <c r="A573" s="7" t="s">
        <v>1212</v>
      </c>
      <c r="B573" s="7" t="s">
        <v>1213</v>
      </c>
    </row>
    <row r="574" spans="1:2" x14ac:dyDescent="0.35">
      <c r="A574" s="7" t="s">
        <v>1214</v>
      </c>
      <c r="B574" s="7" t="s">
        <v>1215</v>
      </c>
    </row>
    <row r="575" spans="1:2" x14ac:dyDescent="0.35">
      <c r="A575" s="7" t="s">
        <v>1216</v>
      </c>
      <c r="B575" s="7" t="s">
        <v>1217</v>
      </c>
    </row>
    <row r="576" spans="1:2" x14ac:dyDescent="0.35">
      <c r="A576" s="7" t="s">
        <v>1218</v>
      </c>
      <c r="B576" s="7" t="s">
        <v>1219</v>
      </c>
    </row>
    <row r="577" spans="1:2" x14ac:dyDescent="0.35">
      <c r="A577" s="7" t="s">
        <v>1220</v>
      </c>
      <c r="B577" s="7" t="s">
        <v>1221</v>
      </c>
    </row>
    <row r="578" spans="1:2" x14ac:dyDescent="0.35">
      <c r="A578" s="7" t="s">
        <v>1222</v>
      </c>
      <c r="B578" s="7" t="s">
        <v>1223</v>
      </c>
    </row>
    <row r="579" spans="1:2" x14ac:dyDescent="0.35">
      <c r="A579" s="7" t="s">
        <v>1224</v>
      </c>
      <c r="B579" s="7" t="s">
        <v>1225</v>
      </c>
    </row>
    <row r="580" spans="1:2" x14ac:dyDescent="0.35">
      <c r="A580" s="7" t="s">
        <v>1226</v>
      </c>
      <c r="B580" s="7" t="s">
        <v>1227</v>
      </c>
    </row>
    <row r="581" spans="1:2" x14ac:dyDescent="0.35">
      <c r="A581" s="7" t="s">
        <v>1228</v>
      </c>
      <c r="B581" s="7" t="s">
        <v>1229</v>
      </c>
    </row>
    <row r="582" spans="1:2" x14ac:dyDescent="0.35">
      <c r="A582" s="7" t="s">
        <v>1230</v>
      </c>
      <c r="B582" s="7" t="s">
        <v>1231</v>
      </c>
    </row>
    <row r="583" spans="1:2" x14ac:dyDescent="0.35">
      <c r="A583" s="7" t="s">
        <v>1232</v>
      </c>
      <c r="B583" s="7" t="s">
        <v>1233</v>
      </c>
    </row>
    <row r="584" spans="1:2" x14ac:dyDescent="0.35">
      <c r="A584" s="7" t="s">
        <v>1234</v>
      </c>
      <c r="B584" s="7" t="s">
        <v>1235</v>
      </c>
    </row>
    <row r="585" spans="1:2" x14ac:dyDescent="0.35">
      <c r="A585" s="7" t="s">
        <v>1236</v>
      </c>
      <c r="B585" s="7" t="s">
        <v>1237</v>
      </c>
    </row>
    <row r="586" spans="1:2" x14ac:dyDescent="0.35">
      <c r="A586" s="7" t="s">
        <v>1238</v>
      </c>
      <c r="B586" s="7" t="s">
        <v>1239</v>
      </c>
    </row>
    <row r="587" spans="1:2" x14ac:dyDescent="0.35">
      <c r="A587" s="7" t="s">
        <v>1240</v>
      </c>
      <c r="B587" s="7" t="s">
        <v>1241</v>
      </c>
    </row>
    <row r="588" spans="1:2" x14ac:dyDescent="0.35">
      <c r="A588" s="7" t="s">
        <v>1242</v>
      </c>
      <c r="B588" s="7" t="s">
        <v>1243</v>
      </c>
    </row>
    <row r="589" spans="1:2" x14ac:dyDescent="0.35">
      <c r="A589" s="7" t="s">
        <v>1244</v>
      </c>
      <c r="B589" s="7" t="s">
        <v>1245</v>
      </c>
    </row>
    <row r="590" spans="1:2" x14ac:dyDescent="0.35">
      <c r="A590" s="7" t="s">
        <v>1246</v>
      </c>
      <c r="B590" s="7" t="s">
        <v>1247</v>
      </c>
    </row>
    <row r="591" spans="1:2" x14ac:dyDescent="0.35">
      <c r="A591" s="7" t="s">
        <v>1248</v>
      </c>
      <c r="B591" s="7" t="s">
        <v>1249</v>
      </c>
    </row>
    <row r="592" spans="1:2" x14ac:dyDescent="0.35">
      <c r="A592" s="7" t="s">
        <v>1250</v>
      </c>
      <c r="B592" s="7" t="s">
        <v>1251</v>
      </c>
    </row>
    <row r="593" spans="1:2" x14ac:dyDescent="0.35">
      <c r="A593" s="7" t="s">
        <v>1252</v>
      </c>
      <c r="B593" s="7" t="s">
        <v>1253</v>
      </c>
    </row>
    <row r="594" spans="1:2" x14ac:dyDescent="0.35">
      <c r="A594" s="7" t="s">
        <v>1254</v>
      </c>
      <c r="B594" s="7" t="s">
        <v>1255</v>
      </c>
    </row>
    <row r="595" spans="1:2" x14ac:dyDescent="0.35">
      <c r="A595" s="7" t="s">
        <v>1256</v>
      </c>
      <c r="B595" s="7" t="s">
        <v>1257</v>
      </c>
    </row>
    <row r="596" spans="1:2" x14ac:dyDescent="0.35">
      <c r="A596" s="7" t="s">
        <v>1258</v>
      </c>
      <c r="B596" s="7" t="s">
        <v>1259</v>
      </c>
    </row>
    <row r="597" spans="1:2" x14ac:dyDescent="0.35">
      <c r="A597" s="7" t="s">
        <v>1260</v>
      </c>
      <c r="B597" s="7" t="s">
        <v>1261</v>
      </c>
    </row>
    <row r="598" spans="1:2" x14ac:dyDescent="0.35">
      <c r="A598" s="7" t="s">
        <v>1262</v>
      </c>
      <c r="B598" s="7" t="s">
        <v>1263</v>
      </c>
    </row>
    <row r="599" spans="1:2" x14ac:dyDescent="0.35">
      <c r="A599" s="7" t="s">
        <v>1264</v>
      </c>
      <c r="B599" s="7" t="s">
        <v>1265</v>
      </c>
    </row>
    <row r="600" spans="1:2" x14ac:dyDescent="0.35">
      <c r="A600" s="7" t="s">
        <v>1266</v>
      </c>
      <c r="B600" s="7" t="s">
        <v>1267</v>
      </c>
    </row>
    <row r="601" spans="1:2" x14ac:dyDescent="0.35">
      <c r="A601" s="7" t="s">
        <v>1268</v>
      </c>
      <c r="B601" s="7" t="s">
        <v>1269</v>
      </c>
    </row>
    <row r="602" spans="1:2" x14ac:dyDescent="0.35">
      <c r="A602" s="7" t="s">
        <v>1270</v>
      </c>
      <c r="B602" s="7" t="s">
        <v>1271</v>
      </c>
    </row>
    <row r="603" spans="1:2" x14ac:dyDescent="0.35">
      <c r="A603" s="7" t="s">
        <v>1272</v>
      </c>
      <c r="B603" s="7" t="s">
        <v>1273</v>
      </c>
    </row>
    <row r="604" spans="1:2" x14ac:dyDescent="0.35">
      <c r="A604" s="7" t="s">
        <v>1274</v>
      </c>
      <c r="B604" s="7" t="s">
        <v>1275</v>
      </c>
    </row>
    <row r="605" spans="1:2" x14ac:dyDescent="0.35">
      <c r="A605" s="7" t="s">
        <v>1276</v>
      </c>
      <c r="B605" s="7" t="s">
        <v>1277</v>
      </c>
    </row>
    <row r="606" spans="1:2" x14ac:dyDescent="0.35">
      <c r="A606" s="7" t="s">
        <v>1278</v>
      </c>
      <c r="B606" s="7" t="s">
        <v>1279</v>
      </c>
    </row>
    <row r="607" spans="1:2" x14ac:dyDescent="0.35">
      <c r="A607" s="7" t="s">
        <v>1280</v>
      </c>
      <c r="B607" s="7" t="s">
        <v>1281</v>
      </c>
    </row>
    <row r="608" spans="1:2" x14ac:dyDescent="0.35">
      <c r="A608" s="7" t="s">
        <v>1282</v>
      </c>
      <c r="B608" s="7" t="s">
        <v>1283</v>
      </c>
    </row>
    <row r="609" spans="1:2" x14ac:dyDescent="0.35">
      <c r="A609" s="7" t="s">
        <v>1284</v>
      </c>
      <c r="B609" s="7" t="s">
        <v>1285</v>
      </c>
    </row>
    <row r="610" spans="1:2" x14ac:dyDescent="0.35">
      <c r="A610" s="7" t="s">
        <v>1286</v>
      </c>
      <c r="B610" s="7" t="s">
        <v>1287</v>
      </c>
    </row>
    <row r="611" spans="1:2" x14ac:dyDescent="0.35">
      <c r="A611" s="7" t="s">
        <v>1288</v>
      </c>
      <c r="B611" s="7" t="s">
        <v>1289</v>
      </c>
    </row>
    <row r="612" spans="1:2" x14ac:dyDescent="0.35">
      <c r="A612" s="7" t="s">
        <v>1290</v>
      </c>
      <c r="B612" s="7" t="s">
        <v>1291</v>
      </c>
    </row>
    <row r="613" spans="1:2" x14ac:dyDescent="0.35">
      <c r="A613" s="7" t="s">
        <v>1292</v>
      </c>
      <c r="B613" s="7" t="s">
        <v>1293</v>
      </c>
    </row>
    <row r="614" spans="1:2" x14ac:dyDescent="0.35">
      <c r="A614" s="7" t="s">
        <v>1294</v>
      </c>
      <c r="B614" s="7" t="s">
        <v>1295</v>
      </c>
    </row>
    <row r="615" spans="1:2" x14ac:dyDescent="0.35">
      <c r="A615" s="7" t="s">
        <v>1296</v>
      </c>
      <c r="B615" s="7" t="s">
        <v>236</v>
      </c>
    </row>
    <row r="616" spans="1:2" x14ac:dyDescent="0.35">
      <c r="A616" s="7" t="s">
        <v>1297</v>
      </c>
      <c r="B616" s="7" t="s">
        <v>1298</v>
      </c>
    </row>
    <row r="617" spans="1:2" x14ac:dyDescent="0.35">
      <c r="A617" s="7" t="s">
        <v>1299</v>
      </c>
      <c r="B617" s="7" t="s">
        <v>1300</v>
      </c>
    </row>
    <row r="618" spans="1:2" x14ac:dyDescent="0.35">
      <c r="A618" s="7" t="s">
        <v>1301</v>
      </c>
      <c r="B618" s="7" t="s">
        <v>1302</v>
      </c>
    </row>
    <row r="619" spans="1:2" x14ac:dyDescent="0.35">
      <c r="A619" s="7" t="s">
        <v>1303</v>
      </c>
      <c r="B619" s="7" t="s">
        <v>1304</v>
      </c>
    </row>
    <row r="620" spans="1:2" x14ac:dyDescent="0.35">
      <c r="A620" s="7" t="s">
        <v>1305</v>
      </c>
      <c r="B620" s="7" t="s">
        <v>1306</v>
      </c>
    </row>
    <row r="621" spans="1:2" x14ac:dyDescent="0.35">
      <c r="A621" s="7" t="s">
        <v>1307</v>
      </c>
      <c r="B621" s="7" t="s">
        <v>316</v>
      </c>
    </row>
    <row r="622" spans="1:2" x14ac:dyDescent="0.35">
      <c r="A622" s="7" t="s">
        <v>1308</v>
      </c>
      <c r="B622" s="7" t="s">
        <v>1309</v>
      </c>
    </row>
    <row r="623" spans="1:2" x14ac:dyDescent="0.35">
      <c r="A623" s="7" t="s">
        <v>1310</v>
      </c>
      <c r="B623" s="7" t="s">
        <v>1311</v>
      </c>
    </row>
    <row r="624" spans="1:2" x14ac:dyDescent="0.35">
      <c r="A624" s="7" t="s">
        <v>1312</v>
      </c>
      <c r="B624" s="7" t="s">
        <v>1313</v>
      </c>
    </row>
    <row r="625" spans="1:2" x14ac:dyDescent="0.35">
      <c r="A625" s="7" t="s">
        <v>1314</v>
      </c>
      <c r="B625" s="7" t="s">
        <v>1315</v>
      </c>
    </row>
    <row r="626" spans="1:2" x14ac:dyDescent="0.35">
      <c r="A626" s="7" t="s">
        <v>1316</v>
      </c>
      <c r="B626" s="7" t="s">
        <v>1317</v>
      </c>
    </row>
    <row r="627" spans="1:2" x14ac:dyDescent="0.35">
      <c r="A627" s="7" t="s">
        <v>1318</v>
      </c>
      <c r="B627" s="7" t="s">
        <v>1319</v>
      </c>
    </row>
    <row r="628" spans="1:2" x14ac:dyDescent="0.35">
      <c r="A628" s="7" t="s">
        <v>1320</v>
      </c>
      <c r="B628" s="7" t="s">
        <v>1321</v>
      </c>
    </row>
    <row r="629" spans="1:2" x14ac:dyDescent="0.35">
      <c r="A629" s="7" t="s">
        <v>1322</v>
      </c>
      <c r="B629" s="7" t="s">
        <v>1323</v>
      </c>
    </row>
    <row r="630" spans="1:2" x14ac:dyDescent="0.35">
      <c r="A630" s="7" t="s">
        <v>1324</v>
      </c>
      <c r="B630" s="7" t="s">
        <v>1325</v>
      </c>
    </row>
    <row r="631" spans="1:2" x14ac:dyDescent="0.35">
      <c r="A631" s="7" t="s">
        <v>1326</v>
      </c>
      <c r="B631" s="7" t="s">
        <v>1327</v>
      </c>
    </row>
    <row r="632" spans="1:2" x14ac:dyDescent="0.35">
      <c r="A632" s="7" t="s">
        <v>1328</v>
      </c>
      <c r="B632" s="7" t="s">
        <v>1329</v>
      </c>
    </row>
    <row r="633" spans="1:2" x14ac:dyDescent="0.35">
      <c r="A633" s="7" t="s">
        <v>1330</v>
      </c>
      <c r="B633" s="7" t="s">
        <v>1331</v>
      </c>
    </row>
    <row r="634" spans="1:2" x14ac:dyDescent="0.35">
      <c r="A634" s="7" t="s">
        <v>1332</v>
      </c>
      <c r="B634" s="7" t="s">
        <v>1333</v>
      </c>
    </row>
    <row r="635" spans="1:2" x14ac:dyDescent="0.35">
      <c r="A635" s="7" t="s">
        <v>1334</v>
      </c>
      <c r="B635" s="7" t="s">
        <v>1335</v>
      </c>
    </row>
    <row r="636" spans="1:2" x14ac:dyDescent="0.35">
      <c r="A636" s="7" t="s">
        <v>1336</v>
      </c>
      <c r="B636" s="7" t="s">
        <v>1337</v>
      </c>
    </row>
    <row r="637" spans="1:2" x14ac:dyDescent="0.35">
      <c r="A637" s="7" t="s">
        <v>1338</v>
      </c>
      <c r="B637" s="7" t="s">
        <v>1339</v>
      </c>
    </row>
    <row r="638" spans="1:2" x14ac:dyDescent="0.35">
      <c r="A638" s="7" t="s">
        <v>1340</v>
      </c>
      <c r="B638" s="7" t="s">
        <v>1341</v>
      </c>
    </row>
    <row r="639" spans="1:2" x14ac:dyDescent="0.35">
      <c r="A639" s="7" t="s">
        <v>1342</v>
      </c>
      <c r="B639" s="7" t="s">
        <v>1343</v>
      </c>
    </row>
    <row r="640" spans="1:2" x14ac:dyDescent="0.35">
      <c r="A640" s="7" t="s">
        <v>1344</v>
      </c>
      <c r="B640" s="7" t="s">
        <v>1345</v>
      </c>
    </row>
    <row r="641" spans="1:2" x14ac:dyDescent="0.35">
      <c r="A641" s="7" t="s">
        <v>1346</v>
      </c>
      <c r="B641" s="7" t="s">
        <v>1347</v>
      </c>
    </row>
    <row r="642" spans="1:2" x14ac:dyDescent="0.35">
      <c r="A642" s="7" t="s">
        <v>1348</v>
      </c>
      <c r="B642" s="7" t="s">
        <v>1349</v>
      </c>
    </row>
    <row r="643" spans="1:2" x14ac:dyDescent="0.35">
      <c r="A643" s="7" t="s">
        <v>1350</v>
      </c>
      <c r="B643" s="7" t="s">
        <v>1351</v>
      </c>
    </row>
    <row r="644" spans="1:2" x14ac:dyDescent="0.35">
      <c r="A644" s="7" t="s">
        <v>1352</v>
      </c>
      <c r="B644" s="7" t="s">
        <v>1353</v>
      </c>
    </row>
    <row r="645" spans="1:2" x14ac:dyDescent="0.35">
      <c r="A645" s="7" t="s">
        <v>1354</v>
      </c>
      <c r="B645" s="7" t="s">
        <v>1355</v>
      </c>
    </row>
    <row r="646" spans="1:2" x14ac:dyDescent="0.35">
      <c r="A646" s="7" t="s">
        <v>1356</v>
      </c>
      <c r="B646" s="7" t="s">
        <v>1357</v>
      </c>
    </row>
    <row r="647" spans="1:2" x14ac:dyDescent="0.35">
      <c r="A647" s="7" t="s">
        <v>1358</v>
      </c>
      <c r="B647" s="7" t="s">
        <v>1359</v>
      </c>
    </row>
    <row r="648" spans="1:2" x14ac:dyDescent="0.35">
      <c r="A648" s="7" t="s">
        <v>1360</v>
      </c>
      <c r="B648" s="7" t="s">
        <v>1361</v>
      </c>
    </row>
    <row r="649" spans="1:2" x14ac:dyDescent="0.35">
      <c r="A649" s="7" t="s">
        <v>1362</v>
      </c>
      <c r="B649" s="7" t="s">
        <v>384</v>
      </c>
    </row>
    <row r="650" spans="1:2" x14ac:dyDescent="0.35">
      <c r="A650" s="7" t="s">
        <v>1363</v>
      </c>
      <c r="B650" s="7" t="s">
        <v>1364</v>
      </c>
    </row>
    <row r="651" spans="1:2" x14ac:dyDescent="0.35">
      <c r="A651" s="7" t="s">
        <v>1365</v>
      </c>
      <c r="B651" s="7" t="s">
        <v>441</v>
      </c>
    </row>
    <row r="652" spans="1:2" x14ac:dyDescent="0.35">
      <c r="A652" s="7" t="s">
        <v>1366</v>
      </c>
      <c r="B652" s="7" t="s">
        <v>1367</v>
      </c>
    </row>
    <row r="653" spans="1:2" x14ac:dyDescent="0.35">
      <c r="A653" s="7" t="s">
        <v>1368</v>
      </c>
      <c r="B653" s="7" t="s">
        <v>571</v>
      </c>
    </row>
    <row r="654" spans="1:2" x14ac:dyDescent="0.35">
      <c r="A654" s="7" t="s">
        <v>1369</v>
      </c>
      <c r="B654" s="7" t="s">
        <v>1370</v>
      </c>
    </row>
    <row r="655" spans="1:2" x14ac:dyDescent="0.35">
      <c r="A655" s="7" t="s">
        <v>1371</v>
      </c>
      <c r="B655" s="7" t="s">
        <v>1372</v>
      </c>
    </row>
    <row r="656" spans="1:2" x14ac:dyDescent="0.35">
      <c r="A656" s="7" t="s">
        <v>1373</v>
      </c>
      <c r="B656" s="7" t="s">
        <v>1374</v>
      </c>
    </row>
    <row r="657" spans="1:2" x14ac:dyDescent="0.35">
      <c r="A657" s="7" t="s">
        <v>1375</v>
      </c>
      <c r="B657" s="7" t="s">
        <v>1376</v>
      </c>
    </row>
    <row r="658" spans="1:2" x14ac:dyDescent="0.35">
      <c r="A658" s="7" t="s">
        <v>1377</v>
      </c>
      <c r="B658" s="7" t="s">
        <v>1378</v>
      </c>
    </row>
    <row r="659" spans="1:2" x14ac:dyDescent="0.35">
      <c r="A659" s="7" t="s">
        <v>1379</v>
      </c>
      <c r="B659" s="7" t="s">
        <v>170</v>
      </c>
    </row>
    <row r="660" spans="1:2" x14ac:dyDescent="0.35">
      <c r="A660" s="7" t="s">
        <v>1380</v>
      </c>
      <c r="B660" s="7" t="s">
        <v>1381</v>
      </c>
    </row>
    <row r="661" spans="1:2" x14ac:dyDescent="0.35">
      <c r="A661" s="7" t="s">
        <v>1382</v>
      </c>
      <c r="B661" s="7" t="s">
        <v>1383</v>
      </c>
    </row>
    <row r="662" spans="1:2" x14ac:dyDescent="0.35">
      <c r="A662" s="7" t="s">
        <v>1384</v>
      </c>
      <c r="B662" s="7" t="s">
        <v>1385</v>
      </c>
    </row>
    <row r="663" spans="1:2" x14ac:dyDescent="0.35">
      <c r="A663" s="7" t="s">
        <v>1386</v>
      </c>
      <c r="B663" s="7" t="s">
        <v>1387</v>
      </c>
    </row>
    <row r="664" spans="1:2" x14ac:dyDescent="0.35">
      <c r="A664" s="7" t="s">
        <v>1388</v>
      </c>
      <c r="B664" s="7" t="s">
        <v>1389</v>
      </c>
    </row>
    <row r="665" spans="1:2" x14ac:dyDescent="0.35">
      <c r="A665" s="7" t="s">
        <v>1390</v>
      </c>
      <c r="B665" s="7" t="s">
        <v>1391</v>
      </c>
    </row>
    <row r="666" spans="1:2" x14ac:dyDescent="0.35">
      <c r="A666" s="7" t="s">
        <v>1392</v>
      </c>
      <c r="B666" s="7" t="s">
        <v>1393</v>
      </c>
    </row>
    <row r="667" spans="1:2" x14ac:dyDescent="0.35">
      <c r="A667" s="7" t="s">
        <v>1394</v>
      </c>
      <c r="B667" s="7" t="s">
        <v>1395</v>
      </c>
    </row>
    <row r="668" spans="1:2" x14ac:dyDescent="0.35">
      <c r="A668" s="7" t="s">
        <v>1396</v>
      </c>
      <c r="B668" s="7" t="s">
        <v>1397</v>
      </c>
    </row>
    <row r="669" spans="1:2" x14ac:dyDescent="0.35">
      <c r="A669" s="7" t="s">
        <v>1398</v>
      </c>
      <c r="B669" s="7" t="s">
        <v>1399</v>
      </c>
    </row>
    <row r="670" spans="1:2" x14ac:dyDescent="0.35">
      <c r="A670" s="7" t="s">
        <v>1400</v>
      </c>
      <c r="B670" s="7" t="s">
        <v>1401</v>
      </c>
    </row>
    <row r="671" spans="1:2" x14ac:dyDescent="0.35">
      <c r="A671" s="7" t="s">
        <v>1402</v>
      </c>
      <c r="B671" s="7" t="s">
        <v>1403</v>
      </c>
    </row>
    <row r="672" spans="1:2" x14ac:dyDescent="0.35">
      <c r="A672" s="7" t="s">
        <v>1404</v>
      </c>
      <c r="B672" s="7" t="s">
        <v>1405</v>
      </c>
    </row>
    <row r="673" spans="1:2" x14ac:dyDescent="0.35">
      <c r="A673" s="7" t="s">
        <v>1406</v>
      </c>
      <c r="B673" s="7" t="s">
        <v>609</v>
      </c>
    </row>
    <row r="674" spans="1:2" x14ac:dyDescent="0.35">
      <c r="A674" s="7" t="s">
        <v>1407</v>
      </c>
      <c r="B674" s="7" t="s">
        <v>1408</v>
      </c>
    </row>
    <row r="675" spans="1:2" x14ac:dyDescent="0.35">
      <c r="A675" s="7" t="s">
        <v>1409</v>
      </c>
      <c r="B675" s="7" t="s">
        <v>1410</v>
      </c>
    </row>
    <row r="676" spans="1:2" x14ac:dyDescent="0.35">
      <c r="A676" s="7" t="s">
        <v>1411</v>
      </c>
      <c r="B676" s="7" t="s">
        <v>1412</v>
      </c>
    </row>
    <row r="677" spans="1:2" x14ac:dyDescent="0.35">
      <c r="A677" s="7" t="s">
        <v>1413</v>
      </c>
      <c r="B677" s="7" t="s">
        <v>1414</v>
      </c>
    </row>
    <row r="678" spans="1:2" x14ac:dyDescent="0.35">
      <c r="A678" s="7" t="s">
        <v>1415</v>
      </c>
      <c r="B678" s="7" t="s">
        <v>1416</v>
      </c>
    </row>
    <row r="679" spans="1:2" x14ac:dyDescent="0.35">
      <c r="A679" s="7" t="s">
        <v>1417</v>
      </c>
      <c r="B679" s="7" t="s">
        <v>1418</v>
      </c>
    </row>
    <row r="680" spans="1:2" x14ac:dyDescent="0.35">
      <c r="A680" s="7" t="s">
        <v>1419</v>
      </c>
      <c r="B680" s="7" t="s">
        <v>1420</v>
      </c>
    </row>
    <row r="681" spans="1:2" x14ac:dyDescent="0.35">
      <c r="A681" s="7" t="s">
        <v>1421</v>
      </c>
      <c r="B681" s="7" t="s">
        <v>1422</v>
      </c>
    </row>
    <row r="682" spans="1:2" x14ac:dyDescent="0.35">
      <c r="A682" s="7" t="s">
        <v>1423</v>
      </c>
      <c r="B682" s="7" t="s">
        <v>1424</v>
      </c>
    </row>
    <row r="683" spans="1:2" x14ac:dyDescent="0.35">
      <c r="A683" s="7" t="s">
        <v>1425</v>
      </c>
      <c r="B683" s="7" t="s">
        <v>1426</v>
      </c>
    </row>
    <row r="684" spans="1:2" x14ac:dyDescent="0.35">
      <c r="A684" s="7" t="s">
        <v>1427</v>
      </c>
      <c r="B684" s="7" t="s">
        <v>1428</v>
      </c>
    </row>
    <row r="685" spans="1:2" x14ac:dyDescent="0.35">
      <c r="A685" s="7" t="s">
        <v>1429</v>
      </c>
      <c r="B685" s="7" t="s">
        <v>1430</v>
      </c>
    </row>
    <row r="686" spans="1:2" x14ac:dyDescent="0.35">
      <c r="A686" s="7" t="s">
        <v>1431</v>
      </c>
      <c r="B686" s="7" t="s">
        <v>1432</v>
      </c>
    </row>
    <row r="687" spans="1:2" x14ac:dyDescent="0.35">
      <c r="A687" s="7" t="s">
        <v>1433</v>
      </c>
      <c r="B687" s="7" t="s">
        <v>791</v>
      </c>
    </row>
    <row r="688" spans="1:2" x14ac:dyDescent="0.35">
      <c r="A688" s="7" t="s">
        <v>1434</v>
      </c>
      <c r="B688" s="7" t="s">
        <v>1435</v>
      </c>
    </row>
    <row r="689" spans="1:2" x14ac:dyDescent="0.35">
      <c r="A689" s="7" t="s">
        <v>1436</v>
      </c>
      <c r="B689" s="7" t="s">
        <v>1437</v>
      </c>
    </row>
    <row r="690" spans="1:2" x14ac:dyDescent="0.35">
      <c r="A690" s="7" t="s">
        <v>1438</v>
      </c>
      <c r="B690" s="7" t="s">
        <v>1439</v>
      </c>
    </row>
    <row r="691" spans="1:2" x14ac:dyDescent="0.35">
      <c r="A691" s="7" t="s">
        <v>1440</v>
      </c>
      <c r="B691" s="7" t="s">
        <v>1441</v>
      </c>
    </row>
    <row r="692" spans="1:2" x14ac:dyDescent="0.35">
      <c r="A692" s="7" t="s">
        <v>1442</v>
      </c>
      <c r="B692" s="7" t="s">
        <v>811</v>
      </c>
    </row>
    <row r="693" spans="1:2" x14ac:dyDescent="0.35">
      <c r="A693" s="7" t="s">
        <v>1443</v>
      </c>
      <c r="B693" s="7" t="s">
        <v>1444</v>
      </c>
    </row>
    <row r="694" spans="1:2" x14ac:dyDescent="0.35">
      <c r="A694" s="7" t="s">
        <v>1445</v>
      </c>
      <c r="B694" s="7" t="s">
        <v>1446</v>
      </c>
    </row>
    <row r="695" spans="1:2" x14ac:dyDescent="0.35">
      <c r="A695" s="7" t="s">
        <v>1447</v>
      </c>
      <c r="B695" s="7" t="s">
        <v>983</v>
      </c>
    </row>
    <row r="696" spans="1:2" x14ac:dyDescent="0.35">
      <c r="A696" s="7" t="s">
        <v>1448</v>
      </c>
      <c r="B696" s="7" t="s">
        <v>1449</v>
      </c>
    </row>
    <row r="697" spans="1:2" x14ac:dyDescent="0.35">
      <c r="A697" s="7" t="s">
        <v>1450</v>
      </c>
      <c r="B697" s="7" t="s">
        <v>1451</v>
      </c>
    </row>
    <row r="698" spans="1:2" x14ac:dyDescent="0.35">
      <c r="A698" s="7" t="s">
        <v>1452</v>
      </c>
      <c r="B698" s="7" t="s">
        <v>1453</v>
      </c>
    </row>
    <row r="699" spans="1:2" x14ac:dyDescent="0.35">
      <c r="A699" s="7" t="s">
        <v>1454</v>
      </c>
      <c r="B699" s="7" t="s">
        <v>1455</v>
      </c>
    </row>
    <row r="700" spans="1:2" x14ac:dyDescent="0.35">
      <c r="A700" s="7" t="s">
        <v>1456</v>
      </c>
      <c r="B700" s="7" t="s">
        <v>1457</v>
      </c>
    </row>
    <row r="701" spans="1:2" x14ac:dyDescent="0.35">
      <c r="A701" s="7" t="s">
        <v>1458</v>
      </c>
      <c r="B701" s="7" t="s">
        <v>1459</v>
      </c>
    </row>
    <row r="702" spans="1:2" x14ac:dyDescent="0.35">
      <c r="A702" s="7" t="s">
        <v>1460</v>
      </c>
      <c r="B702" s="7" t="s">
        <v>1461</v>
      </c>
    </row>
    <row r="703" spans="1:2" x14ac:dyDescent="0.35">
      <c r="A703" s="7" t="s">
        <v>1462</v>
      </c>
      <c r="B703" s="7" t="s">
        <v>1463</v>
      </c>
    </row>
    <row r="704" spans="1:2" x14ac:dyDescent="0.35">
      <c r="A704" s="7" t="s">
        <v>1464</v>
      </c>
      <c r="B704" s="7" t="s">
        <v>1465</v>
      </c>
    </row>
    <row r="705" spans="1:2" x14ac:dyDescent="0.35">
      <c r="A705" s="7" t="s">
        <v>1466</v>
      </c>
      <c r="B705" s="7" t="s">
        <v>1467</v>
      </c>
    </row>
    <row r="706" spans="1:2" x14ac:dyDescent="0.35">
      <c r="A706" s="7" t="s">
        <v>1468</v>
      </c>
      <c r="B706" s="7" t="s">
        <v>463</v>
      </c>
    </row>
    <row r="707" spans="1:2" x14ac:dyDescent="0.35">
      <c r="A707" s="7" t="s">
        <v>1469</v>
      </c>
      <c r="B707" s="7" t="s">
        <v>1470</v>
      </c>
    </row>
    <row r="708" spans="1:2" x14ac:dyDescent="0.35">
      <c r="A708" s="7" t="s">
        <v>1471</v>
      </c>
      <c r="B708" s="7" t="s">
        <v>1472</v>
      </c>
    </row>
    <row r="709" spans="1:2" x14ac:dyDescent="0.35">
      <c r="A709" s="7" t="s">
        <v>1473</v>
      </c>
      <c r="B709" s="7" t="s">
        <v>1474</v>
      </c>
    </row>
    <row r="710" spans="1:2" x14ac:dyDescent="0.35">
      <c r="A710" s="7" t="s">
        <v>1475</v>
      </c>
      <c r="B710" s="7" t="s">
        <v>1476</v>
      </c>
    </row>
    <row r="711" spans="1:2" x14ac:dyDescent="0.35">
      <c r="A711" s="7" t="s">
        <v>1477</v>
      </c>
      <c r="B711" s="7" t="s">
        <v>1478</v>
      </c>
    </row>
    <row r="712" spans="1:2" x14ac:dyDescent="0.35">
      <c r="A712" s="7" t="s">
        <v>1479</v>
      </c>
      <c r="B712" s="7" t="s">
        <v>1480</v>
      </c>
    </row>
    <row r="713" spans="1:2" x14ac:dyDescent="0.35">
      <c r="A713" s="7" t="s">
        <v>1481</v>
      </c>
      <c r="B713" s="7" t="s">
        <v>1482</v>
      </c>
    </row>
    <row r="714" spans="1:2" x14ac:dyDescent="0.35">
      <c r="A714" s="7" t="s">
        <v>1483</v>
      </c>
      <c r="B714" s="7" t="s">
        <v>1484</v>
      </c>
    </row>
    <row r="715" spans="1:2" x14ac:dyDescent="0.35">
      <c r="A715" s="7" t="s">
        <v>1485</v>
      </c>
      <c r="B715" s="7" t="s">
        <v>1486</v>
      </c>
    </row>
    <row r="716" spans="1:2" x14ac:dyDescent="0.35">
      <c r="A716" s="7" t="s">
        <v>1487</v>
      </c>
      <c r="B716" s="7" t="s">
        <v>1488</v>
      </c>
    </row>
    <row r="717" spans="1:2" x14ac:dyDescent="0.35">
      <c r="A717" s="7" t="s">
        <v>1489</v>
      </c>
      <c r="B717" s="7" t="s">
        <v>1490</v>
      </c>
    </row>
    <row r="718" spans="1:2" x14ac:dyDescent="0.35">
      <c r="A718" s="7" t="s">
        <v>1491</v>
      </c>
      <c r="B718" s="7" t="s">
        <v>1492</v>
      </c>
    </row>
    <row r="719" spans="1:2" x14ac:dyDescent="0.35">
      <c r="A719" s="7" t="s">
        <v>1493</v>
      </c>
      <c r="B719" s="7" t="s">
        <v>1494</v>
      </c>
    </row>
    <row r="720" spans="1:2" x14ac:dyDescent="0.35">
      <c r="A720" s="7" t="s">
        <v>1495</v>
      </c>
      <c r="B720" s="7" t="s">
        <v>1496</v>
      </c>
    </row>
    <row r="721" spans="1:2" x14ac:dyDescent="0.35">
      <c r="A721" s="7" t="s">
        <v>1497</v>
      </c>
      <c r="B721" s="7" t="s">
        <v>286</v>
      </c>
    </row>
    <row r="722" spans="1:2" x14ac:dyDescent="0.35">
      <c r="A722" s="7" t="s">
        <v>1498</v>
      </c>
      <c r="B722" s="7" t="s">
        <v>1499</v>
      </c>
    </row>
    <row r="723" spans="1:2" x14ac:dyDescent="0.35">
      <c r="A723" s="7" t="s">
        <v>1500</v>
      </c>
      <c r="B723" s="7" t="s">
        <v>1501</v>
      </c>
    </row>
    <row r="724" spans="1:2" x14ac:dyDescent="0.35">
      <c r="A724" s="7" t="s">
        <v>1502</v>
      </c>
      <c r="B724" s="7" t="s">
        <v>1503</v>
      </c>
    </row>
    <row r="725" spans="1:2" x14ac:dyDescent="0.35">
      <c r="A725" s="7" t="s">
        <v>1504</v>
      </c>
      <c r="B725" s="7" t="s">
        <v>1505</v>
      </c>
    </row>
    <row r="726" spans="1:2" x14ac:dyDescent="0.35">
      <c r="A726" s="7" t="s">
        <v>1506</v>
      </c>
      <c r="B726" s="7" t="s">
        <v>801</v>
      </c>
    </row>
    <row r="727" spans="1:2" x14ac:dyDescent="0.35">
      <c r="A727" s="7" t="s">
        <v>1507</v>
      </c>
      <c r="B727" s="7" t="s">
        <v>1508</v>
      </c>
    </row>
    <row r="728" spans="1:2" x14ac:dyDescent="0.35">
      <c r="A728" s="7" t="s">
        <v>1509</v>
      </c>
      <c r="B728" s="7" t="s">
        <v>1510</v>
      </c>
    </row>
    <row r="729" spans="1:2" x14ac:dyDescent="0.35">
      <c r="A729" s="7" t="s">
        <v>1511</v>
      </c>
      <c r="B729" s="7" t="s">
        <v>1512</v>
      </c>
    </row>
    <row r="730" spans="1:2" x14ac:dyDescent="0.35">
      <c r="A730" s="7" t="s">
        <v>1513</v>
      </c>
      <c r="B730" s="7" t="s">
        <v>1514</v>
      </c>
    </row>
    <row r="731" spans="1:2" x14ac:dyDescent="0.35">
      <c r="A731" s="7" t="s">
        <v>1515</v>
      </c>
      <c r="B731" s="7" t="s">
        <v>1516</v>
      </c>
    </row>
    <row r="732" spans="1:2" x14ac:dyDescent="0.35">
      <c r="A732" s="7" t="s">
        <v>1517</v>
      </c>
      <c r="B732" s="7" t="s">
        <v>1518</v>
      </c>
    </row>
    <row r="733" spans="1:2" x14ac:dyDescent="0.35">
      <c r="A733" s="7" t="s">
        <v>1519</v>
      </c>
      <c r="B733" s="7" t="s">
        <v>1520</v>
      </c>
    </row>
    <row r="734" spans="1:2" x14ac:dyDescent="0.35">
      <c r="A734" s="7" t="s">
        <v>1521</v>
      </c>
      <c r="B734" s="7" t="s">
        <v>1522</v>
      </c>
    </row>
    <row r="735" spans="1:2" x14ac:dyDescent="0.35">
      <c r="A735" s="7" t="s">
        <v>1523</v>
      </c>
      <c r="B735" s="7" t="s">
        <v>1524</v>
      </c>
    </row>
    <row r="736" spans="1:2" x14ac:dyDescent="0.35">
      <c r="A736" s="7" t="s">
        <v>1525</v>
      </c>
      <c r="B736" s="7" t="s">
        <v>1526</v>
      </c>
    </row>
    <row r="737" spans="1:2" x14ac:dyDescent="0.35">
      <c r="A737" s="7" t="s">
        <v>1527</v>
      </c>
      <c r="B737" s="7" t="s">
        <v>1528</v>
      </c>
    </row>
    <row r="738" spans="1:2" x14ac:dyDescent="0.35">
      <c r="A738" s="7" t="s">
        <v>1529</v>
      </c>
      <c r="B738" s="7" t="s">
        <v>1530</v>
      </c>
    </row>
    <row r="739" spans="1:2" x14ac:dyDescent="0.35">
      <c r="A739" s="7" t="s">
        <v>1531</v>
      </c>
      <c r="B739" s="7" t="s">
        <v>1532</v>
      </c>
    </row>
    <row r="740" spans="1:2" x14ac:dyDescent="0.35">
      <c r="A740" s="7" t="s">
        <v>1533</v>
      </c>
      <c r="B740" s="7" t="s">
        <v>236</v>
      </c>
    </row>
    <row r="741" spans="1:2" x14ac:dyDescent="0.35">
      <c r="A741" s="7" t="s">
        <v>1534</v>
      </c>
      <c r="B741" s="7" t="s">
        <v>1535</v>
      </c>
    </row>
    <row r="742" spans="1:2" x14ac:dyDescent="0.35">
      <c r="A742" s="7" t="s">
        <v>1536</v>
      </c>
      <c r="B742" s="7" t="s">
        <v>1537</v>
      </c>
    </row>
    <row r="743" spans="1:2" x14ac:dyDescent="0.35">
      <c r="A743" s="7" t="s">
        <v>1538</v>
      </c>
      <c r="B743" s="7" t="s">
        <v>1539</v>
      </c>
    </row>
    <row r="744" spans="1:2" x14ac:dyDescent="0.35">
      <c r="A744" s="7" t="s">
        <v>1540</v>
      </c>
      <c r="B744" s="7" t="s">
        <v>1357</v>
      </c>
    </row>
    <row r="745" spans="1:2" x14ac:dyDescent="0.35">
      <c r="A745" s="7" t="s">
        <v>1541</v>
      </c>
      <c r="B745" s="7" t="s">
        <v>1542</v>
      </c>
    </row>
    <row r="746" spans="1:2" x14ac:dyDescent="0.35">
      <c r="A746" s="7" t="s">
        <v>1543</v>
      </c>
      <c r="B746" s="7" t="s">
        <v>1544</v>
      </c>
    </row>
    <row r="747" spans="1:2" x14ac:dyDescent="0.35">
      <c r="A747" s="7" t="s">
        <v>1545</v>
      </c>
      <c r="B747" s="7" t="s">
        <v>1546</v>
      </c>
    </row>
    <row r="748" spans="1:2" x14ac:dyDescent="0.35">
      <c r="A748" s="7" t="s">
        <v>1547</v>
      </c>
      <c r="B748" s="7" t="s">
        <v>831</v>
      </c>
    </row>
    <row r="749" spans="1:2" x14ac:dyDescent="0.35">
      <c r="A749" s="7" t="s">
        <v>1548</v>
      </c>
      <c r="B749" s="7" t="s">
        <v>1549</v>
      </c>
    </row>
    <row r="750" spans="1:2" x14ac:dyDescent="0.35">
      <c r="A750" s="7" t="s">
        <v>1550</v>
      </c>
      <c r="B750" s="7" t="s">
        <v>1551</v>
      </c>
    </row>
    <row r="751" spans="1:2" x14ac:dyDescent="0.35">
      <c r="A751" s="7" t="s">
        <v>1552</v>
      </c>
      <c r="B751" s="7" t="s">
        <v>1553</v>
      </c>
    </row>
    <row r="752" spans="1:2" x14ac:dyDescent="0.35">
      <c r="A752" s="7" t="s">
        <v>1554</v>
      </c>
      <c r="B752" s="7" t="s">
        <v>1555</v>
      </c>
    </row>
    <row r="753" spans="1:2" x14ac:dyDescent="0.35">
      <c r="A753" s="7" t="s">
        <v>1556</v>
      </c>
      <c r="B753" s="7" t="s">
        <v>1557</v>
      </c>
    </row>
    <row r="754" spans="1:2" x14ac:dyDescent="0.35">
      <c r="A754" s="7" t="s">
        <v>1558</v>
      </c>
      <c r="B754" s="7" t="s">
        <v>1559</v>
      </c>
    </row>
    <row r="755" spans="1:2" x14ac:dyDescent="0.35">
      <c r="A755" s="7" t="s">
        <v>1560</v>
      </c>
      <c r="B755" s="7" t="s">
        <v>1561</v>
      </c>
    </row>
    <row r="756" spans="1:2" x14ac:dyDescent="0.35">
      <c r="A756" s="7" t="s">
        <v>1562</v>
      </c>
      <c r="B756" s="7" t="s">
        <v>1563</v>
      </c>
    </row>
    <row r="757" spans="1:2" x14ac:dyDescent="0.35">
      <c r="A757" s="7" t="s">
        <v>1564</v>
      </c>
      <c r="B757" s="7" t="s">
        <v>1516</v>
      </c>
    </row>
    <row r="758" spans="1:2" x14ac:dyDescent="0.35">
      <c r="A758" s="7" t="s">
        <v>1565</v>
      </c>
      <c r="B758" s="7" t="s">
        <v>1566</v>
      </c>
    </row>
    <row r="759" spans="1:2" x14ac:dyDescent="0.35">
      <c r="A759" s="7" t="s">
        <v>1567</v>
      </c>
      <c r="B759" s="7" t="s">
        <v>1568</v>
      </c>
    </row>
    <row r="760" spans="1:2" x14ac:dyDescent="0.35">
      <c r="A760" s="7" t="s">
        <v>1569</v>
      </c>
      <c r="B760" s="7" t="s">
        <v>1570</v>
      </c>
    </row>
    <row r="761" spans="1:2" x14ac:dyDescent="0.35">
      <c r="A761" s="7" t="s">
        <v>1571</v>
      </c>
      <c r="B761" s="7" t="s">
        <v>1572</v>
      </c>
    </row>
    <row r="762" spans="1:2" x14ac:dyDescent="0.35">
      <c r="A762" s="7" t="s">
        <v>1573</v>
      </c>
      <c r="B762" s="7" t="s">
        <v>1005</v>
      </c>
    </row>
    <row r="763" spans="1:2" x14ac:dyDescent="0.35">
      <c r="A763" s="7" t="s">
        <v>1574</v>
      </c>
      <c r="B763" s="7" t="s">
        <v>1575</v>
      </c>
    </row>
    <row r="764" spans="1:2" x14ac:dyDescent="0.35">
      <c r="A764" s="7" t="s">
        <v>1576</v>
      </c>
      <c r="B764" s="7" t="s">
        <v>1577</v>
      </c>
    </row>
    <row r="765" spans="1:2" x14ac:dyDescent="0.35">
      <c r="A765" s="7" t="s">
        <v>1578</v>
      </c>
      <c r="B765" s="7" t="s">
        <v>1579</v>
      </c>
    </row>
    <row r="766" spans="1:2" x14ac:dyDescent="0.35">
      <c r="A766" s="7" t="s">
        <v>1580</v>
      </c>
      <c r="B766" s="7" t="s">
        <v>1581</v>
      </c>
    </row>
    <row r="767" spans="1:2" x14ac:dyDescent="0.35">
      <c r="A767" s="7" t="s">
        <v>1582</v>
      </c>
      <c r="B767" s="7" t="s">
        <v>1583</v>
      </c>
    </row>
    <row r="768" spans="1:2" x14ac:dyDescent="0.35">
      <c r="A768" s="7" t="s">
        <v>1584</v>
      </c>
      <c r="B768" s="7" t="s">
        <v>1585</v>
      </c>
    </row>
    <row r="769" spans="1:2" x14ac:dyDescent="0.35">
      <c r="A769" s="7" t="s">
        <v>1586</v>
      </c>
      <c r="B769" s="7" t="s">
        <v>880</v>
      </c>
    </row>
    <row r="770" spans="1:2" x14ac:dyDescent="0.35">
      <c r="A770" s="7" t="s">
        <v>1587</v>
      </c>
      <c r="B770" s="7" t="s">
        <v>1588</v>
      </c>
    </row>
    <row r="771" spans="1:2" x14ac:dyDescent="0.35">
      <c r="A771" s="7" t="s">
        <v>1589</v>
      </c>
      <c r="B771" s="7" t="s">
        <v>248</v>
      </c>
    </row>
    <row r="772" spans="1:2" x14ac:dyDescent="0.35">
      <c r="A772" s="7" t="s">
        <v>1590</v>
      </c>
      <c r="B772" s="7" t="s">
        <v>1591</v>
      </c>
    </row>
    <row r="773" spans="1:2" x14ac:dyDescent="0.35">
      <c r="A773" s="7" t="s">
        <v>1592</v>
      </c>
      <c r="B773" s="7" t="s">
        <v>1593</v>
      </c>
    </row>
    <row r="774" spans="1:2" x14ac:dyDescent="0.35">
      <c r="A774" s="7" t="s">
        <v>1594</v>
      </c>
      <c r="B774" s="7" t="s">
        <v>1595</v>
      </c>
    </row>
    <row r="775" spans="1:2" x14ac:dyDescent="0.35">
      <c r="A775" s="7" t="s">
        <v>1596</v>
      </c>
      <c r="B775" s="7" t="s">
        <v>1597</v>
      </c>
    </row>
    <row r="776" spans="1:2" x14ac:dyDescent="0.35">
      <c r="A776" s="7" t="s">
        <v>1598</v>
      </c>
      <c r="B776" s="7" t="s">
        <v>1599</v>
      </c>
    </row>
    <row r="777" spans="1:2" x14ac:dyDescent="0.35">
      <c r="A777" s="7" t="s">
        <v>1600</v>
      </c>
      <c r="B777" s="7" t="s">
        <v>1601</v>
      </c>
    </row>
    <row r="778" spans="1:2" x14ac:dyDescent="0.35">
      <c r="A778" s="7" t="s">
        <v>1602</v>
      </c>
      <c r="B778" s="7" t="s">
        <v>1603</v>
      </c>
    </row>
    <row r="779" spans="1:2" x14ac:dyDescent="0.35">
      <c r="A779" s="7" t="s">
        <v>1604</v>
      </c>
      <c r="B779" s="7" t="s">
        <v>1605</v>
      </c>
    </row>
    <row r="780" spans="1:2" x14ac:dyDescent="0.35">
      <c r="A780" s="7" t="s">
        <v>1606</v>
      </c>
      <c r="B780" s="7" t="s">
        <v>1607</v>
      </c>
    </row>
    <row r="781" spans="1:2" x14ac:dyDescent="0.35">
      <c r="A781" s="7" t="s">
        <v>1608</v>
      </c>
      <c r="B781" s="7" t="s">
        <v>1609</v>
      </c>
    </row>
    <row r="782" spans="1:2" x14ac:dyDescent="0.35">
      <c r="A782" s="7" t="s">
        <v>1610</v>
      </c>
      <c r="B782" s="7" t="s">
        <v>1611</v>
      </c>
    </row>
    <row r="783" spans="1:2" x14ac:dyDescent="0.35">
      <c r="A783" s="7" t="s">
        <v>1612</v>
      </c>
      <c r="B783" s="7" t="s">
        <v>1613</v>
      </c>
    </row>
    <row r="784" spans="1:2" x14ac:dyDescent="0.35">
      <c r="A784" s="7" t="s">
        <v>1614</v>
      </c>
      <c r="B784" s="7" t="s">
        <v>1147</v>
      </c>
    </row>
    <row r="785" spans="1:2" x14ac:dyDescent="0.35">
      <c r="A785" s="7" t="s">
        <v>1615</v>
      </c>
      <c r="B785" s="7" t="s">
        <v>1616</v>
      </c>
    </row>
    <row r="786" spans="1:2" x14ac:dyDescent="0.35">
      <c r="A786" s="7" t="s">
        <v>1617</v>
      </c>
      <c r="B786" s="7" t="s">
        <v>1618</v>
      </c>
    </row>
    <row r="787" spans="1:2" x14ac:dyDescent="0.35">
      <c r="A787" s="7" t="s">
        <v>1619</v>
      </c>
      <c r="B787" s="7" t="s">
        <v>1620</v>
      </c>
    </row>
    <row r="788" spans="1:2" x14ac:dyDescent="0.35">
      <c r="A788" s="7" t="s">
        <v>1621</v>
      </c>
      <c r="B788" s="7" t="s">
        <v>1622</v>
      </c>
    </row>
    <row r="789" spans="1:2" x14ac:dyDescent="0.35">
      <c r="A789" s="7" t="s">
        <v>1623</v>
      </c>
      <c r="B789" s="7" t="s">
        <v>1624</v>
      </c>
    </row>
    <row r="790" spans="1:2" x14ac:dyDescent="0.35">
      <c r="A790" s="7" t="s">
        <v>1625</v>
      </c>
      <c r="B790" s="7" t="s">
        <v>1626</v>
      </c>
    </row>
    <row r="791" spans="1:2" x14ac:dyDescent="0.35">
      <c r="A791" s="7" t="s">
        <v>1627</v>
      </c>
      <c r="B791" s="7" t="s">
        <v>1628</v>
      </c>
    </row>
    <row r="792" spans="1:2" x14ac:dyDescent="0.35">
      <c r="A792" s="7" t="s">
        <v>1629</v>
      </c>
      <c r="B792" s="7" t="s">
        <v>1630</v>
      </c>
    </row>
    <row r="793" spans="1:2" x14ac:dyDescent="0.35">
      <c r="A793" s="7" t="s">
        <v>1631</v>
      </c>
      <c r="B793" s="7" t="s">
        <v>1632</v>
      </c>
    </row>
    <row r="794" spans="1:2" x14ac:dyDescent="0.35">
      <c r="A794" s="7" t="s">
        <v>1633</v>
      </c>
      <c r="B794" s="7" t="s">
        <v>1279</v>
      </c>
    </row>
    <row r="795" spans="1:2" x14ac:dyDescent="0.35">
      <c r="A795" s="7" t="s">
        <v>1634</v>
      </c>
      <c r="B795" s="7" t="s">
        <v>1635</v>
      </c>
    </row>
    <row r="796" spans="1:2" x14ac:dyDescent="0.35">
      <c r="A796" s="7" t="s">
        <v>1636</v>
      </c>
      <c r="B796" s="7" t="s">
        <v>1637</v>
      </c>
    </row>
    <row r="797" spans="1:2" x14ac:dyDescent="0.35">
      <c r="A797" s="7" t="s">
        <v>1638</v>
      </c>
      <c r="B797" s="7" t="s">
        <v>304</v>
      </c>
    </row>
    <row r="798" spans="1:2" x14ac:dyDescent="0.35">
      <c r="A798" s="7" t="s">
        <v>1639</v>
      </c>
      <c r="B798" s="7" t="s">
        <v>1640</v>
      </c>
    </row>
    <row r="799" spans="1:2" x14ac:dyDescent="0.35">
      <c r="A799" s="7" t="s">
        <v>1641</v>
      </c>
      <c r="B799" s="7" t="s">
        <v>1642</v>
      </c>
    </row>
    <row r="800" spans="1:2" x14ac:dyDescent="0.35">
      <c r="A800" s="7" t="s">
        <v>1643</v>
      </c>
      <c r="B800" s="7" t="s">
        <v>1644</v>
      </c>
    </row>
    <row r="801" spans="1:2" x14ac:dyDescent="0.35">
      <c r="A801" s="7" t="s">
        <v>1645</v>
      </c>
      <c r="B801" s="7" t="s">
        <v>1646</v>
      </c>
    </row>
    <row r="802" spans="1:2" x14ac:dyDescent="0.35">
      <c r="A802" s="7" t="s">
        <v>1647</v>
      </c>
      <c r="B802" s="7" t="s">
        <v>1648</v>
      </c>
    </row>
    <row r="803" spans="1:2" x14ac:dyDescent="0.35">
      <c r="A803" s="7" t="s">
        <v>1649</v>
      </c>
      <c r="B803" s="7" t="s">
        <v>1650</v>
      </c>
    </row>
    <row r="804" spans="1:2" x14ac:dyDescent="0.35">
      <c r="A804" s="7" t="s">
        <v>1651</v>
      </c>
      <c r="B804" s="7" t="s">
        <v>1652</v>
      </c>
    </row>
    <row r="805" spans="1:2" x14ac:dyDescent="0.35">
      <c r="A805" s="7" t="s">
        <v>1653</v>
      </c>
      <c r="B805" s="7" t="s">
        <v>1654</v>
      </c>
    </row>
    <row r="806" spans="1:2" x14ac:dyDescent="0.35">
      <c r="A806" s="7" t="s">
        <v>1655</v>
      </c>
      <c r="B806" s="7" t="s">
        <v>1656</v>
      </c>
    </row>
    <row r="807" spans="1:2" x14ac:dyDescent="0.35">
      <c r="A807" s="7" t="s">
        <v>1657</v>
      </c>
      <c r="B807" s="7" t="s">
        <v>1658</v>
      </c>
    </row>
    <row r="808" spans="1:2" x14ac:dyDescent="0.35">
      <c r="A808" s="7" t="s">
        <v>1659</v>
      </c>
      <c r="B808" s="7" t="s">
        <v>1660</v>
      </c>
    </row>
    <row r="809" spans="1:2" x14ac:dyDescent="0.35">
      <c r="A809" s="7" t="s">
        <v>1661</v>
      </c>
      <c r="B809" s="7" t="s">
        <v>1662</v>
      </c>
    </row>
    <row r="810" spans="1:2" x14ac:dyDescent="0.35">
      <c r="A810" s="7" t="s">
        <v>1663</v>
      </c>
      <c r="B810" s="7" t="s">
        <v>1664</v>
      </c>
    </row>
    <row r="811" spans="1:2" x14ac:dyDescent="0.35">
      <c r="A811" s="7" t="s">
        <v>1665</v>
      </c>
      <c r="B811" s="7" t="s">
        <v>1302</v>
      </c>
    </row>
    <row r="812" spans="1:2" x14ac:dyDescent="0.35">
      <c r="A812" s="7" t="s">
        <v>1666</v>
      </c>
      <c r="B812" s="7" t="s">
        <v>1667</v>
      </c>
    </row>
    <row r="813" spans="1:2" x14ac:dyDescent="0.35">
      <c r="A813" s="7" t="s">
        <v>1668</v>
      </c>
      <c r="B813" s="7" t="s">
        <v>483</v>
      </c>
    </row>
    <row r="814" spans="1:2" x14ac:dyDescent="0.35">
      <c r="A814" s="7" t="s">
        <v>1669</v>
      </c>
      <c r="B814" s="7" t="s">
        <v>1670</v>
      </c>
    </row>
    <row r="815" spans="1:2" x14ac:dyDescent="0.35">
      <c r="A815" s="7" t="s">
        <v>1671</v>
      </c>
      <c r="B815" s="7" t="s">
        <v>1672</v>
      </c>
    </row>
    <row r="816" spans="1:2" x14ac:dyDescent="0.35">
      <c r="A816" s="7" t="s">
        <v>1673</v>
      </c>
      <c r="B816" s="7" t="s">
        <v>1674</v>
      </c>
    </row>
    <row r="817" spans="1:2" x14ac:dyDescent="0.35">
      <c r="A817" s="7" t="s">
        <v>1675</v>
      </c>
      <c r="B817" s="7" t="s">
        <v>1676</v>
      </c>
    </row>
    <row r="818" spans="1:2" x14ac:dyDescent="0.35">
      <c r="A818" s="7" t="s">
        <v>1677</v>
      </c>
      <c r="B818" s="7" t="s">
        <v>503</v>
      </c>
    </row>
    <row r="819" spans="1:2" x14ac:dyDescent="0.35">
      <c r="A819" s="7" t="s">
        <v>1678</v>
      </c>
      <c r="B819" s="7" t="s">
        <v>1679</v>
      </c>
    </row>
    <row r="820" spans="1:2" x14ac:dyDescent="0.35">
      <c r="A820" s="7" t="s">
        <v>1680</v>
      </c>
      <c r="B820" s="7" t="s">
        <v>1681</v>
      </c>
    </row>
    <row r="821" spans="1:2" x14ac:dyDescent="0.35">
      <c r="A821" s="7" t="s">
        <v>1682</v>
      </c>
      <c r="B821" s="7" t="s">
        <v>1683</v>
      </c>
    </row>
    <row r="822" spans="1:2" x14ac:dyDescent="0.35">
      <c r="A822" s="7" t="s">
        <v>1684</v>
      </c>
      <c r="B822" s="7" t="s">
        <v>1685</v>
      </c>
    </row>
    <row r="823" spans="1:2" x14ac:dyDescent="0.35">
      <c r="A823" s="7" t="s">
        <v>1686</v>
      </c>
      <c r="B823" s="7" t="s">
        <v>1687</v>
      </c>
    </row>
    <row r="824" spans="1:2" x14ac:dyDescent="0.35">
      <c r="A824" s="7" t="s">
        <v>1688</v>
      </c>
      <c r="B824" s="7" t="s">
        <v>1689</v>
      </c>
    </row>
    <row r="825" spans="1:2" x14ac:dyDescent="0.35">
      <c r="A825" s="7" t="s">
        <v>1690</v>
      </c>
      <c r="B825" s="7" t="s">
        <v>1691</v>
      </c>
    </row>
    <row r="826" spans="1:2" x14ac:dyDescent="0.35">
      <c r="A826" s="7" t="s">
        <v>1692</v>
      </c>
      <c r="B826" s="7" t="s">
        <v>1693</v>
      </c>
    </row>
    <row r="827" spans="1:2" x14ac:dyDescent="0.35">
      <c r="A827" s="7" t="s">
        <v>1694</v>
      </c>
      <c r="B827" s="7" t="s">
        <v>1695</v>
      </c>
    </row>
    <row r="828" spans="1:2" x14ac:dyDescent="0.35">
      <c r="A828" s="7" t="s">
        <v>1696</v>
      </c>
      <c r="B828" s="7" t="s">
        <v>1697</v>
      </c>
    </row>
    <row r="829" spans="1:2" x14ac:dyDescent="0.35">
      <c r="A829" s="7" t="s">
        <v>1698</v>
      </c>
      <c r="B829" s="7" t="s">
        <v>1699</v>
      </c>
    </row>
    <row r="830" spans="1:2" x14ac:dyDescent="0.35">
      <c r="A830" s="7" t="s">
        <v>1700</v>
      </c>
      <c r="B830" s="7" t="s">
        <v>1701</v>
      </c>
    </row>
    <row r="831" spans="1:2" x14ac:dyDescent="0.35">
      <c r="A831" s="7" t="s">
        <v>1702</v>
      </c>
      <c r="B831" s="7" t="s">
        <v>1703</v>
      </c>
    </row>
    <row r="832" spans="1:2" x14ac:dyDescent="0.35">
      <c r="A832" s="7" t="s">
        <v>1704</v>
      </c>
      <c r="B832" s="7" t="s">
        <v>1705</v>
      </c>
    </row>
    <row r="833" spans="1:2" x14ac:dyDescent="0.35">
      <c r="A833" s="7" t="s">
        <v>1706</v>
      </c>
      <c r="B833" s="7" t="s">
        <v>1707</v>
      </c>
    </row>
    <row r="834" spans="1:2" x14ac:dyDescent="0.35">
      <c r="A834" s="7" t="s">
        <v>1708</v>
      </c>
      <c r="B834" s="7" t="s">
        <v>1709</v>
      </c>
    </row>
    <row r="835" spans="1:2" x14ac:dyDescent="0.35">
      <c r="A835" s="7" t="s">
        <v>1710</v>
      </c>
      <c r="B835" s="7" t="s">
        <v>1711</v>
      </c>
    </row>
    <row r="836" spans="1:2" x14ac:dyDescent="0.35">
      <c r="A836" s="7" t="s">
        <v>1712</v>
      </c>
      <c r="B836" s="7" t="s">
        <v>1713</v>
      </c>
    </row>
    <row r="837" spans="1:2" x14ac:dyDescent="0.35">
      <c r="A837" s="7" t="s">
        <v>1714</v>
      </c>
      <c r="B837" s="7" t="s">
        <v>1715</v>
      </c>
    </row>
    <row r="838" spans="1:2" x14ac:dyDescent="0.35">
      <c r="A838" s="7" t="s">
        <v>1716</v>
      </c>
      <c r="B838" s="7" t="s">
        <v>1717</v>
      </c>
    </row>
    <row r="839" spans="1:2" x14ac:dyDescent="0.35">
      <c r="A839" s="7" t="s">
        <v>1718</v>
      </c>
      <c r="B839" s="7" t="s">
        <v>1719</v>
      </c>
    </row>
    <row r="840" spans="1:2" x14ac:dyDescent="0.35">
      <c r="A840" s="7" t="s">
        <v>1720</v>
      </c>
      <c r="B840" s="7" t="s">
        <v>1721</v>
      </c>
    </row>
    <row r="841" spans="1:2" x14ac:dyDescent="0.35">
      <c r="A841" s="7" t="s">
        <v>1722</v>
      </c>
      <c r="B841" s="7" t="s">
        <v>1723</v>
      </c>
    </row>
    <row r="842" spans="1:2" x14ac:dyDescent="0.35">
      <c r="A842" s="7" t="s">
        <v>1724</v>
      </c>
      <c r="B842" s="7" t="s">
        <v>1725</v>
      </c>
    </row>
    <row r="843" spans="1:2" x14ac:dyDescent="0.35">
      <c r="A843" s="7" t="s">
        <v>1726</v>
      </c>
      <c r="B843" s="7" t="s">
        <v>1727</v>
      </c>
    </row>
    <row r="844" spans="1:2" x14ac:dyDescent="0.35">
      <c r="A844" s="7" t="s">
        <v>1728</v>
      </c>
      <c r="B844" s="7" t="s">
        <v>1729</v>
      </c>
    </row>
    <row r="845" spans="1:2" x14ac:dyDescent="0.35">
      <c r="A845" s="7" t="s">
        <v>1730</v>
      </c>
      <c r="B845" s="7" t="s">
        <v>1731</v>
      </c>
    </row>
    <row r="846" spans="1:2" x14ac:dyDescent="0.35">
      <c r="A846" s="7" t="s">
        <v>1732</v>
      </c>
      <c r="B846" s="7" t="s">
        <v>1733</v>
      </c>
    </row>
    <row r="847" spans="1:2" x14ac:dyDescent="0.35">
      <c r="A847" s="7" t="s">
        <v>1734</v>
      </c>
      <c r="B847" s="7" t="s">
        <v>1735</v>
      </c>
    </row>
    <row r="848" spans="1:2" x14ac:dyDescent="0.35">
      <c r="A848" s="7" t="s">
        <v>1736</v>
      </c>
      <c r="B848" s="7" t="s">
        <v>1737</v>
      </c>
    </row>
    <row r="849" spans="1:2" x14ac:dyDescent="0.35">
      <c r="A849" s="7" t="s">
        <v>1738</v>
      </c>
      <c r="B849" s="7" t="s">
        <v>1739</v>
      </c>
    </row>
    <row r="850" spans="1:2" x14ac:dyDescent="0.35">
      <c r="A850" s="7" t="s">
        <v>1740</v>
      </c>
      <c r="B850" s="7" t="s">
        <v>1741</v>
      </c>
    </row>
    <row r="851" spans="1:2" x14ac:dyDescent="0.35">
      <c r="A851" s="7" t="s">
        <v>1742</v>
      </c>
      <c r="B851" s="7" t="s">
        <v>1743</v>
      </c>
    </row>
    <row r="852" spans="1:2" x14ac:dyDescent="0.35">
      <c r="A852" s="7" t="s">
        <v>1744</v>
      </c>
      <c r="B852" s="7" t="s">
        <v>1745</v>
      </c>
    </row>
    <row r="853" spans="1:2" x14ac:dyDescent="0.35">
      <c r="A853" s="7" t="s">
        <v>1746</v>
      </c>
      <c r="B853" s="7" t="s">
        <v>1747</v>
      </c>
    </row>
    <row r="854" spans="1:2" x14ac:dyDescent="0.35">
      <c r="A854" s="7" t="s">
        <v>1748</v>
      </c>
      <c r="B854" s="7" t="s">
        <v>106</v>
      </c>
    </row>
    <row r="855" spans="1:2" x14ac:dyDescent="0.35">
      <c r="A855" s="7" t="s">
        <v>1749</v>
      </c>
      <c r="B855" s="7" t="s">
        <v>1241</v>
      </c>
    </row>
    <row r="856" spans="1:2" x14ac:dyDescent="0.35">
      <c r="A856" s="7" t="s">
        <v>1750</v>
      </c>
      <c r="B856" s="7" t="s">
        <v>1751</v>
      </c>
    </row>
    <row r="857" spans="1:2" x14ac:dyDescent="0.35">
      <c r="A857" s="7" t="s">
        <v>1752</v>
      </c>
      <c r="B857" s="7" t="s">
        <v>1753</v>
      </c>
    </row>
    <row r="858" spans="1:2" x14ac:dyDescent="0.35">
      <c r="A858" s="7" t="s">
        <v>1754</v>
      </c>
      <c r="B858" s="7" t="s">
        <v>1755</v>
      </c>
    </row>
    <row r="859" spans="1:2" x14ac:dyDescent="0.35">
      <c r="A859" s="7" t="s">
        <v>1756</v>
      </c>
      <c r="B859" s="7" t="s">
        <v>1757</v>
      </c>
    </row>
    <row r="860" spans="1:2" x14ac:dyDescent="0.35">
      <c r="A860" s="7" t="s">
        <v>1758</v>
      </c>
      <c r="B860" s="7" t="s">
        <v>1759</v>
      </c>
    </row>
    <row r="861" spans="1:2" x14ac:dyDescent="0.35">
      <c r="A861" s="7" t="s">
        <v>1760</v>
      </c>
      <c r="B861" s="7" t="s">
        <v>1761</v>
      </c>
    </row>
    <row r="862" spans="1:2" x14ac:dyDescent="0.35">
      <c r="A862" s="7" t="s">
        <v>1762</v>
      </c>
      <c r="B862" s="7" t="s">
        <v>1763</v>
      </c>
    </row>
    <row r="863" spans="1:2" x14ac:dyDescent="0.35">
      <c r="A863" s="7" t="s">
        <v>1764</v>
      </c>
      <c r="B863" s="7" t="s">
        <v>1765</v>
      </c>
    </row>
    <row r="864" spans="1:2" x14ac:dyDescent="0.35">
      <c r="A864" s="7" t="s">
        <v>1766</v>
      </c>
      <c r="B864" s="7" t="s">
        <v>1767</v>
      </c>
    </row>
    <row r="865" spans="1:2" x14ac:dyDescent="0.35">
      <c r="A865" s="7" t="s">
        <v>1768</v>
      </c>
      <c r="B865" s="7" t="s">
        <v>1769</v>
      </c>
    </row>
    <row r="866" spans="1:2" x14ac:dyDescent="0.35">
      <c r="A866" s="7" t="s">
        <v>1770</v>
      </c>
      <c r="B866" s="7" t="s">
        <v>1771</v>
      </c>
    </row>
    <row r="867" spans="1:2" x14ac:dyDescent="0.35">
      <c r="A867" s="7" t="s">
        <v>1772</v>
      </c>
      <c r="B867" s="7" t="s">
        <v>1773</v>
      </c>
    </row>
    <row r="868" spans="1:2" x14ac:dyDescent="0.35">
      <c r="A868" s="7" t="s">
        <v>1774</v>
      </c>
      <c r="B868" s="7" t="s">
        <v>1775</v>
      </c>
    </row>
    <row r="869" spans="1:2" x14ac:dyDescent="0.35">
      <c r="A869" s="7" t="s">
        <v>1776</v>
      </c>
      <c r="B869" s="7" t="s">
        <v>182</v>
      </c>
    </row>
    <row r="870" spans="1:2" x14ac:dyDescent="0.35">
      <c r="A870" s="7" t="s">
        <v>1777</v>
      </c>
      <c r="B870" s="7" t="s">
        <v>1778</v>
      </c>
    </row>
    <row r="871" spans="1:2" x14ac:dyDescent="0.35">
      <c r="A871" s="7" t="s">
        <v>1779</v>
      </c>
      <c r="B871" s="7" t="s">
        <v>1780</v>
      </c>
    </row>
    <row r="872" spans="1:2" x14ac:dyDescent="0.35">
      <c r="A872" s="7" t="s">
        <v>1781</v>
      </c>
      <c r="B872" s="7" t="s">
        <v>1782</v>
      </c>
    </row>
    <row r="873" spans="1:2" x14ac:dyDescent="0.35">
      <c r="A873" s="7" t="s">
        <v>1783</v>
      </c>
      <c r="B873" s="7" t="s">
        <v>1784</v>
      </c>
    </row>
    <row r="874" spans="1:2" x14ac:dyDescent="0.35">
      <c r="A874" s="7" t="s">
        <v>1785</v>
      </c>
      <c r="B874" s="7" t="s">
        <v>1786</v>
      </c>
    </row>
    <row r="875" spans="1:2" x14ac:dyDescent="0.35">
      <c r="A875" s="7" t="s">
        <v>1787</v>
      </c>
      <c r="B875" s="7" t="s">
        <v>1788</v>
      </c>
    </row>
    <row r="876" spans="1:2" x14ac:dyDescent="0.35">
      <c r="A876" s="7" t="s">
        <v>1789</v>
      </c>
      <c r="B876" s="7" t="s">
        <v>1790</v>
      </c>
    </row>
    <row r="877" spans="1:2" x14ac:dyDescent="0.35">
      <c r="A877" s="7" t="s">
        <v>1791</v>
      </c>
      <c r="B877" s="7" t="s">
        <v>258</v>
      </c>
    </row>
    <row r="878" spans="1:2" x14ac:dyDescent="0.35">
      <c r="A878" s="7" t="s">
        <v>1792</v>
      </c>
      <c r="B878" s="7" t="s">
        <v>1793</v>
      </c>
    </row>
    <row r="879" spans="1:2" x14ac:dyDescent="0.35">
      <c r="A879" s="7" t="s">
        <v>1794</v>
      </c>
      <c r="B879" s="7" t="s">
        <v>1711</v>
      </c>
    </row>
    <row r="880" spans="1:2" x14ac:dyDescent="0.35">
      <c r="A880" s="7" t="s">
        <v>1795</v>
      </c>
      <c r="B880" s="7" t="s">
        <v>1796</v>
      </c>
    </row>
    <row r="881" spans="1:2" x14ac:dyDescent="0.35">
      <c r="A881" s="7" t="s">
        <v>1797</v>
      </c>
      <c r="B881" s="7" t="s">
        <v>1798</v>
      </c>
    </row>
    <row r="882" spans="1:2" x14ac:dyDescent="0.35">
      <c r="A882" s="7" t="s">
        <v>1799</v>
      </c>
      <c r="B882" s="7" t="s">
        <v>1800</v>
      </c>
    </row>
    <row r="883" spans="1:2" x14ac:dyDescent="0.35">
      <c r="A883" s="7" t="s">
        <v>1801</v>
      </c>
      <c r="B883" s="7" t="s">
        <v>192</v>
      </c>
    </row>
    <row r="884" spans="1:2" x14ac:dyDescent="0.35">
      <c r="A884" s="7" t="s">
        <v>1802</v>
      </c>
      <c r="B884" s="7" t="s">
        <v>630</v>
      </c>
    </row>
    <row r="885" spans="1:2" x14ac:dyDescent="0.35">
      <c r="A885" s="7" t="s">
        <v>1803</v>
      </c>
      <c r="B885" s="7" t="s">
        <v>1804</v>
      </c>
    </row>
    <row r="886" spans="1:2" x14ac:dyDescent="0.35">
      <c r="A886" s="7" t="s">
        <v>1805</v>
      </c>
      <c r="B886" s="7" t="s">
        <v>1806</v>
      </c>
    </row>
    <row r="887" spans="1:2" x14ac:dyDescent="0.35">
      <c r="A887" s="7" t="s">
        <v>1807</v>
      </c>
      <c r="B887" s="7" t="s">
        <v>1808</v>
      </c>
    </row>
    <row r="888" spans="1:2" x14ac:dyDescent="0.35">
      <c r="A888" s="7" t="s">
        <v>1809</v>
      </c>
      <c r="B888" s="7" t="s">
        <v>1810</v>
      </c>
    </row>
    <row r="889" spans="1:2" x14ac:dyDescent="0.35">
      <c r="A889" s="7" t="s">
        <v>1811</v>
      </c>
      <c r="B889" s="7" t="s">
        <v>1812</v>
      </c>
    </row>
    <row r="890" spans="1:2" x14ac:dyDescent="0.35">
      <c r="A890" s="7" t="s">
        <v>1813</v>
      </c>
      <c r="B890" s="7" t="s">
        <v>1814</v>
      </c>
    </row>
    <row r="891" spans="1:2" x14ac:dyDescent="0.35">
      <c r="A891" s="7" t="s">
        <v>1815</v>
      </c>
      <c r="B891" s="7" t="s">
        <v>1816</v>
      </c>
    </row>
    <row r="892" spans="1:2" x14ac:dyDescent="0.35">
      <c r="A892" s="7" t="s">
        <v>1817</v>
      </c>
      <c r="B892" s="7" t="s">
        <v>1818</v>
      </c>
    </row>
    <row r="893" spans="1:2" x14ac:dyDescent="0.35">
      <c r="A893" s="7" t="s">
        <v>1819</v>
      </c>
      <c r="B893" s="7" t="s">
        <v>1820</v>
      </c>
    </row>
    <row r="894" spans="1:2" x14ac:dyDescent="0.35">
      <c r="A894" s="7" t="s">
        <v>1821</v>
      </c>
      <c r="B894" s="7" t="s">
        <v>1822</v>
      </c>
    </row>
    <row r="895" spans="1:2" x14ac:dyDescent="0.35">
      <c r="A895" s="7" t="s">
        <v>1823</v>
      </c>
      <c r="B895" s="7" t="s">
        <v>1824</v>
      </c>
    </row>
    <row r="896" spans="1:2" x14ac:dyDescent="0.35">
      <c r="A896" s="7" t="s">
        <v>1825</v>
      </c>
      <c r="B896" s="7" t="s">
        <v>1826</v>
      </c>
    </row>
    <row r="897" spans="1:2" x14ac:dyDescent="0.35">
      <c r="A897" s="7" t="s">
        <v>1827</v>
      </c>
      <c r="B897" s="7" t="s">
        <v>1828</v>
      </c>
    </row>
    <row r="898" spans="1:2" x14ac:dyDescent="0.35">
      <c r="A898" s="7" t="s">
        <v>1829</v>
      </c>
      <c r="B898" s="7" t="s">
        <v>1830</v>
      </c>
    </row>
    <row r="899" spans="1:2" x14ac:dyDescent="0.35">
      <c r="A899" s="7" t="s">
        <v>1831</v>
      </c>
      <c r="B899" s="7" t="s">
        <v>1832</v>
      </c>
    </row>
    <row r="900" spans="1:2" x14ac:dyDescent="0.35">
      <c r="A900" s="7" t="s">
        <v>1833</v>
      </c>
      <c r="B900" s="7" t="s">
        <v>1834</v>
      </c>
    </row>
    <row r="901" spans="1:2" x14ac:dyDescent="0.35">
      <c r="A901" s="7" t="s">
        <v>1835</v>
      </c>
      <c r="B901" s="7" t="s">
        <v>938</v>
      </c>
    </row>
    <row r="902" spans="1:2" x14ac:dyDescent="0.35">
      <c r="A902" s="7" t="s">
        <v>1836</v>
      </c>
      <c r="B902" s="7" t="s">
        <v>1837</v>
      </c>
    </row>
    <row r="903" spans="1:2" x14ac:dyDescent="0.35">
      <c r="A903" s="7" t="s">
        <v>1838</v>
      </c>
      <c r="B903" s="7" t="s">
        <v>1839</v>
      </c>
    </row>
    <row r="904" spans="1:2" x14ac:dyDescent="0.35">
      <c r="A904" s="7" t="s">
        <v>1840</v>
      </c>
      <c r="B904" s="7" t="s">
        <v>1841</v>
      </c>
    </row>
    <row r="905" spans="1:2" x14ac:dyDescent="0.35">
      <c r="A905" s="7" t="s">
        <v>1842</v>
      </c>
      <c r="B905" s="7" t="s">
        <v>1843</v>
      </c>
    </row>
    <row r="906" spans="1:2" x14ac:dyDescent="0.35">
      <c r="A906" s="7" t="s">
        <v>1844</v>
      </c>
      <c r="B906" s="7" t="s">
        <v>266</v>
      </c>
    </row>
    <row r="907" spans="1:2" x14ac:dyDescent="0.35">
      <c r="A907" s="7" t="s">
        <v>1845</v>
      </c>
      <c r="B907" s="7" t="s">
        <v>1846</v>
      </c>
    </row>
    <row r="908" spans="1:2" x14ac:dyDescent="0.35">
      <c r="A908" s="7" t="s">
        <v>1847</v>
      </c>
      <c r="B908" s="7" t="s">
        <v>1848</v>
      </c>
    </row>
    <row r="909" spans="1:2" x14ac:dyDescent="0.35">
      <c r="A909" s="7" t="s">
        <v>1849</v>
      </c>
      <c r="B909" s="7" t="s">
        <v>1850</v>
      </c>
    </row>
    <row r="910" spans="1:2" x14ac:dyDescent="0.35">
      <c r="A910" s="7" t="s">
        <v>1851</v>
      </c>
      <c r="B910" s="7" t="s">
        <v>1852</v>
      </c>
    </row>
    <row r="911" spans="1:2" x14ac:dyDescent="0.35">
      <c r="A911" s="7" t="s">
        <v>1853</v>
      </c>
      <c r="B911" s="7" t="s">
        <v>1854</v>
      </c>
    </row>
    <row r="912" spans="1:2" x14ac:dyDescent="0.35">
      <c r="A912" s="7" t="s">
        <v>1855</v>
      </c>
      <c r="B912" s="7" t="s">
        <v>1856</v>
      </c>
    </row>
    <row r="913" spans="1:2" x14ac:dyDescent="0.35">
      <c r="A913" s="7" t="s">
        <v>1857</v>
      </c>
      <c r="B913" s="7" t="s">
        <v>1858</v>
      </c>
    </row>
    <row r="914" spans="1:2" x14ac:dyDescent="0.35">
      <c r="A914" s="7" t="s">
        <v>1859</v>
      </c>
      <c r="B914" s="7" t="s">
        <v>1860</v>
      </c>
    </row>
    <row r="915" spans="1:2" x14ac:dyDescent="0.35">
      <c r="A915" s="7" t="s">
        <v>1861</v>
      </c>
      <c r="B915" s="7" t="s">
        <v>170</v>
      </c>
    </row>
    <row r="916" spans="1:2" x14ac:dyDescent="0.35">
      <c r="A916" s="7" t="s">
        <v>1862</v>
      </c>
      <c r="B916" s="7" t="s">
        <v>1863</v>
      </c>
    </row>
    <row r="917" spans="1:2" x14ac:dyDescent="0.35">
      <c r="A917" s="7" t="s">
        <v>1864</v>
      </c>
      <c r="B917" s="7" t="s">
        <v>1865</v>
      </c>
    </row>
    <row r="918" spans="1:2" x14ac:dyDescent="0.35">
      <c r="A918" s="7" t="s">
        <v>1866</v>
      </c>
      <c r="B918" s="7" t="s">
        <v>1867</v>
      </c>
    </row>
    <row r="919" spans="1:2" x14ac:dyDescent="0.35">
      <c r="A919" s="7" t="s">
        <v>1868</v>
      </c>
      <c r="B919" s="7" t="s">
        <v>1869</v>
      </c>
    </row>
    <row r="920" spans="1:2" x14ac:dyDescent="0.35">
      <c r="A920" s="7" t="s">
        <v>1870</v>
      </c>
      <c r="B920" s="7" t="s">
        <v>1871</v>
      </c>
    </row>
    <row r="921" spans="1:2" x14ac:dyDescent="0.35">
      <c r="A921" s="7" t="s">
        <v>1872</v>
      </c>
      <c r="B921" s="7" t="s">
        <v>1873</v>
      </c>
    </row>
    <row r="922" spans="1:2" x14ac:dyDescent="0.35">
      <c r="A922" s="7" t="s">
        <v>1874</v>
      </c>
      <c r="B922" s="7" t="s">
        <v>1875</v>
      </c>
    </row>
    <row r="923" spans="1:2" x14ac:dyDescent="0.35">
      <c r="A923" s="7" t="s">
        <v>1876</v>
      </c>
      <c r="B923" s="7" t="s">
        <v>1877</v>
      </c>
    </row>
    <row r="924" spans="1:2" x14ac:dyDescent="0.35">
      <c r="A924" s="7" t="s">
        <v>1878</v>
      </c>
      <c r="B924" s="7" t="s">
        <v>1879</v>
      </c>
    </row>
    <row r="925" spans="1:2" x14ac:dyDescent="0.35">
      <c r="A925" s="7" t="s">
        <v>1880</v>
      </c>
      <c r="B925" s="7" t="s">
        <v>1881</v>
      </c>
    </row>
    <row r="926" spans="1:2" x14ac:dyDescent="0.35">
      <c r="A926" s="7" t="s">
        <v>1882</v>
      </c>
      <c r="B926" s="7" t="s">
        <v>1883</v>
      </c>
    </row>
    <row r="927" spans="1:2" x14ac:dyDescent="0.35">
      <c r="A927" s="7" t="s">
        <v>1884</v>
      </c>
      <c r="B927" s="7" t="s">
        <v>1885</v>
      </c>
    </row>
    <row r="928" spans="1:2" x14ac:dyDescent="0.35">
      <c r="A928" s="7" t="s">
        <v>1886</v>
      </c>
      <c r="B928" s="7" t="s">
        <v>1887</v>
      </c>
    </row>
    <row r="929" spans="1:2" x14ac:dyDescent="0.35">
      <c r="A929" s="7" t="s">
        <v>1888</v>
      </c>
      <c r="B929" s="7" t="s">
        <v>234</v>
      </c>
    </row>
    <row r="930" spans="1:2" x14ac:dyDescent="0.35">
      <c r="A930" s="7" t="s">
        <v>1889</v>
      </c>
      <c r="B930" s="7" t="s">
        <v>1890</v>
      </c>
    </row>
    <row r="931" spans="1:2" x14ac:dyDescent="0.35">
      <c r="A931" s="7" t="s">
        <v>1891</v>
      </c>
      <c r="B931" s="7" t="s">
        <v>1892</v>
      </c>
    </row>
    <row r="932" spans="1:2" x14ac:dyDescent="0.35">
      <c r="A932" s="7" t="s">
        <v>1893</v>
      </c>
      <c r="B932" s="7" t="s">
        <v>1894</v>
      </c>
    </row>
    <row r="933" spans="1:2" x14ac:dyDescent="0.35">
      <c r="A933" s="7" t="s">
        <v>1895</v>
      </c>
      <c r="B933" s="7" t="s">
        <v>1896</v>
      </c>
    </row>
    <row r="934" spans="1:2" x14ac:dyDescent="0.35">
      <c r="A934" s="7" t="s">
        <v>1897</v>
      </c>
      <c r="B934" s="7" t="s">
        <v>1898</v>
      </c>
    </row>
    <row r="935" spans="1:2" x14ac:dyDescent="0.35">
      <c r="A935" s="7" t="s">
        <v>1899</v>
      </c>
      <c r="B935" s="7" t="s">
        <v>174</v>
      </c>
    </row>
    <row r="936" spans="1:2" x14ac:dyDescent="0.35">
      <c r="A936" s="7" t="s">
        <v>1900</v>
      </c>
      <c r="B936" s="7" t="s">
        <v>1901</v>
      </c>
    </row>
    <row r="937" spans="1:2" x14ac:dyDescent="0.35">
      <c r="A937" s="7" t="s">
        <v>1902</v>
      </c>
      <c r="B937" s="7" t="s">
        <v>1793</v>
      </c>
    </row>
    <row r="938" spans="1:2" x14ac:dyDescent="0.35">
      <c r="A938" s="7" t="s">
        <v>1903</v>
      </c>
      <c r="B938" s="7" t="s">
        <v>1904</v>
      </c>
    </row>
    <row r="939" spans="1:2" x14ac:dyDescent="0.35">
      <c r="A939" s="7" t="s">
        <v>1905</v>
      </c>
      <c r="B939" s="7" t="s">
        <v>1906</v>
      </c>
    </row>
    <row r="940" spans="1:2" x14ac:dyDescent="0.35">
      <c r="A940" s="7" t="s">
        <v>1907</v>
      </c>
      <c r="B940" s="7" t="s">
        <v>1293</v>
      </c>
    </row>
    <row r="941" spans="1:2" x14ac:dyDescent="0.35">
      <c r="A941" s="7" t="s">
        <v>1908</v>
      </c>
      <c r="B941" s="7" t="s">
        <v>1909</v>
      </c>
    </row>
    <row r="942" spans="1:2" x14ac:dyDescent="0.35">
      <c r="A942" s="7" t="s">
        <v>1910</v>
      </c>
      <c r="B942" s="7" t="s">
        <v>1911</v>
      </c>
    </row>
    <row r="943" spans="1:2" x14ac:dyDescent="0.35">
      <c r="A943" s="7" t="s">
        <v>1912</v>
      </c>
      <c r="B943" s="7" t="s">
        <v>1913</v>
      </c>
    </row>
    <row r="944" spans="1:2" x14ac:dyDescent="0.35">
      <c r="A944" s="7" t="s">
        <v>1914</v>
      </c>
      <c r="B944" s="7" t="s">
        <v>1915</v>
      </c>
    </row>
    <row r="945" spans="1:2" x14ac:dyDescent="0.35">
      <c r="A945" s="7" t="s">
        <v>1916</v>
      </c>
      <c r="B945" s="7" t="s">
        <v>1917</v>
      </c>
    </row>
    <row r="946" spans="1:2" x14ac:dyDescent="0.35">
      <c r="A946" s="7" t="s">
        <v>1918</v>
      </c>
      <c r="B946" s="7" t="s">
        <v>1919</v>
      </c>
    </row>
    <row r="947" spans="1:2" x14ac:dyDescent="0.35">
      <c r="A947" s="7" t="s">
        <v>1920</v>
      </c>
      <c r="B947" s="7" t="s">
        <v>1921</v>
      </c>
    </row>
    <row r="948" spans="1:2" x14ac:dyDescent="0.35">
      <c r="A948" s="7" t="s">
        <v>1922</v>
      </c>
      <c r="B948" s="7" t="s">
        <v>1923</v>
      </c>
    </row>
    <row r="949" spans="1:2" x14ac:dyDescent="0.35">
      <c r="A949" s="7" t="s">
        <v>1924</v>
      </c>
      <c r="B949" s="7" t="s">
        <v>1925</v>
      </c>
    </row>
    <row r="950" spans="1:2" x14ac:dyDescent="0.35">
      <c r="A950" s="7" t="s">
        <v>1926</v>
      </c>
      <c r="B950" s="7" t="s">
        <v>1927</v>
      </c>
    </row>
    <row r="951" spans="1:2" x14ac:dyDescent="0.35">
      <c r="A951" s="7" t="s">
        <v>1928</v>
      </c>
      <c r="B951" s="7" t="s">
        <v>1929</v>
      </c>
    </row>
    <row r="952" spans="1:2" x14ac:dyDescent="0.35">
      <c r="A952" s="7" t="s">
        <v>1930</v>
      </c>
      <c r="B952" s="7" t="s">
        <v>1931</v>
      </c>
    </row>
    <row r="953" spans="1:2" x14ac:dyDescent="0.35">
      <c r="A953" s="7" t="s">
        <v>1932</v>
      </c>
      <c r="B953" s="7" t="s">
        <v>1933</v>
      </c>
    </row>
    <row r="954" spans="1:2" x14ac:dyDescent="0.35">
      <c r="A954" s="7" t="s">
        <v>1934</v>
      </c>
      <c r="B954" s="7" t="s">
        <v>463</v>
      </c>
    </row>
    <row r="955" spans="1:2" x14ac:dyDescent="0.35">
      <c r="A955" s="7" t="s">
        <v>1935</v>
      </c>
      <c r="B955" s="7" t="s">
        <v>1936</v>
      </c>
    </row>
    <row r="956" spans="1:2" x14ac:dyDescent="0.35">
      <c r="A956" s="7" t="s">
        <v>1937</v>
      </c>
      <c r="B956" s="7" t="s">
        <v>278</v>
      </c>
    </row>
    <row r="957" spans="1:2" x14ac:dyDescent="0.35">
      <c r="A957" s="7" t="s">
        <v>1938</v>
      </c>
      <c r="B957" s="7" t="s">
        <v>1939</v>
      </c>
    </row>
    <row r="958" spans="1:2" x14ac:dyDescent="0.35">
      <c r="A958" s="7" t="s">
        <v>1940</v>
      </c>
      <c r="B958" s="7" t="s">
        <v>1941</v>
      </c>
    </row>
    <row r="959" spans="1:2" x14ac:dyDescent="0.35">
      <c r="A959" s="7" t="s">
        <v>1942</v>
      </c>
      <c r="B959" s="7" t="s">
        <v>1943</v>
      </c>
    </row>
    <row r="960" spans="1:2" x14ac:dyDescent="0.35">
      <c r="A960" s="7" t="s">
        <v>1944</v>
      </c>
      <c r="B960" s="7" t="s">
        <v>1945</v>
      </c>
    </row>
    <row r="961" spans="1:2" x14ac:dyDescent="0.35">
      <c r="A961" s="7" t="s">
        <v>1946</v>
      </c>
      <c r="B961" s="7" t="s">
        <v>1947</v>
      </c>
    </row>
    <row r="962" spans="1:2" x14ac:dyDescent="0.35">
      <c r="A962" s="7" t="s">
        <v>1948</v>
      </c>
      <c r="B962" s="7" t="s">
        <v>1949</v>
      </c>
    </row>
    <row r="963" spans="1:2" x14ac:dyDescent="0.35">
      <c r="A963" s="7" t="s">
        <v>1950</v>
      </c>
      <c r="B963" s="7" t="s">
        <v>1951</v>
      </c>
    </row>
    <row r="964" spans="1:2" x14ac:dyDescent="0.35">
      <c r="A964" s="7" t="s">
        <v>1952</v>
      </c>
      <c r="B964" s="7" t="s">
        <v>1953</v>
      </c>
    </row>
    <row r="965" spans="1:2" x14ac:dyDescent="0.35">
      <c r="A965" s="7" t="s">
        <v>1954</v>
      </c>
      <c r="B965" s="7" t="s">
        <v>1955</v>
      </c>
    </row>
    <row r="966" spans="1:2" x14ac:dyDescent="0.35">
      <c r="A966" s="7" t="s">
        <v>1956</v>
      </c>
      <c r="B966" s="7" t="s">
        <v>1957</v>
      </c>
    </row>
    <row r="967" spans="1:2" x14ac:dyDescent="0.35">
      <c r="A967" s="7" t="s">
        <v>1958</v>
      </c>
      <c r="B967" s="7" t="s">
        <v>1959</v>
      </c>
    </row>
    <row r="968" spans="1:2" x14ac:dyDescent="0.35">
      <c r="A968" s="7" t="s">
        <v>1960</v>
      </c>
      <c r="B968" s="7" t="s">
        <v>1961</v>
      </c>
    </row>
    <row r="969" spans="1:2" x14ac:dyDescent="0.35">
      <c r="A969" s="7" t="s">
        <v>1962</v>
      </c>
      <c r="B969" s="7" t="s">
        <v>1963</v>
      </c>
    </row>
    <row r="970" spans="1:2" x14ac:dyDescent="0.35">
      <c r="A970" s="7" t="s">
        <v>1964</v>
      </c>
      <c r="B970" s="7" t="s">
        <v>1965</v>
      </c>
    </row>
    <row r="971" spans="1:2" x14ac:dyDescent="0.35">
      <c r="A971" s="7" t="s">
        <v>1966</v>
      </c>
      <c r="B971" s="7" t="s">
        <v>1967</v>
      </c>
    </row>
    <row r="972" spans="1:2" x14ac:dyDescent="0.35">
      <c r="A972" s="7" t="s">
        <v>1968</v>
      </c>
      <c r="B972" s="7" t="s">
        <v>254</v>
      </c>
    </row>
    <row r="973" spans="1:2" x14ac:dyDescent="0.35">
      <c r="A973" s="7" t="s">
        <v>1969</v>
      </c>
      <c r="B973" s="7" t="s">
        <v>1970</v>
      </c>
    </row>
    <row r="974" spans="1:2" x14ac:dyDescent="0.35">
      <c r="A974" s="7" t="s">
        <v>1971</v>
      </c>
      <c r="B974" s="7" t="s">
        <v>1972</v>
      </c>
    </row>
    <row r="975" spans="1:2" x14ac:dyDescent="0.35">
      <c r="A975" s="7" t="s">
        <v>1973</v>
      </c>
      <c r="B975" s="7" t="s">
        <v>1974</v>
      </c>
    </row>
    <row r="976" spans="1:2" x14ac:dyDescent="0.35">
      <c r="A976" s="7" t="s">
        <v>1975</v>
      </c>
      <c r="B976" s="7" t="s">
        <v>1976</v>
      </c>
    </row>
    <row r="977" spans="1:2" x14ac:dyDescent="0.35">
      <c r="A977" s="7" t="s">
        <v>1977</v>
      </c>
      <c r="B977" s="7" t="s">
        <v>1978</v>
      </c>
    </row>
    <row r="978" spans="1:2" x14ac:dyDescent="0.35">
      <c r="A978" s="7" t="s">
        <v>1979</v>
      </c>
      <c r="B978" s="7" t="s">
        <v>811</v>
      </c>
    </row>
    <row r="979" spans="1:2" x14ac:dyDescent="0.35">
      <c r="A979" s="7" t="s">
        <v>1980</v>
      </c>
      <c r="B979" s="7" t="s">
        <v>340</v>
      </c>
    </row>
    <row r="980" spans="1:2" x14ac:dyDescent="0.35">
      <c r="A980" s="7" t="s">
        <v>1981</v>
      </c>
      <c r="B980" s="7" t="s">
        <v>940</v>
      </c>
    </row>
    <row r="981" spans="1:2" x14ac:dyDescent="0.35">
      <c r="A981" s="7" t="s">
        <v>1982</v>
      </c>
      <c r="B981" s="7" t="s">
        <v>1983</v>
      </c>
    </row>
    <row r="982" spans="1:2" x14ac:dyDescent="0.35">
      <c r="A982" s="7" t="s">
        <v>1984</v>
      </c>
      <c r="B982" s="7" t="s">
        <v>1985</v>
      </c>
    </row>
    <row r="983" spans="1:2" x14ac:dyDescent="0.35">
      <c r="A983" s="7" t="s">
        <v>1986</v>
      </c>
      <c r="B983" s="7" t="s">
        <v>1233</v>
      </c>
    </row>
    <row r="984" spans="1:2" x14ac:dyDescent="0.35">
      <c r="A984" s="7" t="s">
        <v>1987</v>
      </c>
      <c r="B984" s="7" t="s">
        <v>1988</v>
      </c>
    </row>
    <row r="985" spans="1:2" x14ac:dyDescent="0.35">
      <c r="A985" s="7" t="s">
        <v>1989</v>
      </c>
      <c r="B985" s="7" t="s">
        <v>1990</v>
      </c>
    </row>
    <row r="986" spans="1:2" x14ac:dyDescent="0.35">
      <c r="A986" s="7" t="s">
        <v>1991</v>
      </c>
      <c r="B986" s="7" t="s">
        <v>1992</v>
      </c>
    </row>
    <row r="987" spans="1:2" x14ac:dyDescent="0.35">
      <c r="A987" s="7" t="s">
        <v>1993</v>
      </c>
      <c r="B987" s="7" t="s">
        <v>1994</v>
      </c>
    </row>
    <row r="988" spans="1:2" x14ac:dyDescent="0.35">
      <c r="A988" s="7" t="s">
        <v>1995</v>
      </c>
      <c r="B988" s="7" t="s">
        <v>1996</v>
      </c>
    </row>
    <row r="989" spans="1:2" x14ac:dyDescent="0.35">
      <c r="A989" s="7" t="s">
        <v>1997</v>
      </c>
      <c r="B989" s="7" t="s">
        <v>981</v>
      </c>
    </row>
    <row r="990" spans="1:2" x14ac:dyDescent="0.35">
      <c r="A990" s="7" t="s">
        <v>1998</v>
      </c>
      <c r="B990" s="7" t="s">
        <v>1999</v>
      </c>
    </row>
    <row r="991" spans="1:2" x14ac:dyDescent="0.35">
      <c r="A991" s="7" t="s">
        <v>2000</v>
      </c>
      <c r="B991" s="7" t="s">
        <v>2001</v>
      </c>
    </row>
    <row r="992" spans="1:2" x14ac:dyDescent="0.35">
      <c r="A992" s="7" t="s">
        <v>2002</v>
      </c>
      <c r="B992" s="7" t="s">
        <v>2003</v>
      </c>
    </row>
    <row r="993" spans="1:2" x14ac:dyDescent="0.35">
      <c r="A993" s="7" t="s">
        <v>2004</v>
      </c>
      <c r="B993" s="7" t="s">
        <v>2005</v>
      </c>
    </row>
    <row r="994" spans="1:2" x14ac:dyDescent="0.35">
      <c r="A994" s="7" t="s">
        <v>2006</v>
      </c>
      <c r="B994" s="7" t="s">
        <v>955</v>
      </c>
    </row>
    <row r="995" spans="1:2" x14ac:dyDescent="0.35">
      <c r="A995" s="7" t="s">
        <v>2007</v>
      </c>
      <c r="B995" s="7" t="s">
        <v>2008</v>
      </c>
    </row>
    <row r="996" spans="1:2" x14ac:dyDescent="0.35">
      <c r="A996" s="7" t="s">
        <v>2009</v>
      </c>
      <c r="B996" s="7" t="s">
        <v>2010</v>
      </c>
    </row>
    <row r="997" spans="1:2" x14ac:dyDescent="0.35">
      <c r="A997" s="7" t="s">
        <v>2011</v>
      </c>
      <c r="B997" s="7" t="s">
        <v>2012</v>
      </c>
    </row>
    <row r="998" spans="1:2" x14ac:dyDescent="0.35">
      <c r="A998" s="7" t="s">
        <v>2013</v>
      </c>
      <c r="B998" s="7" t="s">
        <v>955</v>
      </c>
    </row>
    <row r="999" spans="1:2" x14ac:dyDescent="0.35">
      <c r="A999" s="7" t="s">
        <v>2014</v>
      </c>
      <c r="B999" s="7" t="s">
        <v>2015</v>
      </c>
    </row>
    <row r="1000" spans="1:2" x14ac:dyDescent="0.35">
      <c r="A1000" s="7" t="s">
        <v>2016</v>
      </c>
      <c r="B1000" s="7" t="s">
        <v>2017</v>
      </c>
    </row>
    <row r="1001" spans="1:2" x14ac:dyDescent="0.35">
      <c r="A1001" s="7" t="s">
        <v>2018</v>
      </c>
      <c r="B1001" s="7" t="s">
        <v>2019</v>
      </c>
    </row>
    <row r="1002" spans="1:2" x14ac:dyDescent="0.35">
      <c r="A1002" s="7" t="s">
        <v>2020</v>
      </c>
      <c r="B1002" s="7" t="s">
        <v>2021</v>
      </c>
    </row>
    <row r="1003" spans="1:2" x14ac:dyDescent="0.35">
      <c r="A1003" s="7" t="s">
        <v>2022</v>
      </c>
      <c r="B1003" s="7" t="s">
        <v>2023</v>
      </c>
    </row>
    <row r="1004" spans="1:2" x14ac:dyDescent="0.35">
      <c r="A1004" s="7" t="s">
        <v>2024</v>
      </c>
      <c r="B1004" s="7" t="s">
        <v>2025</v>
      </c>
    </row>
    <row r="1005" spans="1:2" x14ac:dyDescent="0.35">
      <c r="A1005" s="7" t="s">
        <v>2026</v>
      </c>
      <c r="B1005" s="7" t="s">
        <v>2027</v>
      </c>
    </row>
    <row r="1006" spans="1:2" x14ac:dyDescent="0.35">
      <c r="A1006" s="7" t="s">
        <v>2028</v>
      </c>
      <c r="B1006" s="7" t="s">
        <v>2029</v>
      </c>
    </row>
    <row r="1007" spans="1:2" x14ac:dyDescent="0.35">
      <c r="A1007" s="7" t="s">
        <v>2030</v>
      </c>
      <c r="B1007" s="7" t="s">
        <v>2031</v>
      </c>
    </row>
    <row r="1008" spans="1:2" x14ac:dyDescent="0.35">
      <c r="A1008" s="7" t="s">
        <v>2032</v>
      </c>
      <c r="B1008" s="7" t="s">
        <v>2033</v>
      </c>
    </row>
    <row r="1009" spans="1:2" x14ac:dyDescent="0.35">
      <c r="A1009" s="7" t="s">
        <v>2034</v>
      </c>
      <c r="B1009" s="7" t="s">
        <v>630</v>
      </c>
    </row>
    <row r="1010" spans="1:2" x14ac:dyDescent="0.35">
      <c r="A1010" s="7" t="s">
        <v>2035</v>
      </c>
      <c r="B1010" s="7" t="s">
        <v>2036</v>
      </c>
    </row>
    <row r="1011" spans="1:2" x14ac:dyDescent="0.35">
      <c r="A1011" s="7" t="s">
        <v>2037</v>
      </c>
      <c r="B1011" s="7" t="s">
        <v>2038</v>
      </c>
    </row>
    <row r="1012" spans="1:2" x14ac:dyDescent="0.35">
      <c r="A1012" s="7" t="s">
        <v>2039</v>
      </c>
      <c r="B1012" s="7" t="s">
        <v>2040</v>
      </c>
    </row>
    <row r="1013" spans="1:2" x14ac:dyDescent="0.35">
      <c r="A1013" s="7" t="s">
        <v>2041</v>
      </c>
      <c r="B1013" s="7" t="s">
        <v>2042</v>
      </c>
    </row>
    <row r="1014" spans="1:2" x14ac:dyDescent="0.35">
      <c r="A1014" s="7" t="s">
        <v>2043</v>
      </c>
      <c r="B1014" s="7" t="s">
        <v>2044</v>
      </c>
    </row>
    <row r="1015" spans="1:2" x14ac:dyDescent="0.35">
      <c r="A1015" s="7" t="s">
        <v>2045</v>
      </c>
      <c r="B1015" s="7" t="s">
        <v>2046</v>
      </c>
    </row>
    <row r="1016" spans="1:2" x14ac:dyDescent="0.35">
      <c r="A1016" s="7" t="s">
        <v>2047</v>
      </c>
      <c r="B1016" s="7" t="s">
        <v>178</v>
      </c>
    </row>
    <row r="1017" spans="1:2" x14ac:dyDescent="0.35">
      <c r="A1017" s="7" t="s">
        <v>2048</v>
      </c>
      <c r="B1017" s="7" t="s">
        <v>2049</v>
      </c>
    </row>
    <row r="1018" spans="1:2" x14ac:dyDescent="0.35">
      <c r="A1018" s="7" t="s">
        <v>2050</v>
      </c>
      <c r="B1018" s="7" t="s">
        <v>2051</v>
      </c>
    </row>
    <row r="1019" spans="1:2" x14ac:dyDescent="0.35">
      <c r="A1019" s="7" t="s">
        <v>2052</v>
      </c>
      <c r="B1019" s="7" t="s">
        <v>244</v>
      </c>
    </row>
    <row r="1020" spans="1:2" x14ac:dyDescent="0.35">
      <c r="A1020" s="7" t="s">
        <v>2053</v>
      </c>
      <c r="B1020" s="7" t="s">
        <v>2054</v>
      </c>
    </row>
    <row r="1021" spans="1:2" x14ac:dyDescent="0.35">
      <c r="A1021" s="7" t="s">
        <v>2055</v>
      </c>
      <c r="B1021" s="7" t="s">
        <v>2056</v>
      </c>
    </row>
    <row r="1022" spans="1:2" x14ac:dyDescent="0.35">
      <c r="A1022" s="7" t="s">
        <v>2057</v>
      </c>
      <c r="B1022" s="7" t="s">
        <v>2058</v>
      </c>
    </row>
    <row r="1023" spans="1:2" x14ac:dyDescent="0.35">
      <c r="A1023" s="7" t="s">
        <v>2059</v>
      </c>
      <c r="B1023" s="7" t="s">
        <v>2060</v>
      </c>
    </row>
    <row r="1024" spans="1:2" x14ac:dyDescent="0.35">
      <c r="A1024" s="7" t="s">
        <v>2061</v>
      </c>
      <c r="B1024" s="7" t="s">
        <v>2062</v>
      </c>
    </row>
    <row r="1025" spans="1:2" x14ac:dyDescent="0.35">
      <c r="A1025" s="7" t="s">
        <v>2063</v>
      </c>
      <c r="B1025" s="7" t="s">
        <v>2064</v>
      </c>
    </row>
    <row r="1026" spans="1:2" x14ac:dyDescent="0.35">
      <c r="A1026" s="7" t="s">
        <v>2065</v>
      </c>
      <c r="B1026" s="7" t="s">
        <v>2066</v>
      </c>
    </row>
    <row r="1027" spans="1:2" x14ac:dyDescent="0.35">
      <c r="A1027" s="7" t="s">
        <v>2067</v>
      </c>
      <c r="B1027" s="7" t="s">
        <v>2068</v>
      </c>
    </row>
    <row r="1028" spans="1:2" x14ac:dyDescent="0.35">
      <c r="A1028" s="7" t="s">
        <v>2069</v>
      </c>
      <c r="B1028" s="7" t="s">
        <v>2070</v>
      </c>
    </row>
    <row r="1029" spans="1:2" x14ac:dyDescent="0.35">
      <c r="A1029" s="7" t="s">
        <v>2071</v>
      </c>
      <c r="B1029" s="7" t="s">
        <v>2072</v>
      </c>
    </row>
    <row r="1030" spans="1:2" x14ac:dyDescent="0.35">
      <c r="A1030" s="7" t="s">
        <v>2073</v>
      </c>
      <c r="B1030" s="7" t="s">
        <v>2074</v>
      </c>
    </row>
    <row r="1031" spans="1:2" x14ac:dyDescent="0.35">
      <c r="A1031" s="7" t="s">
        <v>2075</v>
      </c>
      <c r="B1031" s="7" t="s">
        <v>2076</v>
      </c>
    </row>
    <row r="1032" spans="1:2" x14ac:dyDescent="0.35">
      <c r="A1032" s="7" t="s">
        <v>2077</v>
      </c>
      <c r="B1032" s="7" t="s">
        <v>2078</v>
      </c>
    </row>
    <row r="1033" spans="1:2" x14ac:dyDescent="0.35">
      <c r="A1033" s="7" t="s">
        <v>2079</v>
      </c>
      <c r="B1033" s="7" t="s">
        <v>2080</v>
      </c>
    </row>
    <row r="1034" spans="1:2" x14ac:dyDescent="0.35">
      <c r="A1034" s="7" t="s">
        <v>2081</v>
      </c>
      <c r="B1034" s="7" t="s">
        <v>2082</v>
      </c>
    </row>
    <row r="1035" spans="1:2" x14ac:dyDescent="0.35">
      <c r="A1035" s="7" t="s">
        <v>2083</v>
      </c>
      <c r="B1035" s="7" t="s">
        <v>2084</v>
      </c>
    </row>
    <row r="1036" spans="1:2" x14ac:dyDescent="0.35">
      <c r="A1036" s="7" t="s">
        <v>2085</v>
      </c>
      <c r="B1036" s="7" t="s">
        <v>2086</v>
      </c>
    </row>
    <row r="1037" spans="1:2" x14ac:dyDescent="0.35">
      <c r="A1037" s="7" t="s">
        <v>2087</v>
      </c>
      <c r="B1037" s="7" t="s">
        <v>2088</v>
      </c>
    </row>
    <row r="1038" spans="1:2" x14ac:dyDescent="0.35">
      <c r="A1038" s="7" t="s">
        <v>2089</v>
      </c>
      <c r="B1038" s="7" t="s">
        <v>2090</v>
      </c>
    </row>
    <row r="1039" spans="1:2" x14ac:dyDescent="0.35">
      <c r="A1039" s="7" t="s">
        <v>2091</v>
      </c>
      <c r="B1039" s="7" t="s">
        <v>2092</v>
      </c>
    </row>
    <row r="1040" spans="1:2" x14ac:dyDescent="0.35">
      <c r="A1040" s="7" t="s">
        <v>2093</v>
      </c>
      <c r="B1040" s="7" t="s">
        <v>2094</v>
      </c>
    </row>
    <row r="1041" spans="1:2" x14ac:dyDescent="0.35">
      <c r="A1041" s="7" t="s">
        <v>2095</v>
      </c>
      <c r="B1041" s="7" t="s">
        <v>2096</v>
      </c>
    </row>
    <row r="1042" spans="1:2" x14ac:dyDescent="0.35">
      <c r="A1042" s="7" t="s">
        <v>2097</v>
      </c>
      <c r="B1042" s="7" t="s">
        <v>2098</v>
      </c>
    </row>
    <row r="1043" spans="1:2" x14ac:dyDescent="0.35">
      <c r="A1043" s="7" t="s">
        <v>2099</v>
      </c>
      <c r="B1043" s="7" t="s">
        <v>2100</v>
      </c>
    </row>
    <row r="1044" spans="1:2" x14ac:dyDescent="0.35">
      <c r="A1044" s="7" t="s">
        <v>2101</v>
      </c>
      <c r="B1044" s="7" t="s">
        <v>2102</v>
      </c>
    </row>
    <row r="1045" spans="1:2" x14ac:dyDescent="0.35">
      <c r="A1045" s="7" t="s">
        <v>2103</v>
      </c>
      <c r="B1045" s="7" t="s">
        <v>2104</v>
      </c>
    </row>
    <row r="1046" spans="1:2" x14ac:dyDescent="0.35">
      <c r="A1046" s="7" t="s">
        <v>2105</v>
      </c>
      <c r="B1046" s="7" t="s">
        <v>2106</v>
      </c>
    </row>
    <row r="1047" spans="1:2" x14ac:dyDescent="0.35">
      <c r="A1047" s="7" t="s">
        <v>2107</v>
      </c>
      <c r="B1047" s="7" t="s">
        <v>2108</v>
      </c>
    </row>
    <row r="1048" spans="1:2" x14ac:dyDescent="0.35">
      <c r="A1048" s="7" t="s">
        <v>2109</v>
      </c>
      <c r="B1048" s="7" t="s">
        <v>2110</v>
      </c>
    </row>
    <row r="1049" spans="1:2" x14ac:dyDescent="0.35">
      <c r="A1049" s="7" t="s">
        <v>2111</v>
      </c>
      <c r="B1049" s="7" t="s">
        <v>2112</v>
      </c>
    </row>
    <row r="1050" spans="1:2" x14ac:dyDescent="0.35">
      <c r="A1050" s="7" t="s">
        <v>2113</v>
      </c>
      <c r="B1050" s="7" t="s">
        <v>2114</v>
      </c>
    </row>
    <row r="1051" spans="1:2" x14ac:dyDescent="0.35">
      <c r="A1051" s="7" t="s">
        <v>2115</v>
      </c>
      <c r="B1051" s="7" t="s">
        <v>2116</v>
      </c>
    </row>
    <row r="1052" spans="1:2" x14ac:dyDescent="0.35">
      <c r="A1052" s="7" t="s">
        <v>2117</v>
      </c>
      <c r="B1052" s="7" t="s">
        <v>260</v>
      </c>
    </row>
    <row r="1053" spans="1:2" x14ac:dyDescent="0.35">
      <c r="A1053" s="7" t="s">
        <v>2118</v>
      </c>
      <c r="B1053" s="7" t="s">
        <v>2119</v>
      </c>
    </row>
    <row r="1054" spans="1:2" x14ac:dyDescent="0.35">
      <c r="A1054" s="7" t="s">
        <v>2120</v>
      </c>
      <c r="B1054" s="7" t="s">
        <v>2121</v>
      </c>
    </row>
    <row r="1055" spans="1:2" x14ac:dyDescent="0.35">
      <c r="A1055" s="7" t="s">
        <v>2122</v>
      </c>
      <c r="B1055" s="7" t="s">
        <v>2123</v>
      </c>
    </row>
    <row r="1056" spans="1:2" x14ac:dyDescent="0.35">
      <c r="A1056" s="7" t="s">
        <v>2124</v>
      </c>
      <c r="B1056" s="7" t="s">
        <v>2125</v>
      </c>
    </row>
    <row r="1057" spans="1:2" x14ac:dyDescent="0.35">
      <c r="A1057" s="7" t="s">
        <v>2126</v>
      </c>
      <c r="B1057" s="7" t="s">
        <v>2127</v>
      </c>
    </row>
    <row r="1058" spans="1:2" x14ac:dyDescent="0.35">
      <c r="A1058" s="7" t="s">
        <v>2128</v>
      </c>
      <c r="B1058" s="7" t="s">
        <v>2129</v>
      </c>
    </row>
    <row r="1059" spans="1:2" x14ac:dyDescent="0.35">
      <c r="A1059" s="7" t="s">
        <v>2130</v>
      </c>
      <c r="B1059" s="7" t="s">
        <v>2131</v>
      </c>
    </row>
    <row r="1060" spans="1:2" x14ac:dyDescent="0.35">
      <c r="A1060" s="7" t="s">
        <v>2132</v>
      </c>
      <c r="B1060" s="7" t="s">
        <v>2133</v>
      </c>
    </row>
    <row r="1061" spans="1:2" x14ac:dyDescent="0.35">
      <c r="A1061" s="7" t="s">
        <v>2134</v>
      </c>
      <c r="B1061" s="7" t="s">
        <v>2135</v>
      </c>
    </row>
    <row r="1062" spans="1:2" x14ac:dyDescent="0.35">
      <c r="A1062" s="7" t="s">
        <v>2136</v>
      </c>
      <c r="B1062" s="7" t="s">
        <v>2137</v>
      </c>
    </row>
    <row r="1063" spans="1:2" x14ac:dyDescent="0.35">
      <c r="A1063" s="7" t="s">
        <v>2138</v>
      </c>
      <c r="B1063" s="7" t="s">
        <v>2139</v>
      </c>
    </row>
    <row r="1064" spans="1:2" x14ac:dyDescent="0.35">
      <c r="A1064" s="7" t="s">
        <v>2140</v>
      </c>
      <c r="B1064" s="7" t="s">
        <v>2141</v>
      </c>
    </row>
    <row r="1065" spans="1:2" x14ac:dyDescent="0.35">
      <c r="A1065" s="7" t="s">
        <v>2142</v>
      </c>
      <c r="B1065" s="7" t="s">
        <v>2143</v>
      </c>
    </row>
    <row r="1066" spans="1:2" x14ac:dyDescent="0.35">
      <c r="A1066" s="7" t="s">
        <v>2144</v>
      </c>
      <c r="B1066" s="7" t="s">
        <v>2145</v>
      </c>
    </row>
    <row r="1067" spans="1:2" x14ac:dyDescent="0.35">
      <c r="A1067" s="7" t="s">
        <v>2146</v>
      </c>
      <c r="B1067" s="7" t="s">
        <v>2147</v>
      </c>
    </row>
    <row r="1068" spans="1:2" x14ac:dyDescent="0.35">
      <c r="A1068" s="7" t="s">
        <v>2148</v>
      </c>
      <c r="B1068" s="7" t="s">
        <v>2149</v>
      </c>
    </row>
    <row r="1069" spans="1:2" x14ac:dyDescent="0.35">
      <c r="A1069" s="7" t="s">
        <v>2150</v>
      </c>
      <c r="B1069" s="7" t="s">
        <v>2151</v>
      </c>
    </row>
    <row r="1070" spans="1:2" x14ac:dyDescent="0.35">
      <c r="A1070" s="7" t="s">
        <v>2152</v>
      </c>
      <c r="B1070" s="7" t="s">
        <v>2153</v>
      </c>
    </row>
    <row r="1071" spans="1:2" x14ac:dyDescent="0.35">
      <c r="A1071" s="7" t="s">
        <v>2154</v>
      </c>
      <c r="B1071" s="7" t="s">
        <v>2155</v>
      </c>
    </row>
    <row r="1072" spans="1:2" x14ac:dyDescent="0.35">
      <c r="A1072" s="7" t="s">
        <v>2156</v>
      </c>
      <c r="B1072" s="7" t="s">
        <v>2157</v>
      </c>
    </row>
    <row r="1073" spans="1:2" x14ac:dyDescent="0.35">
      <c r="A1073" s="7" t="s">
        <v>2158</v>
      </c>
      <c r="B1073" s="7" t="s">
        <v>2159</v>
      </c>
    </row>
    <row r="1074" spans="1:2" x14ac:dyDescent="0.35">
      <c r="A1074" s="7" t="s">
        <v>2160</v>
      </c>
      <c r="B1074" s="7" t="s">
        <v>2161</v>
      </c>
    </row>
    <row r="1075" spans="1:2" x14ac:dyDescent="0.35">
      <c r="A1075" s="7" t="s">
        <v>2162</v>
      </c>
      <c r="B1075" s="7" t="s">
        <v>2163</v>
      </c>
    </row>
    <row r="1076" spans="1:2" x14ac:dyDescent="0.35">
      <c r="A1076" s="7" t="s">
        <v>2164</v>
      </c>
      <c r="B1076" s="7" t="s">
        <v>1566</v>
      </c>
    </row>
    <row r="1077" spans="1:2" x14ac:dyDescent="0.35">
      <c r="A1077" s="7" t="s">
        <v>2165</v>
      </c>
      <c r="B1077" s="7" t="s">
        <v>2166</v>
      </c>
    </row>
    <row r="1078" spans="1:2" x14ac:dyDescent="0.35">
      <c r="A1078" s="7" t="s">
        <v>2167</v>
      </c>
      <c r="B1078" s="7" t="s">
        <v>178</v>
      </c>
    </row>
    <row r="1079" spans="1:2" x14ac:dyDescent="0.35">
      <c r="A1079" s="7" t="s">
        <v>2168</v>
      </c>
      <c r="B1079" s="7" t="s">
        <v>2169</v>
      </c>
    </row>
    <row r="1080" spans="1:2" x14ac:dyDescent="0.35">
      <c r="A1080" s="7" t="s">
        <v>2170</v>
      </c>
      <c r="B1080" s="7" t="s">
        <v>2171</v>
      </c>
    </row>
    <row r="1081" spans="1:2" x14ac:dyDescent="0.35">
      <c r="A1081" s="7" t="s">
        <v>2172</v>
      </c>
      <c r="B1081" s="7" t="s">
        <v>2173</v>
      </c>
    </row>
    <row r="1082" spans="1:2" x14ac:dyDescent="0.35">
      <c r="A1082" s="7" t="s">
        <v>2174</v>
      </c>
      <c r="B1082" s="7" t="s">
        <v>2175</v>
      </c>
    </row>
    <row r="1083" spans="1:2" x14ac:dyDescent="0.35">
      <c r="A1083" s="7" t="s">
        <v>2176</v>
      </c>
      <c r="B1083" s="7" t="s">
        <v>2177</v>
      </c>
    </row>
    <row r="1084" spans="1:2" x14ac:dyDescent="0.35">
      <c r="A1084" s="7" t="s">
        <v>2178</v>
      </c>
      <c r="B1084" s="7" t="s">
        <v>228</v>
      </c>
    </row>
    <row r="1085" spans="1:2" x14ac:dyDescent="0.35">
      <c r="A1085" s="7" t="s">
        <v>2179</v>
      </c>
      <c r="B1085" s="7" t="s">
        <v>940</v>
      </c>
    </row>
    <row r="1086" spans="1:2" x14ac:dyDescent="0.35">
      <c r="A1086" s="7" t="s">
        <v>2180</v>
      </c>
      <c r="B1086" s="7" t="s">
        <v>2181</v>
      </c>
    </row>
    <row r="1087" spans="1:2" x14ac:dyDescent="0.35">
      <c r="A1087" s="7" t="s">
        <v>2182</v>
      </c>
      <c r="B1087" s="7" t="s">
        <v>2183</v>
      </c>
    </row>
    <row r="1088" spans="1:2" x14ac:dyDescent="0.35">
      <c r="A1088" s="7" t="s">
        <v>2184</v>
      </c>
      <c r="B1088" s="7" t="s">
        <v>2185</v>
      </c>
    </row>
    <row r="1089" spans="1:2" x14ac:dyDescent="0.35">
      <c r="A1089" s="7" t="s">
        <v>2186</v>
      </c>
      <c r="B1089" s="7" t="s">
        <v>2187</v>
      </c>
    </row>
    <row r="1090" spans="1:2" x14ac:dyDescent="0.35">
      <c r="A1090" s="7" t="s">
        <v>2188</v>
      </c>
      <c r="B1090" s="7" t="s">
        <v>244</v>
      </c>
    </row>
    <row r="1091" spans="1:2" x14ac:dyDescent="0.35">
      <c r="A1091" s="7" t="s">
        <v>2189</v>
      </c>
      <c r="B1091" s="7" t="s">
        <v>94</v>
      </c>
    </row>
    <row r="1092" spans="1:2" x14ac:dyDescent="0.35">
      <c r="A1092" s="7" t="s">
        <v>2190</v>
      </c>
      <c r="B1092" s="7" t="s">
        <v>2191</v>
      </c>
    </row>
    <row r="1093" spans="1:2" x14ac:dyDescent="0.35">
      <c r="A1093" s="7" t="s">
        <v>2192</v>
      </c>
      <c r="B1093" s="7" t="s">
        <v>2193</v>
      </c>
    </row>
    <row r="1094" spans="1:2" x14ac:dyDescent="0.35">
      <c r="A1094" s="7" t="s">
        <v>2194</v>
      </c>
      <c r="B1094" s="7" t="s">
        <v>2195</v>
      </c>
    </row>
    <row r="1095" spans="1:2" x14ac:dyDescent="0.35">
      <c r="A1095" s="7" t="s">
        <v>2196</v>
      </c>
      <c r="B1095" s="7" t="s">
        <v>2197</v>
      </c>
    </row>
    <row r="1096" spans="1:2" x14ac:dyDescent="0.35">
      <c r="A1096" s="7" t="s">
        <v>2198</v>
      </c>
      <c r="B1096" s="7" t="s">
        <v>2199</v>
      </c>
    </row>
    <row r="1097" spans="1:2" x14ac:dyDescent="0.35">
      <c r="A1097" s="7" t="s">
        <v>2200</v>
      </c>
      <c r="B1097" s="7" t="s">
        <v>2201</v>
      </c>
    </row>
    <row r="1098" spans="1:2" x14ac:dyDescent="0.35">
      <c r="A1098" s="7" t="s">
        <v>2202</v>
      </c>
      <c r="B1098" s="7" t="s">
        <v>2203</v>
      </c>
    </row>
    <row r="1099" spans="1:2" x14ac:dyDescent="0.35">
      <c r="A1099" s="7" t="s">
        <v>2204</v>
      </c>
      <c r="B1099" s="7" t="s">
        <v>2205</v>
      </c>
    </row>
    <row r="1100" spans="1:2" x14ac:dyDescent="0.35">
      <c r="A1100" s="7" t="s">
        <v>2206</v>
      </c>
      <c r="B1100" s="7" t="s">
        <v>2207</v>
      </c>
    </row>
    <row r="1101" spans="1:2" x14ac:dyDescent="0.35">
      <c r="A1101" s="7" t="s">
        <v>2208</v>
      </c>
      <c r="B1101" s="7" t="s">
        <v>2209</v>
      </c>
    </row>
    <row r="1102" spans="1:2" x14ac:dyDescent="0.35">
      <c r="A1102" s="7" t="s">
        <v>2210</v>
      </c>
      <c r="B1102" s="7" t="s">
        <v>390</v>
      </c>
    </row>
    <row r="1103" spans="1:2" x14ac:dyDescent="0.35">
      <c r="A1103" s="7" t="s">
        <v>2211</v>
      </c>
      <c r="B1103" s="7" t="s">
        <v>2212</v>
      </c>
    </row>
    <row r="1104" spans="1:2" x14ac:dyDescent="0.35">
      <c r="A1104" s="7" t="s">
        <v>2213</v>
      </c>
      <c r="B1104" s="7" t="s">
        <v>2214</v>
      </c>
    </row>
    <row r="1105" spans="1:2" x14ac:dyDescent="0.35">
      <c r="A1105" s="7" t="s">
        <v>2215</v>
      </c>
      <c r="B1105" s="7" t="s">
        <v>2216</v>
      </c>
    </row>
    <row r="1106" spans="1:2" x14ac:dyDescent="0.35">
      <c r="A1106" s="7" t="s">
        <v>2217</v>
      </c>
      <c r="B1106" s="7" t="s">
        <v>2218</v>
      </c>
    </row>
    <row r="1107" spans="1:2" x14ac:dyDescent="0.35">
      <c r="A1107" s="7" t="s">
        <v>2219</v>
      </c>
      <c r="B1107" s="7" t="s">
        <v>2220</v>
      </c>
    </row>
    <row r="1108" spans="1:2" x14ac:dyDescent="0.35">
      <c r="A1108" s="7" t="s">
        <v>2221</v>
      </c>
      <c r="B1108" s="7" t="s">
        <v>2222</v>
      </c>
    </row>
    <row r="1109" spans="1:2" x14ac:dyDescent="0.35">
      <c r="A1109" s="7" t="s">
        <v>2223</v>
      </c>
      <c r="B1109" s="7" t="s">
        <v>2224</v>
      </c>
    </row>
    <row r="1110" spans="1:2" x14ac:dyDescent="0.35">
      <c r="A1110" s="7" t="s">
        <v>2225</v>
      </c>
      <c r="B1110" s="7" t="s">
        <v>2226</v>
      </c>
    </row>
    <row r="1111" spans="1:2" x14ac:dyDescent="0.35">
      <c r="A1111" s="7" t="s">
        <v>2227</v>
      </c>
      <c r="B1111" s="7" t="s">
        <v>2228</v>
      </c>
    </row>
    <row r="1112" spans="1:2" x14ac:dyDescent="0.35">
      <c r="A1112" s="7" t="s">
        <v>2229</v>
      </c>
      <c r="B1112" s="7" t="s">
        <v>2230</v>
      </c>
    </row>
    <row r="1113" spans="1:2" x14ac:dyDescent="0.35">
      <c r="A1113" s="7" t="s">
        <v>2231</v>
      </c>
      <c r="B1113" s="7" t="s">
        <v>2232</v>
      </c>
    </row>
    <row r="1114" spans="1:2" x14ac:dyDescent="0.35">
      <c r="A1114" s="7" t="s">
        <v>2233</v>
      </c>
      <c r="B1114" s="7" t="s">
        <v>2234</v>
      </c>
    </row>
    <row r="1115" spans="1:2" x14ac:dyDescent="0.35">
      <c r="A1115" s="7" t="s">
        <v>2235</v>
      </c>
      <c r="B1115" s="7" t="s">
        <v>2236</v>
      </c>
    </row>
    <row r="1116" spans="1:2" x14ac:dyDescent="0.35">
      <c r="A1116" s="7" t="s">
        <v>2237</v>
      </c>
      <c r="B1116" s="7" t="s">
        <v>2238</v>
      </c>
    </row>
    <row r="1117" spans="1:2" x14ac:dyDescent="0.35">
      <c r="A1117" s="7" t="s">
        <v>2239</v>
      </c>
      <c r="B1117" s="7" t="s">
        <v>2240</v>
      </c>
    </row>
    <row r="1118" spans="1:2" x14ac:dyDescent="0.35">
      <c r="A1118" s="7" t="s">
        <v>2241</v>
      </c>
      <c r="B1118" s="7" t="s">
        <v>2242</v>
      </c>
    </row>
    <row r="1119" spans="1:2" x14ac:dyDescent="0.35">
      <c r="A1119" s="7" t="s">
        <v>2243</v>
      </c>
      <c r="B1119" s="7" t="s">
        <v>2244</v>
      </c>
    </row>
    <row r="1120" spans="1:2" x14ac:dyDescent="0.3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Yolima Espiti</cp:lastModifiedBy>
  <dcterms:created xsi:type="dcterms:W3CDTF">2015-06-05T18:19:34Z</dcterms:created>
  <dcterms:modified xsi:type="dcterms:W3CDTF">2025-08-28T03:44:54Z</dcterms:modified>
</cp:coreProperties>
</file>