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187B5800-E7D8-46BF-9798-1D63C2875440}" xr6:coauthVersionLast="47" xr6:coauthVersionMax="47" xr10:uidLastSave="{00000000-0000-0000-0000-000000000000}"/>
  <bookViews>
    <workbookView xWindow="-108" yWindow="-108" windowWidth="23256" windowHeight="12456" xr2:uid="{54AC96F3-DDA8-45A6-8B36-ACE7FB081141}"/>
  </bookViews>
  <sheets>
    <sheet name="Hoja1" sheetId="1" r:id="rId1"/>
  </sheets>
  <definedNames>
    <definedName name="_xlnm._FilterDatabase" localSheetId="0" hidden="1">Hoja1!$C$1:$C$55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49" i="1" s="1"/>
  <c r="I25" i="1"/>
</calcChain>
</file>

<file path=xl/sharedStrings.xml><?xml version="1.0" encoding="utf-8"?>
<sst xmlns="http://schemas.openxmlformats.org/spreadsheetml/2006/main" count="261" uniqueCount="154">
  <si>
    <t>0</t>
  </si>
  <si>
    <t>15516</t>
  </si>
  <si>
    <t>CALLE 25 No 13-198</t>
  </si>
  <si>
    <t>CUANTIAS MENORES</t>
  </si>
  <si>
    <t>222222222</t>
  </si>
  <si>
    <t>CALLE 25 No 13-174</t>
  </si>
  <si>
    <t xml:space="preserve">AMERICANA DE TECNOLOGIA Y COMUNICACIONES Y  </t>
  </si>
  <si>
    <t>900813668</t>
  </si>
  <si>
    <t>RED VITAL PAIPA S,A.</t>
  </si>
  <si>
    <t>900259348</t>
  </si>
  <si>
    <t xml:space="preserve">EMPRESA DE ENERGIA DE BOYACA S.A E.SP   </t>
  </si>
  <si>
    <t>FUNDACION CREANDO PROGRESO</t>
  </si>
  <si>
    <t>GARCIA GONZALEZ HECTOR GARCIA</t>
  </si>
  <si>
    <t>PLAZAS DUEÑEZ OMAR HAMETH</t>
  </si>
  <si>
    <t>CONSORCIO TRANSPAIPA 24</t>
  </si>
  <si>
    <t>LIGA DE CICLISMO DE BOYACÁ</t>
  </si>
  <si>
    <t>BAYONA CIFUENTES MARIO ALFONSO</t>
  </si>
  <si>
    <t>RODRIGUEZ MONROY MIGUEL ANGEL</t>
  </si>
  <si>
    <t>ARENAS DIAZ JONATHAN FERNEY</t>
  </si>
  <si>
    <t>RINCON ROSAS MIGUEL ANGEL</t>
  </si>
  <si>
    <t>Camargo Rojas Annyie Daniela</t>
  </si>
  <si>
    <t>HERRERA RODRIGUEZ JOSE ANTONIO</t>
  </si>
  <si>
    <t>AVELLA PATIÑO HAROLD DUVAN</t>
  </si>
  <si>
    <t>SEGUROS DEL ESTADO</t>
  </si>
  <si>
    <t>ROZO CRUZ CLAUDIA PATRICIA</t>
  </si>
  <si>
    <t>IGUAVITA CIPAGAUTA ANGIE CATALINA</t>
  </si>
  <si>
    <t>BONILLA BONILLA DIANA MARCELA</t>
  </si>
  <si>
    <t xml:space="preserve">BECERRA MAYORGA LOANCY </t>
  </si>
  <si>
    <t>LÓPEZ MELENDEZ LINA MARÍA</t>
  </si>
  <si>
    <t>COLEGIO DE ÁRBITROS DE FÚTBOL DE BOYACA</t>
  </si>
  <si>
    <t>SISTEMAS ERPSOFT S.A.S</t>
  </si>
  <si>
    <t>BURGOS ALBA FRANCISCO JAVIER</t>
  </si>
  <si>
    <t>RAMIREZ CALVO MAIDY ALEXANDER</t>
  </si>
  <si>
    <t>PEREZ MONRROY JOSE ARMANDO</t>
  </si>
  <si>
    <t>BRIJALDO AVENDAÑO CLAUDIA YANETH</t>
  </si>
  <si>
    <t>CAMARGO VARGAS MOISES ANDRES</t>
  </si>
  <si>
    <t>DAZA OCHOA ANA LEYDY</t>
  </si>
  <si>
    <t>REYES RUIZ MANUEL FERNANDO</t>
  </si>
  <si>
    <t>MOLINA GUZMAN SANDRA MILENA</t>
  </si>
  <si>
    <t>GARZON DIAZ RICARDO FERNANDO</t>
  </si>
  <si>
    <t>VARGAS HOSTOS SEBASTIAN DAVID</t>
  </si>
  <si>
    <t>REYES RODRIGUEZ DIANA CAROLINA</t>
  </si>
  <si>
    <t>ZANGUÑA OCHOA WILSON ENRIQUE</t>
  </si>
  <si>
    <t>CARRERA 21 25 - 09 OF 305</t>
  </si>
  <si>
    <t>VFELGRAV@GMAIL.COM</t>
  </si>
  <si>
    <t>GRANADOS VASQUEZ VICTOR FELIPE</t>
  </si>
  <si>
    <t>GUEVARA AMADOR GUSTAVO ANDRES</t>
  </si>
  <si>
    <t>AVELLANEDA QUINTERO JAIRO ANTONIO</t>
  </si>
  <si>
    <t>GONZALEZ MENDIVELSO MELISSA ALEJANDRA</t>
  </si>
  <si>
    <t>ROMERO BENAVIDES MARCO FIDEL</t>
  </si>
  <si>
    <t>VASQUEZ CAMARGO MANUEL MAURICIO</t>
  </si>
  <si>
    <t>CUBIDES CELY LAURA CRISTINA</t>
  </si>
  <si>
    <t xml:space="preserve"> VARGAS RODRIGUEZMARIA CLAUDIA</t>
  </si>
  <si>
    <t xml:space="preserve"> WRIGHT RODRIGUEZSHANDIRA</t>
  </si>
  <si>
    <t>DEVOLUCIONES REBAJAS Y DESCUENTOS</t>
  </si>
  <si>
    <t>RETENCIÓN PRACTICADA</t>
  </si>
  <si>
    <t xml:space="preserve">VALOR FACTURADO CONSOLIDADO POR ACTIVIDAD ECONÓMICA </t>
  </si>
  <si>
    <t>CÓDIGO ACTIVIDAD DEL BIEN O SERVICIO ADQUIRIDO</t>
  </si>
  <si>
    <t>CÓDIGO DEL MUNICIPIO</t>
  </si>
  <si>
    <t>DIRECCIÓN DOMICILIO FISCAL</t>
  </si>
  <si>
    <t xml:space="preserve">TELÉFONO </t>
  </si>
  <si>
    <t xml:space="preserve">CORREO ELECTRÓNICO </t>
  </si>
  <si>
    <t xml:space="preserve">NOMBRE O RAZON SOCIAL DEL PROVEEDOR </t>
  </si>
  <si>
    <t>DV</t>
  </si>
  <si>
    <t>NIT / CC DEL PROVEEDOR</t>
  </si>
  <si>
    <t>ARDILA HERNANDEZ YERSON ORLANDO</t>
  </si>
  <si>
    <t>lcristina.cubides@gmail.com</t>
  </si>
  <si>
    <t>carrera 39 a N 10 - 62 -duitama</t>
  </si>
  <si>
    <t>CARRERA 16 25A 20 606 - paipa</t>
  </si>
  <si>
    <t>314 4782471</t>
  </si>
  <si>
    <t>linamele41@gmail.com</t>
  </si>
  <si>
    <t>Vereda cuz de murcia -paipa</t>
  </si>
  <si>
    <t>marcoromero.fidel@gmail.com</t>
  </si>
  <si>
    <t>310 6814348</t>
  </si>
  <si>
    <t>313 4563860</t>
  </si>
  <si>
    <t>jairoavellaneda31@gmail.com</t>
  </si>
  <si>
    <t>Barrio villa panorama</t>
  </si>
  <si>
    <t>313 4326208</t>
  </si>
  <si>
    <t>mauriciovasquez937@gamil.com</t>
  </si>
  <si>
    <t>CALLE 30 14 78 CASA CIUDADELA EL BOSQUE</t>
  </si>
  <si>
    <t>311 4409104</t>
  </si>
  <si>
    <t>yeor06@hotmail.com</t>
  </si>
  <si>
    <t>CALLE 20A 20 70 SAN MIGUEL</t>
  </si>
  <si>
    <t>311 4933969</t>
  </si>
  <si>
    <t>96sebastianvargas@gmail.com</t>
  </si>
  <si>
    <t>CALLE 25N o 20 -57 Apartamento Centro</t>
  </si>
  <si>
    <t>313 8038105</t>
  </si>
  <si>
    <t>gustavoaguevaraa@gmail.com</t>
  </si>
  <si>
    <t>DIAGONAL 39 40 -50</t>
  </si>
  <si>
    <t>312 5902911</t>
  </si>
  <si>
    <t>jose1007hr@gmail.com</t>
  </si>
  <si>
    <t>DIAGONAL 39 19 29</t>
  </si>
  <si>
    <t>311 8463899</t>
  </si>
  <si>
    <t>anlaigh_16@hotmail.com</t>
  </si>
  <si>
    <t>AVENIDA LIBERTADORES</t>
  </si>
  <si>
    <t>311 5661321</t>
  </si>
  <si>
    <t>wilsonenriquezanguna@gmail.com</t>
  </si>
  <si>
    <t>MANZ.c CASA 9 URBANIZACIoN LA ESTACION</t>
  </si>
  <si>
    <t>322 9426600</t>
  </si>
  <si>
    <t>dc.reyes@outlook.com</t>
  </si>
  <si>
    <t>AVENIDA 0 30 52 Libertadores</t>
  </si>
  <si>
    <t>320 2647195</t>
  </si>
  <si>
    <t>lobema12@yahoo.com</t>
  </si>
  <si>
    <t>CARRERA 21N 23 49 Apartamento 101 Centro</t>
  </si>
  <si>
    <t>321 2476638</t>
  </si>
  <si>
    <t>javiba0573@hotmail.com</t>
  </si>
  <si>
    <t>Calle 19# 22A-06</t>
  </si>
  <si>
    <t>310 8844161</t>
  </si>
  <si>
    <t>rincon9706@gmail.com</t>
  </si>
  <si>
    <t>Calle 22-23-13</t>
  </si>
  <si>
    <t>320 8286580</t>
  </si>
  <si>
    <t>patyrozo78@gmail.com</t>
  </si>
  <si>
    <t>dimaboce@hotmail.com</t>
  </si>
  <si>
    <t>Car 19A #26-83</t>
  </si>
  <si>
    <t>320 3195485</t>
  </si>
  <si>
    <t>Diagonal 18 n 24 - 27</t>
  </si>
  <si>
    <t>320 4800208</t>
  </si>
  <si>
    <t>danielandrey9502@gmail.com</t>
  </si>
  <si>
    <t>Carrera 19#27_41</t>
  </si>
  <si>
    <t>312 4989865</t>
  </si>
  <si>
    <t>ricardofernandogarzondiaz@gmail.com</t>
  </si>
  <si>
    <t>Cr 30 n 19 -36</t>
  </si>
  <si>
    <t xml:space="preserve"> 313 4084004</t>
  </si>
  <si>
    <t>ing.avelladuvan@gmail.com</t>
  </si>
  <si>
    <t>Cr23a n29a -17</t>
  </si>
  <si>
    <t>320 9620286</t>
  </si>
  <si>
    <t>angieiguavitac@gmail.com</t>
  </si>
  <si>
    <t>Carrera 21 No 26-37</t>
  </si>
  <si>
    <t xml:space="preserve"> 313 8964548</t>
  </si>
  <si>
    <t>clayabri25@gmail.com</t>
  </si>
  <si>
    <t>CALLE 28N 15 31 EL BOSQUE</t>
  </si>
  <si>
    <t xml:space="preserve"> 320 3905348</t>
  </si>
  <si>
    <t>andrescamargov@outlook.es</t>
  </si>
  <si>
    <t>311 2261093</t>
  </si>
  <si>
    <t>miguelmorro23@hotmail.com</t>
  </si>
  <si>
    <t>AVENIDA 20A 12A 12</t>
  </si>
  <si>
    <t>310 5803665</t>
  </si>
  <si>
    <t>plazasomar54@gmail.com</t>
  </si>
  <si>
    <t>CALLE 15 17A 41</t>
  </si>
  <si>
    <t>350 6622477</t>
  </si>
  <si>
    <t>maidy1607@hotmail.com</t>
  </si>
  <si>
    <t>CL 6 A   8   23  ALCAZARES - DUITAMA</t>
  </si>
  <si>
    <t>erpsoftsas@gmail.com</t>
  </si>
  <si>
    <t>CR 10   15-04 - Sogamoso</t>
  </si>
  <si>
    <t>320 8316650</t>
  </si>
  <si>
    <t>expodistribuciones@gmail.com</t>
  </si>
  <si>
    <t>CL  12   11   53 OF 203</t>
  </si>
  <si>
    <t>fundeprogreso2017@gmail.com</t>
  </si>
  <si>
    <t>Calle 23 # 23 A10</t>
  </si>
  <si>
    <t>313 3141557</t>
  </si>
  <si>
    <t>arenas962226@gmail.com</t>
  </si>
  <si>
    <t>CALLE 25 N 8 21 CASA VILLA PANORAMA</t>
  </si>
  <si>
    <t>312 3468406</t>
  </si>
  <si>
    <t>armando-jsp@hotmail.com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</si>
</sst>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;\-&quot;$&quot;#,##0.00"/>
    <numFmt numFmtId="43" formatCode="_-* #,##0.00_-;\-* #,##0.00_-;_-* &quot;-&quot;??_-;_-@_-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8"/>
      <color indexed="8"/>
      <name val="Calibri"/>
      <family val="2"/>
    </font>
    <font>
      <sz val="10"/>
      <color theme="1"/>
      <name val="Arial"/>
      <family val="2"/>
    </font>
    <font>
      <sz val="11"/>
      <color rgb="FF0563C1"/>
      <name val="Calibri"/>
      <family val="2"/>
      <scheme val="minor"/>
    </font>
    <font>
      <sz val="11"/>
      <color rgb="FF202124"/>
      <name val="Roboto"/>
    </font>
    <font>
      <u/>
      <sz val="11"/>
      <color rgb="FF0563C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right"/>
    </xf>
    <xf numFmtId="43" fontId="0" fillId="0" borderId="0" xfId="1" applyFont="1"/>
    <xf numFmtId="49" fontId="3" fillId="0" borderId="1" xfId="0" applyNumberFormat="1" applyFont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right" vertical="center" wrapText="1"/>
    </xf>
    <xf numFmtId="0" fontId="4" fillId="0" borderId="1" xfId="2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1" applyNumberFormat="1" applyFont="1" applyBorder="1" applyAlignment="1">
      <alignment horizontal="center" vertical="center" wrapText="1"/>
    </xf>
    <xf numFmtId="0" fontId="6" fillId="3" borderId="1" xfId="1" applyNumberFormat="1" applyFont="1" applyFill="1" applyBorder="1" applyAlignment="1">
      <alignment horizontal="center" vertical="center" wrapText="1"/>
    </xf>
    <xf numFmtId="0" fontId="8" fillId="0" borderId="1" xfId="0" applyFont="1" applyBorder="1"/>
    <xf numFmtId="0" fontId="4" fillId="0" borderId="1" xfId="2" applyBorder="1"/>
    <xf numFmtId="0" fontId="0" fillId="0" borderId="1" xfId="0" applyBorder="1"/>
    <xf numFmtId="0" fontId="0" fillId="0" borderId="1" xfId="0" applyBorder="1" applyAlignment="1">
      <alignment horizontal="right"/>
    </xf>
    <xf numFmtId="7" fontId="5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9" fillId="0" borderId="1" xfId="0" applyFont="1" applyBorder="1"/>
    <xf numFmtId="0" fontId="0" fillId="0" borderId="1" xfId="0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scamargov@outlook.es" TargetMode="External"/><Relationship Id="rId3" Type="http://schemas.openxmlformats.org/officeDocument/2006/relationships/hyperlink" Target="mailto:linamele41@gmail.com" TargetMode="External"/><Relationship Id="rId7" Type="http://schemas.openxmlformats.org/officeDocument/2006/relationships/hyperlink" Target="mailto:clayabri25@gmail.com" TargetMode="External"/><Relationship Id="rId2" Type="http://schemas.openxmlformats.org/officeDocument/2006/relationships/hyperlink" Target="mailto:lcristina.cubides@gmail.com" TargetMode="External"/><Relationship Id="rId1" Type="http://schemas.openxmlformats.org/officeDocument/2006/relationships/hyperlink" Target="mailto:VFELGRAV@GMAIL.COM" TargetMode="External"/><Relationship Id="rId6" Type="http://schemas.openxmlformats.org/officeDocument/2006/relationships/hyperlink" Target="mailto:ricardofernandogarzondiaz@gmail.com" TargetMode="External"/><Relationship Id="rId5" Type="http://schemas.openxmlformats.org/officeDocument/2006/relationships/hyperlink" Target="mailto:dc.reyes@outlook.com" TargetMode="External"/><Relationship Id="rId10" Type="http://schemas.openxmlformats.org/officeDocument/2006/relationships/hyperlink" Target="mailto:fundeprogreso2017@gmail.com" TargetMode="External"/><Relationship Id="rId4" Type="http://schemas.openxmlformats.org/officeDocument/2006/relationships/hyperlink" Target="mailto:wilsonenriquezanguna@gmail.com" TargetMode="External"/><Relationship Id="rId9" Type="http://schemas.openxmlformats.org/officeDocument/2006/relationships/hyperlink" Target="mailto:maidy1607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6342-3728-4E6E-A8E0-F5EB31AFF141}">
  <dimension ref="A1:K49"/>
  <sheetViews>
    <sheetView tabSelected="1" workbookViewId="0">
      <selection activeCell="G3" sqref="G3"/>
    </sheetView>
  </sheetViews>
  <sheetFormatPr baseColWidth="10" defaultRowHeight="14.4" x14ac:dyDescent="0.3"/>
  <cols>
    <col min="1" max="1" width="11.5546875" style="1"/>
    <col min="3" max="3" width="44.21875" bestFit="1" customWidth="1"/>
    <col min="4" max="4" width="15.33203125" customWidth="1"/>
    <col min="5" max="5" width="16.5546875" customWidth="1"/>
    <col min="7" max="7" width="7.77734375" customWidth="1"/>
    <col min="8" max="8" width="9.5546875" bestFit="1" customWidth="1"/>
    <col min="9" max="9" width="13.5546875" customWidth="1"/>
  </cols>
  <sheetData>
    <row r="1" spans="1:11" ht="100.8" x14ac:dyDescent="0.3">
      <c r="A1" s="10" t="s">
        <v>64</v>
      </c>
      <c r="B1" s="7" t="s">
        <v>63</v>
      </c>
      <c r="C1" s="8" t="s">
        <v>62</v>
      </c>
      <c r="D1" s="9" t="s">
        <v>61</v>
      </c>
      <c r="E1" s="7" t="s">
        <v>60</v>
      </c>
      <c r="F1" s="8" t="s">
        <v>59</v>
      </c>
      <c r="G1" s="7" t="s">
        <v>58</v>
      </c>
      <c r="H1" s="6" t="s">
        <v>57</v>
      </c>
      <c r="I1" s="6" t="s">
        <v>56</v>
      </c>
      <c r="J1" s="6" t="s">
        <v>55</v>
      </c>
      <c r="K1" s="6" t="s">
        <v>54</v>
      </c>
    </row>
    <row r="2" spans="1:11" ht="26.4" x14ac:dyDescent="0.3">
      <c r="A2" s="18">
        <v>1053608674</v>
      </c>
      <c r="B2" s="17"/>
      <c r="C2" s="17" t="s">
        <v>53</v>
      </c>
      <c r="D2" s="17"/>
      <c r="E2" s="17"/>
      <c r="F2" s="3" t="s">
        <v>5</v>
      </c>
      <c r="G2" s="17" t="s">
        <v>1</v>
      </c>
      <c r="H2" s="4">
        <v>334</v>
      </c>
      <c r="I2" s="17">
        <v>12800000</v>
      </c>
      <c r="J2" s="19">
        <v>128000</v>
      </c>
      <c r="K2" s="3" t="s">
        <v>0</v>
      </c>
    </row>
    <row r="3" spans="1:11" ht="26.4" x14ac:dyDescent="0.3">
      <c r="A3" s="18">
        <v>46681946</v>
      </c>
      <c r="B3" s="17"/>
      <c r="C3" s="17" t="s">
        <v>52</v>
      </c>
      <c r="D3" s="17"/>
      <c r="E3" s="17"/>
      <c r="F3" s="3" t="s">
        <v>5</v>
      </c>
      <c r="G3" s="17" t="s">
        <v>1</v>
      </c>
      <c r="H3" s="4">
        <v>334</v>
      </c>
      <c r="I3" s="17">
        <v>37175000</v>
      </c>
      <c r="J3" s="19">
        <v>371751</v>
      </c>
      <c r="K3" s="3" t="s">
        <v>0</v>
      </c>
    </row>
    <row r="4" spans="1:11" x14ac:dyDescent="0.3">
      <c r="A4" s="18">
        <v>1057592924</v>
      </c>
      <c r="B4" s="17"/>
      <c r="C4" s="17" t="s">
        <v>51</v>
      </c>
      <c r="D4" s="11" t="s">
        <v>66</v>
      </c>
      <c r="E4" s="13">
        <v>3209047261</v>
      </c>
      <c r="F4" s="12" t="s">
        <v>67</v>
      </c>
      <c r="G4" s="17" t="s">
        <v>1</v>
      </c>
      <c r="H4" s="4">
        <v>334</v>
      </c>
      <c r="I4" s="17">
        <v>26000000</v>
      </c>
      <c r="J4" s="19">
        <v>260000</v>
      </c>
      <c r="K4" s="3" t="s">
        <v>0</v>
      </c>
    </row>
    <row r="5" spans="1:11" x14ac:dyDescent="0.3">
      <c r="A5" s="18">
        <v>3169884</v>
      </c>
      <c r="B5" s="17"/>
      <c r="C5" s="17" t="s">
        <v>50</v>
      </c>
      <c r="D5" s="11" t="s">
        <v>78</v>
      </c>
      <c r="E5" s="13" t="s">
        <v>77</v>
      </c>
      <c r="F5" s="12" t="s">
        <v>76</v>
      </c>
      <c r="G5" s="17" t="s">
        <v>1</v>
      </c>
      <c r="H5" s="4">
        <v>334</v>
      </c>
      <c r="I5" s="17">
        <v>21783750</v>
      </c>
      <c r="J5" s="19">
        <v>217835</v>
      </c>
      <c r="K5" s="3" t="s">
        <v>0</v>
      </c>
    </row>
    <row r="6" spans="1:11" x14ac:dyDescent="0.3">
      <c r="A6" s="18">
        <v>4191224</v>
      </c>
      <c r="B6" s="17"/>
      <c r="C6" s="17" t="s">
        <v>49</v>
      </c>
      <c r="D6" s="11" t="s">
        <v>72</v>
      </c>
      <c r="E6" s="13" t="s">
        <v>73</v>
      </c>
      <c r="F6" s="12" t="s">
        <v>71</v>
      </c>
      <c r="G6" s="17" t="s">
        <v>1</v>
      </c>
      <c r="H6" s="4">
        <v>334</v>
      </c>
      <c r="I6" s="17">
        <v>17621250</v>
      </c>
      <c r="J6" s="19">
        <v>176211</v>
      </c>
      <c r="K6" s="3" t="s">
        <v>0</v>
      </c>
    </row>
    <row r="7" spans="1:11" ht="26.4" x14ac:dyDescent="0.3">
      <c r="A7" s="18">
        <v>1052381132</v>
      </c>
      <c r="B7" s="17"/>
      <c r="C7" s="17" t="s">
        <v>48</v>
      </c>
      <c r="D7" s="17"/>
      <c r="E7" s="17"/>
      <c r="F7" s="3" t="s">
        <v>5</v>
      </c>
      <c r="G7" s="17" t="s">
        <v>1</v>
      </c>
      <c r="H7" s="4">
        <v>334</v>
      </c>
      <c r="I7" s="17">
        <v>8000000</v>
      </c>
      <c r="J7" s="19">
        <v>80000</v>
      </c>
      <c r="K7" s="3" t="s">
        <v>0</v>
      </c>
    </row>
    <row r="8" spans="1:11" ht="26.4" x14ac:dyDescent="0.3">
      <c r="A8" s="18">
        <v>74322260</v>
      </c>
      <c r="B8" s="17"/>
      <c r="C8" s="17" t="s">
        <v>47</v>
      </c>
      <c r="D8" s="11" t="s">
        <v>75</v>
      </c>
      <c r="E8" s="13" t="s">
        <v>74</v>
      </c>
      <c r="F8" s="3" t="s">
        <v>5</v>
      </c>
      <c r="G8" s="17" t="s">
        <v>1</v>
      </c>
      <c r="H8" s="4">
        <v>334</v>
      </c>
      <c r="I8" s="17">
        <v>16650000</v>
      </c>
      <c r="J8" s="19">
        <v>166500</v>
      </c>
      <c r="K8" s="3" t="s">
        <v>0</v>
      </c>
    </row>
    <row r="9" spans="1:11" x14ac:dyDescent="0.3">
      <c r="A9" s="18">
        <v>74360666</v>
      </c>
      <c r="B9" s="17"/>
      <c r="C9" s="17" t="s">
        <v>46</v>
      </c>
      <c r="D9" s="11" t="s">
        <v>87</v>
      </c>
      <c r="E9" s="13" t="s">
        <v>86</v>
      </c>
      <c r="F9" s="12" t="s">
        <v>85</v>
      </c>
      <c r="G9" s="17" t="s">
        <v>1</v>
      </c>
      <c r="H9" s="4">
        <v>334</v>
      </c>
      <c r="I9" s="17">
        <v>29400000</v>
      </c>
      <c r="J9" s="19">
        <v>294001</v>
      </c>
      <c r="K9" s="3" t="s">
        <v>0</v>
      </c>
    </row>
    <row r="10" spans="1:11" ht="39.6" x14ac:dyDescent="0.3">
      <c r="A10" s="18">
        <v>74322909</v>
      </c>
      <c r="B10" s="17"/>
      <c r="C10" s="17" t="s">
        <v>45</v>
      </c>
      <c r="D10" s="16" t="s">
        <v>44</v>
      </c>
      <c r="E10" s="17">
        <v>3157938449</v>
      </c>
      <c r="F10" s="3" t="s">
        <v>43</v>
      </c>
      <c r="G10" s="17" t="s">
        <v>1</v>
      </c>
      <c r="H10" s="4">
        <v>334</v>
      </c>
      <c r="I10" s="17">
        <f>3900000+1700000</f>
        <v>5600000</v>
      </c>
      <c r="J10" s="19">
        <v>0</v>
      </c>
      <c r="K10" s="3" t="s">
        <v>0</v>
      </c>
    </row>
    <row r="11" spans="1:11" x14ac:dyDescent="0.3">
      <c r="A11" s="18">
        <v>74359110</v>
      </c>
      <c r="B11" s="17"/>
      <c r="C11" s="17" t="s">
        <v>42</v>
      </c>
      <c r="D11" s="11" t="s">
        <v>96</v>
      </c>
      <c r="E11" s="13" t="s">
        <v>95</v>
      </c>
      <c r="F11" s="12" t="s">
        <v>94</v>
      </c>
      <c r="G11" s="17" t="s">
        <v>1</v>
      </c>
      <c r="H11" s="4">
        <v>334</v>
      </c>
      <c r="I11" s="17">
        <v>11042433</v>
      </c>
      <c r="J11" s="19">
        <v>110425</v>
      </c>
      <c r="K11" s="3" t="s">
        <v>0</v>
      </c>
    </row>
    <row r="12" spans="1:11" x14ac:dyDescent="0.3">
      <c r="A12" s="18">
        <v>1069719064</v>
      </c>
      <c r="B12" s="17"/>
      <c r="C12" s="17" t="s">
        <v>41</v>
      </c>
      <c r="D12" s="16" t="s">
        <v>99</v>
      </c>
      <c r="E12" s="13" t="s">
        <v>98</v>
      </c>
      <c r="F12" s="12" t="s">
        <v>97</v>
      </c>
      <c r="G12" s="17" t="s">
        <v>1</v>
      </c>
      <c r="H12" s="4">
        <v>334</v>
      </c>
      <c r="I12" s="17">
        <v>12946933</v>
      </c>
      <c r="J12" s="19">
        <v>129471</v>
      </c>
      <c r="K12" s="3" t="s">
        <v>0</v>
      </c>
    </row>
    <row r="13" spans="1:11" x14ac:dyDescent="0.3">
      <c r="A13" s="18">
        <v>1053608051</v>
      </c>
      <c r="B13" s="17"/>
      <c r="C13" s="17" t="s">
        <v>65</v>
      </c>
      <c r="D13" s="11" t="s">
        <v>81</v>
      </c>
      <c r="E13" s="13" t="s">
        <v>80</v>
      </c>
      <c r="F13" s="12" t="s">
        <v>79</v>
      </c>
      <c r="G13" s="17" t="s">
        <v>1</v>
      </c>
      <c r="H13" s="4">
        <v>334</v>
      </c>
      <c r="I13" s="17">
        <v>20575000</v>
      </c>
      <c r="J13" s="19">
        <v>205750</v>
      </c>
      <c r="K13" s="3" t="s">
        <v>0</v>
      </c>
    </row>
    <row r="14" spans="1:11" x14ac:dyDescent="0.3">
      <c r="A14" s="18">
        <v>1053613779</v>
      </c>
      <c r="B14" s="17"/>
      <c r="C14" s="17" t="s">
        <v>40</v>
      </c>
      <c r="D14" s="11" t="s">
        <v>84</v>
      </c>
      <c r="E14" s="14" t="s">
        <v>83</v>
      </c>
      <c r="F14" s="12" t="s">
        <v>82</v>
      </c>
      <c r="G14" s="17" t="s">
        <v>1</v>
      </c>
      <c r="H14" s="4">
        <v>334</v>
      </c>
      <c r="I14" s="17">
        <v>13827983</v>
      </c>
      <c r="J14" s="19">
        <v>138279</v>
      </c>
      <c r="K14" s="3" t="s">
        <v>0</v>
      </c>
    </row>
    <row r="15" spans="1:11" x14ac:dyDescent="0.3">
      <c r="A15" s="18">
        <v>74358863</v>
      </c>
      <c r="B15" s="17"/>
      <c r="C15" s="17" t="s">
        <v>39</v>
      </c>
      <c r="D15" s="11" t="s">
        <v>120</v>
      </c>
      <c r="E15" s="13" t="s">
        <v>119</v>
      </c>
      <c r="F15" s="15" t="s">
        <v>118</v>
      </c>
      <c r="G15" s="17" t="s">
        <v>1</v>
      </c>
      <c r="H15" s="4">
        <v>334</v>
      </c>
      <c r="I15" s="17">
        <v>17675150</v>
      </c>
      <c r="J15" s="19">
        <v>176751.5</v>
      </c>
      <c r="K15" s="3" t="s">
        <v>0</v>
      </c>
    </row>
    <row r="16" spans="1:11" ht="26.4" x14ac:dyDescent="0.3">
      <c r="A16" s="18">
        <v>1053606900</v>
      </c>
      <c r="B16" s="17"/>
      <c r="C16" s="17" t="s">
        <v>38</v>
      </c>
      <c r="D16" s="17"/>
      <c r="E16" s="17"/>
      <c r="F16" s="3" t="s">
        <v>5</v>
      </c>
      <c r="G16" s="17" t="s">
        <v>1</v>
      </c>
      <c r="H16" s="4">
        <v>334</v>
      </c>
      <c r="I16" s="17">
        <v>11107900</v>
      </c>
      <c r="J16" s="19">
        <v>111080</v>
      </c>
      <c r="K16" s="3" t="s">
        <v>0</v>
      </c>
    </row>
    <row r="17" spans="1:11" ht="26.4" x14ac:dyDescent="0.3">
      <c r="A17" s="18">
        <v>1053606660</v>
      </c>
      <c r="B17" s="17"/>
      <c r="C17" s="17" t="s">
        <v>37</v>
      </c>
      <c r="D17" s="17"/>
      <c r="E17" s="17"/>
      <c r="F17" s="3" t="s">
        <v>5</v>
      </c>
      <c r="G17" s="17" t="s">
        <v>1</v>
      </c>
      <c r="H17" s="4">
        <v>334</v>
      </c>
      <c r="I17" s="17">
        <v>5075000</v>
      </c>
      <c r="J17" s="19">
        <v>50751</v>
      </c>
      <c r="K17" s="3" t="s">
        <v>0</v>
      </c>
    </row>
    <row r="18" spans="1:11" x14ac:dyDescent="0.3">
      <c r="A18" s="18">
        <v>1033765331</v>
      </c>
      <c r="B18" s="17"/>
      <c r="C18" s="17" t="s">
        <v>36</v>
      </c>
      <c r="D18" s="11" t="s">
        <v>93</v>
      </c>
      <c r="E18" s="13" t="s">
        <v>92</v>
      </c>
      <c r="F18" s="12" t="s">
        <v>91</v>
      </c>
      <c r="G18" s="17" t="s">
        <v>1</v>
      </c>
      <c r="H18" s="4">
        <v>334</v>
      </c>
      <c r="I18" s="17">
        <v>10090183</v>
      </c>
      <c r="J18" s="19">
        <v>107670</v>
      </c>
      <c r="K18" s="3" t="s">
        <v>0</v>
      </c>
    </row>
    <row r="19" spans="1:11" x14ac:dyDescent="0.3">
      <c r="A19" s="18">
        <v>1053608180</v>
      </c>
      <c r="B19" s="17"/>
      <c r="C19" s="17" t="s">
        <v>35</v>
      </c>
      <c r="D19" s="11" t="s">
        <v>132</v>
      </c>
      <c r="E19" s="13" t="s">
        <v>131</v>
      </c>
      <c r="F19" s="12" t="s">
        <v>130</v>
      </c>
      <c r="G19" s="17" t="s">
        <v>1</v>
      </c>
      <c r="H19" s="4">
        <v>334</v>
      </c>
      <c r="I19" s="17">
        <v>6979500</v>
      </c>
      <c r="J19" s="19">
        <v>69794</v>
      </c>
      <c r="K19" s="3" t="s">
        <v>0</v>
      </c>
    </row>
    <row r="20" spans="1:11" x14ac:dyDescent="0.3">
      <c r="A20" s="18">
        <v>23857875</v>
      </c>
      <c r="B20" s="17"/>
      <c r="C20" s="17" t="s">
        <v>34</v>
      </c>
      <c r="D20" s="11" t="s">
        <v>129</v>
      </c>
      <c r="E20" s="13" t="s">
        <v>128</v>
      </c>
      <c r="F20" s="15" t="s">
        <v>127</v>
      </c>
      <c r="G20" s="17" t="s">
        <v>1</v>
      </c>
      <c r="H20" s="4">
        <v>334</v>
      </c>
      <c r="I20" s="17">
        <v>10280633</v>
      </c>
      <c r="J20" s="19">
        <v>102806</v>
      </c>
      <c r="K20" s="3" t="s">
        <v>0</v>
      </c>
    </row>
    <row r="21" spans="1:11" x14ac:dyDescent="0.3">
      <c r="A21" s="18">
        <v>74360349</v>
      </c>
      <c r="B21" s="17"/>
      <c r="C21" s="17" t="s">
        <v>33</v>
      </c>
      <c r="D21" s="16" t="s">
        <v>153</v>
      </c>
      <c r="E21" s="13" t="s">
        <v>152</v>
      </c>
      <c r="F21" s="17" t="s">
        <v>151</v>
      </c>
      <c r="G21" s="17" t="s">
        <v>1</v>
      </c>
      <c r="H21" s="4">
        <v>334</v>
      </c>
      <c r="I21" s="17">
        <v>1203180</v>
      </c>
      <c r="J21" s="19">
        <v>120318</v>
      </c>
      <c r="K21" s="3" t="s">
        <v>0</v>
      </c>
    </row>
    <row r="22" spans="1:11" x14ac:dyDescent="0.3">
      <c r="A22" s="18">
        <v>1053607935</v>
      </c>
      <c r="B22" s="17"/>
      <c r="C22" s="17" t="s">
        <v>32</v>
      </c>
      <c r="D22" s="11" t="s">
        <v>140</v>
      </c>
      <c r="E22" s="13" t="s">
        <v>139</v>
      </c>
      <c r="F22" s="12" t="s">
        <v>138</v>
      </c>
      <c r="G22" s="17" t="s">
        <v>1</v>
      </c>
      <c r="H22" s="4">
        <v>334</v>
      </c>
      <c r="I22" s="17">
        <v>5075000</v>
      </c>
      <c r="J22" s="19">
        <v>50751</v>
      </c>
      <c r="K22" s="3" t="s">
        <v>0</v>
      </c>
    </row>
    <row r="23" spans="1:11" x14ac:dyDescent="0.3">
      <c r="A23" s="18">
        <v>74333911</v>
      </c>
      <c r="B23" s="17"/>
      <c r="C23" s="17" t="s">
        <v>31</v>
      </c>
      <c r="D23" s="20" t="s">
        <v>105</v>
      </c>
      <c r="E23" s="13" t="s">
        <v>104</v>
      </c>
      <c r="F23" s="12" t="s">
        <v>103</v>
      </c>
      <c r="G23" s="17" t="s">
        <v>1</v>
      </c>
      <c r="H23" s="4">
        <v>334</v>
      </c>
      <c r="I23" s="17">
        <v>20956933</v>
      </c>
      <c r="J23" s="19">
        <v>209572</v>
      </c>
      <c r="K23" s="3" t="s">
        <v>0</v>
      </c>
    </row>
    <row r="24" spans="1:11" x14ac:dyDescent="0.3">
      <c r="A24" s="18">
        <v>1049612591</v>
      </c>
      <c r="B24" s="17"/>
      <c r="C24" s="17" t="s">
        <v>28</v>
      </c>
      <c r="D24" s="11" t="s">
        <v>70</v>
      </c>
      <c r="E24" s="13" t="s">
        <v>69</v>
      </c>
      <c r="F24" s="12" t="s">
        <v>68</v>
      </c>
      <c r="G24" s="17" t="s">
        <v>1</v>
      </c>
      <c r="H24" s="4">
        <v>334</v>
      </c>
      <c r="I24" s="17">
        <v>2300000</v>
      </c>
      <c r="J24" s="19">
        <v>23000</v>
      </c>
      <c r="K24" s="3" t="s">
        <v>0</v>
      </c>
    </row>
    <row r="25" spans="1:11" x14ac:dyDescent="0.3">
      <c r="A25" s="18">
        <v>901632232</v>
      </c>
      <c r="B25" s="17"/>
      <c r="C25" s="17" t="s">
        <v>30</v>
      </c>
      <c r="D25" s="11" t="s">
        <v>142</v>
      </c>
      <c r="E25" s="13">
        <v>3103063035</v>
      </c>
      <c r="F25" s="12" t="s">
        <v>141</v>
      </c>
      <c r="G25" s="17" t="s">
        <v>1</v>
      </c>
      <c r="H25" s="4">
        <v>334</v>
      </c>
      <c r="I25" s="17">
        <f>1511300+635000</f>
        <v>2146300</v>
      </c>
      <c r="J25" s="19">
        <v>21463</v>
      </c>
      <c r="K25" s="3" t="s">
        <v>0</v>
      </c>
    </row>
    <row r="26" spans="1:11" ht="26.4" x14ac:dyDescent="0.3">
      <c r="A26" s="18">
        <v>820001676</v>
      </c>
      <c r="B26" s="17"/>
      <c r="C26" s="17" t="s">
        <v>29</v>
      </c>
      <c r="D26" s="17"/>
      <c r="E26" s="17"/>
      <c r="F26" s="3" t="s">
        <v>5</v>
      </c>
      <c r="G26" s="17" t="s">
        <v>1</v>
      </c>
      <c r="H26" s="4">
        <v>334</v>
      </c>
      <c r="I26" s="17">
        <v>9000000</v>
      </c>
      <c r="J26" s="19">
        <v>90000</v>
      </c>
      <c r="K26" s="3" t="s">
        <v>0</v>
      </c>
    </row>
    <row r="27" spans="1:11" ht="26.4" x14ac:dyDescent="0.3">
      <c r="A27" s="18">
        <v>1049612591</v>
      </c>
      <c r="B27" s="17"/>
      <c r="C27" s="17" t="s">
        <v>28</v>
      </c>
      <c r="D27" s="17"/>
      <c r="E27" s="17"/>
      <c r="F27" s="3" t="s">
        <v>5</v>
      </c>
      <c r="G27" s="17" t="s">
        <v>1</v>
      </c>
      <c r="H27" s="4">
        <v>334</v>
      </c>
      <c r="I27" s="17">
        <v>11500000</v>
      </c>
      <c r="J27" s="19">
        <v>115000</v>
      </c>
      <c r="K27" s="3" t="s">
        <v>0</v>
      </c>
    </row>
    <row r="28" spans="1:11" x14ac:dyDescent="0.3">
      <c r="A28" s="18">
        <v>23857418</v>
      </c>
      <c r="B28" s="17"/>
      <c r="C28" s="17" t="s">
        <v>27</v>
      </c>
      <c r="D28" s="11" t="s">
        <v>102</v>
      </c>
      <c r="E28" s="13" t="s">
        <v>101</v>
      </c>
      <c r="F28" s="12" t="s">
        <v>100</v>
      </c>
      <c r="G28" s="17" t="s">
        <v>1</v>
      </c>
      <c r="H28" s="4">
        <v>334</v>
      </c>
      <c r="I28" s="17">
        <v>10788500</v>
      </c>
      <c r="J28" s="19">
        <v>107884</v>
      </c>
      <c r="K28" s="3" t="s">
        <v>0</v>
      </c>
    </row>
    <row r="29" spans="1:11" x14ac:dyDescent="0.3">
      <c r="A29" s="18">
        <v>46682009</v>
      </c>
      <c r="B29" s="17"/>
      <c r="C29" s="17" t="s">
        <v>26</v>
      </c>
      <c r="D29" s="11" t="s">
        <v>112</v>
      </c>
      <c r="E29" s="13" t="s">
        <v>114</v>
      </c>
      <c r="F29" s="15" t="s">
        <v>113</v>
      </c>
      <c r="G29" s="17" t="s">
        <v>1</v>
      </c>
      <c r="H29" s="4">
        <v>334</v>
      </c>
      <c r="I29" s="17">
        <v>5713500</v>
      </c>
      <c r="J29" s="19">
        <v>57135</v>
      </c>
      <c r="K29" s="3" t="s">
        <v>0</v>
      </c>
    </row>
    <row r="30" spans="1:11" x14ac:dyDescent="0.3">
      <c r="A30" s="18">
        <v>1053613211</v>
      </c>
      <c r="B30" s="17"/>
      <c r="C30" s="17" t="s">
        <v>25</v>
      </c>
      <c r="D30" s="11" t="s">
        <v>126</v>
      </c>
      <c r="E30" s="13" t="s">
        <v>125</v>
      </c>
      <c r="F30" s="15" t="s">
        <v>124</v>
      </c>
      <c r="G30" s="17" t="s">
        <v>1</v>
      </c>
      <c r="H30" s="4">
        <v>334</v>
      </c>
      <c r="I30" s="17">
        <v>10725017</v>
      </c>
      <c r="J30" s="19">
        <v>107250</v>
      </c>
      <c r="K30" s="3" t="s">
        <v>0</v>
      </c>
    </row>
    <row r="31" spans="1:11" x14ac:dyDescent="0.3">
      <c r="A31" s="18">
        <v>46377049</v>
      </c>
      <c r="B31" s="17"/>
      <c r="C31" s="17" t="s">
        <v>24</v>
      </c>
      <c r="D31" s="21" t="s">
        <v>111</v>
      </c>
      <c r="E31" s="13" t="s">
        <v>110</v>
      </c>
      <c r="F31" s="15" t="s">
        <v>109</v>
      </c>
      <c r="G31" s="17" t="s">
        <v>1</v>
      </c>
      <c r="H31" s="4">
        <v>334</v>
      </c>
      <c r="I31" s="17">
        <v>10725017</v>
      </c>
      <c r="J31" s="19">
        <v>107250</v>
      </c>
      <c r="K31" s="3" t="s">
        <v>0</v>
      </c>
    </row>
    <row r="32" spans="1:11" ht="26.4" x14ac:dyDescent="0.3">
      <c r="A32" s="18">
        <v>860009578</v>
      </c>
      <c r="B32" s="17"/>
      <c r="C32" s="17" t="s">
        <v>23</v>
      </c>
      <c r="D32" s="17"/>
      <c r="E32" s="17"/>
      <c r="F32" s="3" t="s">
        <v>5</v>
      </c>
      <c r="G32" s="17" t="s">
        <v>1</v>
      </c>
      <c r="H32" s="4">
        <v>334</v>
      </c>
      <c r="I32" s="17">
        <v>5499880</v>
      </c>
      <c r="J32" s="19">
        <v>54998.8</v>
      </c>
      <c r="K32" s="3" t="s">
        <v>0</v>
      </c>
    </row>
    <row r="33" spans="1:11" x14ac:dyDescent="0.3">
      <c r="A33" s="18">
        <v>1057579580</v>
      </c>
      <c r="B33" s="17"/>
      <c r="C33" s="17" t="s">
        <v>22</v>
      </c>
      <c r="D33" s="11" t="s">
        <v>123</v>
      </c>
      <c r="E33" s="13" t="s">
        <v>122</v>
      </c>
      <c r="F33" s="12" t="s">
        <v>121</v>
      </c>
      <c r="G33" s="17" t="s">
        <v>1</v>
      </c>
      <c r="H33" s="4">
        <v>334</v>
      </c>
      <c r="I33" s="17">
        <v>10661533</v>
      </c>
      <c r="J33" s="19">
        <v>106616</v>
      </c>
      <c r="K33" s="3" t="s">
        <v>0</v>
      </c>
    </row>
    <row r="34" spans="1:11" x14ac:dyDescent="0.3">
      <c r="A34" s="18">
        <v>1053612723</v>
      </c>
      <c r="B34" s="17"/>
      <c r="C34" s="17" t="s">
        <v>21</v>
      </c>
      <c r="D34" s="11" t="s">
        <v>90</v>
      </c>
      <c r="E34" s="13" t="s">
        <v>89</v>
      </c>
      <c r="F34" s="12" t="s">
        <v>88</v>
      </c>
      <c r="G34" s="17" t="s">
        <v>1</v>
      </c>
      <c r="H34" s="4">
        <v>334</v>
      </c>
      <c r="I34" s="17">
        <v>8628450</v>
      </c>
      <c r="J34" s="19">
        <v>86285</v>
      </c>
      <c r="K34" s="3" t="s">
        <v>0</v>
      </c>
    </row>
    <row r="35" spans="1:11" x14ac:dyDescent="0.3">
      <c r="A35" s="18">
        <v>1053612133</v>
      </c>
      <c r="B35" s="17"/>
      <c r="C35" s="17" t="s">
        <v>20</v>
      </c>
      <c r="D35" s="11" t="s">
        <v>117</v>
      </c>
      <c r="E35" s="13" t="s">
        <v>116</v>
      </c>
      <c r="F35" s="12" t="s">
        <v>115</v>
      </c>
      <c r="G35" s="17" t="s">
        <v>1</v>
      </c>
      <c r="H35" s="4">
        <v>334</v>
      </c>
      <c r="I35" s="17">
        <v>8628450</v>
      </c>
      <c r="J35" s="19">
        <v>86285</v>
      </c>
      <c r="K35" s="3" t="s">
        <v>0</v>
      </c>
    </row>
    <row r="36" spans="1:11" x14ac:dyDescent="0.3">
      <c r="A36" s="18">
        <v>1053614547</v>
      </c>
      <c r="B36" s="17"/>
      <c r="C36" s="17" t="s">
        <v>19</v>
      </c>
      <c r="D36" s="20" t="s">
        <v>108</v>
      </c>
      <c r="E36" s="13" t="s">
        <v>107</v>
      </c>
      <c r="F36" s="12" t="s">
        <v>106</v>
      </c>
      <c r="G36" s="17" t="s">
        <v>1</v>
      </c>
      <c r="H36" s="4">
        <v>334</v>
      </c>
      <c r="I36" s="17">
        <v>10598050</v>
      </c>
      <c r="J36" s="19">
        <v>105981</v>
      </c>
      <c r="K36" s="3" t="s">
        <v>0</v>
      </c>
    </row>
    <row r="37" spans="1:11" x14ac:dyDescent="0.3">
      <c r="A37" s="18">
        <v>1053613801</v>
      </c>
      <c r="B37" s="17"/>
      <c r="C37" s="17" t="s">
        <v>18</v>
      </c>
      <c r="D37" s="16" t="s">
        <v>150</v>
      </c>
      <c r="E37" s="13" t="s">
        <v>149</v>
      </c>
      <c r="F37" s="15" t="s">
        <v>148</v>
      </c>
      <c r="G37" s="17" t="s">
        <v>1</v>
      </c>
      <c r="H37" s="4">
        <v>334</v>
      </c>
      <c r="I37" s="17">
        <v>10598050</v>
      </c>
      <c r="J37" s="19">
        <v>105982</v>
      </c>
      <c r="K37" s="3" t="s">
        <v>0</v>
      </c>
    </row>
    <row r="38" spans="1:11" x14ac:dyDescent="0.3">
      <c r="A38" s="18">
        <v>4192176</v>
      </c>
      <c r="B38" s="17"/>
      <c r="C38" s="17" t="s">
        <v>17</v>
      </c>
      <c r="D38" s="11" t="s">
        <v>134</v>
      </c>
      <c r="E38" s="13" t="s">
        <v>133</v>
      </c>
      <c r="F38" s="15" t="s">
        <v>113</v>
      </c>
      <c r="G38" s="17" t="s">
        <v>1</v>
      </c>
      <c r="H38" s="4">
        <v>334</v>
      </c>
      <c r="I38" s="17">
        <v>10344117</v>
      </c>
      <c r="J38" s="19">
        <v>103441</v>
      </c>
      <c r="K38" s="3" t="s">
        <v>0</v>
      </c>
    </row>
    <row r="39" spans="1:11" ht="26.4" x14ac:dyDescent="0.3">
      <c r="A39" s="18">
        <v>79790621</v>
      </c>
      <c r="B39" s="17"/>
      <c r="C39" s="17" t="s">
        <v>16</v>
      </c>
      <c r="D39" s="17"/>
      <c r="E39" s="17"/>
      <c r="F39" s="3" t="s">
        <v>5</v>
      </c>
      <c r="G39" s="17" t="s">
        <v>1</v>
      </c>
      <c r="H39" s="4">
        <v>334</v>
      </c>
      <c r="I39" s="17">
        <v>4888217</v>
      </c>
      <c r="J39" s="19">
        <v>48882</v>
      </c>
      <c r="K39" s="3" t="s">
        <v>0</v>
      </c>
    </row>
    <row r="40" spans="1:11" ht="26.4" x14ac:dyDescent="0.3">
      <c r="A40" s="18">
        <v>891801031</v>
      </c>
      <c r="B40" s="17"/>
      <c r="C40" s="17" t="s">
        <v>15</v>
      </c>
      <c r="D40" s="17"/>
      <c r="E40" s="17"/>
      <c r="F40" s="3" t="s">
        <v>5</v>
      </c>
      <c r="G40" s="17" t="s">
        <v>1</v>
      </c>
      <c r="H40" s="4">
        <v>334</v>
      </c>
      <c r="I40" s="17">
        <v>7000000</v>
      </c>
      <c r="J40" s="19">
        <v>70000</v>
      </c>
      <c r="K40" s="3" t="s">
        <v>0</v>
      </c>
    </row>
    <row r="41" spans="1:11" ht="26.4" x14ac:dyDescent="0.3">
      <c r="A41" s="18">
        <v>901885710</v>
      </c>
      <c r="B41" s="17"/>
      <c r="C41" s="17" t="s">
        <v>14</v>
      </c>
      <c r="D41" s="17"/>
      <c r="E41" s="17"/>
      <c r="F41" s="3" t="s">
        <v>5</v>
      </c>
      <c r="G41" s="17" t="s">
        <v>1</v>
      </c>
      <c r="H41" s="4">
        <v>334</v>
      </c>
      <c r="I41" s="17">
        <v>32813700</v>
      </c>
      <c r="J41" s="19">
        <v>328137</v>
      </c>
      <c r="K41" s="3" t="s">
        <v>0</v>
      </c>
    </row>
    <row r="42" spans="1:11" x14ac:dyDescent="0.3">
      <c r="A42" s="18">
        <v>1007305752</v>
      </c>
      <c r="B42" s="17"/>
      <c r="C42" s="17" t="s">
        <v>13</v>
      </c>
      <c r="D42" s="11" t="s">
        <v>137</v>
      </c>
      <c r="E42" s="13" t="s">
        <v>136</v>
      </c>
      <c r="F42" s="12" t="s">
        <v>135</v>
      </c>
      <c r="G42" s="17" t="s">
        <v>1</v>
      </c>
      <c r="H42" s="4">
        <v>334</v>
      </c>
      <c r="I42" s="17">
        <v>2666300</v>
      </c>
      <c r="J42" s="19">
        <v>26663</v>
      </c>
      <c r="K42" s="3" t="s">
        <v>0</v>
      </c>
    </row>
    <row r="43" spans="1:11" x14ac:dyDescent="0.3">
      <c r="A43" s="18">
        <v>5888679</v>
      </c>
      <c r="B43" s="17"/>
      <c r="C43" s="17" t="s">
        <v>12</v>
      </c>
      <c r="D43" s="11" t="s">
        <v>145</v>
      </c>
      <c r="E43" s="13" t="s">
        <v>144</v>
      </c>
      <c r="F43" s="12" t="s">
        <v>143</v>
      </c>
      <c r="G43" s="17">
        <v>15759</v>
      </c>
      <c r="H43" s="4">
        <v>334</v>
      </c>
      <c r="I43" s="17">
        <v>36000000</v>
      </c>
      <c r="J43" s="19">
        <v>360000</v>
      </c>
      <c r="K43" s="3" t="s">
        <v>0</v>
      </c>
    </row>
    <row r="44" spans="1:11" x14ac:dyDescent="0.3">
      <c r="A44" s="18">
        <v>900789473</v>
      </c>
      <c r="B44" s="17"/>
      <c r="C44" s="17" t="s">
        <v>11</v>
      </c>
      <c r="D44" s="11" t="s">
        <v>147</v>
      </c>
      <c r="E44" s="13">
        <v>3204085743</v>
      </c>
      <c r="F44" s="12" t="s">
        <v>146</v>
      </c>
      <c r="G44" s="17" t="s">
        <v>1</v>
      </c>
      <c r="H44" s="4">
        <v>334</v>
      </c>
      <c r="I44" s="17">
        <v>31415900</v>
      </c>
      <c r="J44" s="19">
        <v>314159</v>
      </c>
      <c r="K44" s="3" t="s">
        <v>0</v>
      </c>
    </row>
    <row r="45" spans="1:11" x14ac:dyDescent="0.3">
      <c r="A45" s="18">
        <v>891800219</v>
      </c>
      <c r="B45" s="17"/>
      <c r="C45" s="17" t="s">
        <v>10</v>
      </c>
      <c r="D45" s="17"/>
      <c r="E45" s="17"/>
      <c r="F45" s="17" t="s">
        <v>5</v>
      </c>
      <c r="G45" s="17" t="s">
        <v>1</v>
      </c>
      <c r="H45" s="4">
        <v>334</v>
      </c>
      <c r="I45" s="17">
        <v>6799040</v>
      </c>
      <c r="J45" s="19">
        <v>67990.399999999994</v>
      </c>
      <c r="K45" s="22" t="s">
        <v>0</v>
      </c>
    </row>
    <row r="46" spans="1:11" ht="26.4" x14ac:dyDescent="0.3">
      <c r="A46" s="18" t="s">
        <v>9</v>
      </c>
      <c r="B46" s="3"/>
      <c r="C46" s="3" t="s">
        <v>8</v>
      </c>
      <c r="D46" s="3"/>
      <c r="E46" s="3"/>
      <c r="F46" s="3" t="s">
        <v>5</v>
      </c>
      <c r="G46" s="17" t="s">
        <v>1</v>
      </c>
      <c r="H46" s="4">
        <v>334</v>
      </c>
      <c r="I46" s="5">
        <v>2216100</v>
      </c>
      <c r="J46" s="19"/>
      <c r="K46" s="3" t="s">
        <v>0</v>
      </c>
    </row>
    <row r="47" spans="1:11" ht="26.4" x14ac:dyDescent="0.3">
      <c r="A47" s="18" t="s">
        <v>7</v>
      </c>
      <c r="B47" s="3"/>
      <c r="C47" s="3" t="s">
        <v>6</v>
      </c>
      <c r="D47" s="3"/>
      <c r="E47" s="3"/>
      <c r="F47" s="3" t="s">
        <v>5</v>
      </c>
      <c r="G47" s="17" t="s">
        <v>1</v>
      </c>
      <c r="H47" s="4">
        <v>334</v>
      </c>
      <c r="I47" s="5">
        <v>1767601</v>
      </c>
      <c r="J47" s="19"/>
      <c r="K47" s="3" t="s">
        <v>0</v>
      </c>
    </row>
    <row r="48" spans="1:11" ht="26.4" x14ac:dyDescent="0.3">
      <c r="A48" s="18" t="s">
        <v>4</v>
      </c>
      <c r="B48" s="3"/>
      <c r="C48" s="3" t="s">
        <v>3</v>
      </c>
      <c r="D48" s="3"/>
      <c r="E48" s="3"/>
      <c r="F48" s="3" t="s">
        <v>2</v>
      </c>
      <c r="G48" s="17" t="s">
        <v>1</v>
      </c>
      <c r="H48" s="4">
        <v>334</v>
      </c>
      <c r="I48" s="3"/>
      <c r="J48" s="19"/>
      <c r="K48" s="3" t="s">
        <v>0</v>
      </c>
    </row>
    <row r="49" spans="9:9" x14ac:dyDescent="0.3">
      <c r="I49" s="2">
        <f>SUM(I2:I48)</f>
        <v>575289550</v>
      </c>
    </row>
  </sheetData>
  <hyperlinks>
    <hyperlink ref="D10" r:id="rId1" xr:uid="{B6610208-9E85-4E93-B56A-9D62ECAC1A34}"/>
    <hyperlink ref="D4" r:id="rId2" xr:uid="{E162D3C9-C777-4224-BC4B-4288FC1F7908}"/>
    <hyperlink ref="D24" r:id="rId3" xr:uid="{6C56A144-FFDC-4FA3-B2E9-2C813DDB4CB0}"/>
    <hyperlink ref="D11" r:id="rId4" xr:uid="{07211909-44AD-42F3-B88B-65EAFB517FF7}"/>
    <hyperlink ref="D12" r:id="rId5" xr:uid="{2338D89A-6080-4275-9D29-6CEDBF1CA0D9}"/>
    <hyperlink ref="D15" r:id="rId6" xr:uid="{7BB1CC9A-A8CB-400E-B56C-EC3C868A29A2}"/>
    <hyperlink ref="D20" r:id="rId7" xr:uid="{6CA8A445-1E7D-405B-BFBA-51308A1D89BF}"/>
    <hyperlink ref="D19" r:id="rId8" xr:uid="{75BA1816-5233-4C97-B439-AB50E70B97A3}"/>
    <hyperlink ref="D22" r:id="rId9" xr:uid="{7E5CDBD1-F025-406C-A833-B5105F043FF2}"/>
    <hyperlink ref="D44" r:id="rId10" xr:uid="{B795EBB1-E495-44F8-9868-B7D92589FA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GRANADOS</dc:creator>
  <cp:lastModifiedBy>FELIPE GRANADOS</cp:lastModifiedBy>
  <dcterms:created xsi:type="dcterms:W3CDTF">2025-08-28T17:39:48Z</dcterms:created>
  <dcterms:modified xsi:type="dcterms:W3CDTF">2025-08-29T23:17:57Z</dcterms:modified>
</cp:coreProperties>
</file>