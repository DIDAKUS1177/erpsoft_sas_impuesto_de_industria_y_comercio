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zma\OneDrive\Documentos\AÑO 2025\TAXTURISTICO PAIPA\EXOGENA PAIPA 2025 TAX\FORMATOS ENVIADOS\"/>
    </mc:Choice>
  </mc:AlternateContent>
  <bookViews>
    <workbookView xWindow="-120" yWindow="-120" windowWidth="20640" windowHeight="11160"/>
  </bookViews>
  <sheets>
    <sheet name="PFE1" sheetId="1" r:id="rId1"/>
    <sheet name="Actividades" sheetId="2" r:id="rId2"/>
    <sheet name="Municipios" sheetId="3" r:id="rId3"/>
  </sheets>
  <externalReferences>
    <externalReference r:id="rId4"/>
  </externalReference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2" i="1" l="1"/>
  <c r="H141" i="1"/>
  <c r="H140" i="1"/>
  <c r="H139" i="1"/>
  <c r="H138" i="1"/>
  <c r="H137" i="1"/>
  <c r="H136" i="1"/>
  <c r="H135" i="1"/>
  <c r="H134" i="1"/>
  <c r="H133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</calcChain>
</file>

<file path=xl/sharedStrings.xml><?xml version="1.0" encoding="utf-8"?>
<sst xmlns="http://schemas.openxmlformats.org/spreadsheetml/2006/main" count="3022" uniqueCount="2717">
  <si>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</si>
  <si>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</si>
  <si>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</si>
  <si>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</si>
  <si>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</si>
  <si>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</si>
  <si>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</si>
  <si>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</si>
  <si>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</si>
  <si>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</si>
  <si>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</si>
  <si>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</si>
  <si>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</si>
  <si>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</si>
  <si>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</si>
  <si>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</si>
  <si>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</si>
  <si>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</si>
  <si>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</si>
  <si>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</si>
  <si>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</si>
  <si>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</si>
  <si>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</si>
  <si>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</si>
  <si>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</si>
  <si>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</si>
  <si>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</si>
  <si>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</si>
  <si>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</si>
  <si>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</si>
  <si>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</si>
  <si>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</si>
  <si>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</si>
  <si>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</si>
  <si>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</si>
  <si>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</si>
  <si>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</si>
  <si>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</si>
  <si>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</si>
  <si>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</si>
  <si>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</si>
  <si>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</si>
  <si>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</si>
  <si>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</si>
  <si>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</si>
  <si>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</si>
  <si>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</si>
  <si>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</si>
  <si>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</si>
  <si>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</si>
  <si>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</si>
  <si>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</si>
  <si>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</si>
  <si>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</si>
  <si>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</si>
  <si>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</si>
  <si>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</si>
  <si>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</si>
  <si>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</si>
  <si>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</si>
  <si>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</si>
  <si>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</si>
  <si>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</si>
  <si>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</si>
  <si>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</si>
  <si>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</si>
  <si>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</si>
  <si>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</si>
  <si>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</si>
  <si>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</si>
  <si>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</si>
  <si>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</si>
  <si>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</si>
  <si>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</si>
  <si>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</si>
  <si>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</si>
  <si>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</si>
  <si>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</si>
  <si>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</si>
  <si>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</si>
  <si>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</si>
  <si>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</si>
  <si>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</si>
  <si>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</si>
  <si>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</si>
  <si>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</si>
  <si>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</si>
  <si>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</si>
  <si>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</si>
  <si>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</si>
  <si>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</si>
  <si>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</si>
  <si>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</si>
  <si>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</si>
  <si>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</si>
  <si>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</si>
  <si>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</si>
  <si>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</si>
  <si>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</si>
  <si>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</si>
  <si>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</si>
  <si>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</si>
  <si>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</si>
  <si>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</si>
  <si>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</si>
  <si>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</si>
  <si>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</si>
  <si>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</si>
  <si>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</si>
  <si>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</si>
  <si>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</si>
  <si>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</si>
  <si>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</si>
  <si>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</si>
  <si>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</si>
  <si>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</si>
  <si>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</si>
  <si>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</si>
  <si>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</si>
  <si>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</si>
  <si>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</si>
  <si>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</si>
  <si>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</si>
  <si>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</si>
  <si>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</si>
  <si>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</si>
  <si>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</si>
  <si>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</si>
  <si>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</si>
  <si>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</si>
  <si>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</si>
  <si>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</si>
  <si>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</si>
  <si>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</si>
  <si>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</si>
  <si>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</si>
  <si>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</si>
  <si>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</si>
  <si>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</si>
  <si>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</si>
  <si>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</si>
  <si>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</si>
  <si>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</si>
  <si>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</si>
  <si>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</si>
  <si>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</si>
  <si>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</si>
  <si>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</si>
  <si>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</si>
  <si>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</si>
  <si>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</si>
  <si>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</si>
  <si>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</si>
  <si>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</si>
  <si>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</si>
  <si>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</si>
  <si>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</si>
  <si>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</si>
  <si>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</si>
  <si>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</si>
  <si>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</si>
  <si>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</si>
  <si>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</si>
  <si>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</si>
  <si>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</si>
  <si>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</si>
  <si>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</si>
  <si>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</si>
  <si>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</si>
  <si>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</si>
  <si>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</si>
  <si>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</si>
  <si>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</si>
  <si>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</si>
  <si>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</si>
  <si>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</si>
  <si>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</si>
  <si>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</si>
  <si>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</si>
  <si>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</si>
  <si>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</si>
  <si>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</si>
  <si>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</si>
  <si>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</si>
  <si>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</si>
  <si>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</si>
  <si>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</si>
  <si>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</si>
  <si>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</si>
  <si>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</si>
  <si>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</si>
  <si>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</si>
  <si>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</si>
  <si>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</si>
  <si>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</si>
  <si>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</si>
  <si>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</si>
  <si>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</si>
  <si>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</si>
  <si>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</si>
  <si>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</si>
  <si>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</si>
  <si>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</si>
  <si>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</si>
  <si>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</si>
  <si>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</si>
  <si>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</si>
  <si>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</si>
  <si>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</si>
  <si>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</si>
  <si>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</si>
  <si>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</si>
  <si>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</si>
  <si>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</si>
  <si>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</si>
  <si>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</si>
  <si>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</si>
  <si>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</si>
  <si>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</si>
  <si>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</si>
  <si>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</si>
  <si>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</si>
  <si>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</si>
  <si>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</si>
  <si>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</si>
  <si>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</si>
  <si>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</si>
  <si>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</si>
  <si>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</si>
  <si>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</si>
  <si>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</si>
  <si>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</si>
  <si>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</si>
  <si>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</si>
  <si>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</si>
  <si>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</si>
  <si>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</si>
  <si>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</si>
  <si>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</si>
  <si>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</si>
  <si>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</si>
  <si>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</si>
  <si>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</si>
  <si>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</si>
  <si>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</si>
  <si>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</si>
  <si>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</si>
  <si>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</si>
  <si>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</si>
  <si>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</si>
  <si>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</si>
  <si>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</si>
  <si>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</si>
  <si>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</si>
  <si>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</si>
  <si>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</si>
  <si>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</si>
  <si>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</si>
  <si>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</si>
  <si>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</si>
  <si>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</si>
  <si>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</si>
  <si>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</si>
  <si>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</si>
  <si>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</si>
  <si>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</si>
  <si>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</si>
  <si>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</si>
  <si>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</si>
  <si>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</si>
  <si>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</si>
  <si>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</si>
  <si>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</si>
  <si>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</si>
  <si>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</si>
  <si>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</si>
  <si>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</si>
  <si>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</si>
  <si>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</si>
  <si>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</si>
  <si>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</si>
  <si>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</si>
  <si>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</si>
  <si>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</si>
  <si>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</si>
  <si>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</si>
  <si>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</si>
  <si>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</si>
  <si>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</si>
  <si>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</si>
  <si>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</si>
  <si>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</si>
  <si>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</si>
  <si>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</si>
  <si>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</si>
  <si>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</si>
  <si>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</si>
  <si>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</si>
  <si>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</si>
  <si>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</si>
  <si>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</si>
  <si>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</si>
  <si>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</si>
  <si>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</si>
  <si>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</si>
  <si>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</si>
  <si>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</si>
  <si>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</si>
  <si>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</si>
  <si>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</si>
  <si>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</si>
  <si>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</si>
  <si>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</si>
  <si>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</si>
  <si>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</si>
  <si>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</si>
  <si>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</si>
  <si>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</si>
  <si>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</si>
  <si>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</si>
  <si>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</si>
  <si>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</si>
  <si>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</si>
  <si>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</si>
  <si>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</si>
  <si>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</si>
  <si>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</si>
  <si>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</si>
  <si>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</si>
  <si>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</si>
  <si>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</si>
  <si>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</si>
  <si>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</si>
  <si>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</si>
  <si>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</si>
  <si>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</si>
  <si>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</si>
  <si>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</si>
  <si>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</si>
  <si>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</si>
  <si>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</si>
  <si>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</si>
  <si>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</si>
  <si>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</si>
  <si>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</si>
  <si>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</si>
  <si>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</si>
  <si>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</si>
  <si>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</si>
  <si>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</si>
  <si>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</si>
  <si>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</si>
  <si>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</si>
  <si>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</si>
  <si>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</si>
  <si>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</si>
  <si>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</si>
  <si>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</si>
  <si>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</si>
  <si>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</si>
  <si>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</si>
  <si>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</si>
  <si>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</si>
  <si>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</si>
  <si>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</si>
  <si>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</si>
  <si>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</si>
  <si>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</si>
  <si>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</si>
  <si>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</si>
  <si>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</si>
  <si>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</si>
  <si>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</si>
  <si>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</si>
  <si>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</si>
  <si>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</si>
  <si>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</si>
  <si>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</si>
  <si>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</si>
  <si>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</si>
  <si>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</si>
  <si>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</si>
  <si>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</si>
  <si>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</si>
  <si>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</si>
  <si>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</si>
  <si>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</si>
  <si>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</si>
  <si>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</si>
  <si>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</si>
  <si>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</si>
  <si>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</si>
  <si>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</si>
  <si>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</si>
  <si>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</si>
  <si>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</si>
  <si>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</si>
  <si>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</si>
  <si>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</si>
  <si>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</si>
  <si>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</si>
  <si>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</si>
  <si>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</si>
  <si>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</si>
  <si>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</si>
  <si>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</si>
  <si>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</si>
  <si>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</si>
  <si>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</si>
  <si>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</si>
  <si>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</si>
  <si>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</si>
  <si>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</si>
  <si>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</si>
  <si>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</si>
  <si>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</si>
  <si>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</si>
  <si>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</si>
  <si>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</si>
  <si>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</si>
  <si>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</si>
  <si>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</si>
  <si>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</si>
  <si>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</si>
  <si>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</si>
  <si>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</si>
  <si>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</si>
  <si>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</si>
  <si>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</si>
  <si>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</si>
  <si>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</si>
  <si>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</si>
  <si>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</si>
  <si>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</si>
  <si>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</si>
  <si>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</si>
  <si>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</si>
  <si>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</si>
  <si>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</si>
  <si>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</si>
  <si>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</si>
  <si>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</si>
  <si>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</si>
  <si>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</si>
  <si>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</si>
  <si>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</si>
  <si>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</si>
  <si>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</si>
  <si>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</si>
  <si>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</si>
  <si>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</si>
  <si>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</si>
  <si>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</si>
  <si>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</si>
  <si>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</si>
  <si>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</si>
  <si>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</si>
  <si>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</si>
  <si>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</si>
  <si>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</si>
  <si>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</si>
  <si>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</si>
  <si>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</si>
  <si>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</si>
  <si>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</si>
  <si>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</si>
  <si>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</si>
  <si>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</si>
  <si>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</si>
  <si>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</si>
  <si>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</si>
  <si>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</si>
  <si>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</si>
  <si>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</si>
  <si>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</si>
  <si>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</si>
  <si>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</si>
  <si>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</si>
  <si>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</si>
  <si>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</si>
  <si>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</si>
  <si>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</si>
  <si>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</si>
  <si>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</si>
  <si>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</si>
  <si>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</si>
  <si>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</si>
  <si>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</si>
  <si>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</si>
  <si>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</si>
  <si>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</si>
  <si>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</si>
  <si>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</si>
  <si>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</si>
  <si>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</si>
  <si>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</si>
  <si>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</si>
  <si>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</si>
  <si>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</si>
  <si>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</si>
  <si>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</si>
  <si>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</si>
  <si>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</si>
  <si>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</si>
  <si>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</si>
  <si>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</si>
  <si>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</si>
  <si>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</si>
  <si>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</si>
  <si>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</si>
  <si>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</si>
  <si>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</si>
  <si>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</si>
  <si>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</si>
  <si>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</si>
  <si>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</si>
  <si>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</si>
  <si>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</si>
  <si>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</si>
  <si>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</si>
  <si>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</si>
  <si>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</si>
  <si>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</si>
  <si>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</si>
  <si>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</si>
  <si>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</si>
  <si>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</si>
  <si>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</si>
  <si>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</si>
  <si>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</si>
  <si>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</si>
  <si>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</si>
  <si>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</si>
  <si>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</si>
  <si>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</si>
  <si>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</si>
  <si>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</si>
  <si>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</si>
  <si>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</si>
  <si>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</si>
  <si>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</si>
  <si>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</si>
  <si>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</si>
  <si>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</si>
  <si>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</si>
  <si>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</si>
  <si>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</si>
  <si>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</si>
  <si>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</si>
  <si>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</si>
  <si>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</si>
  <si>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</si>
  <si>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</si>
  <si>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</si>
  <si>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</si>
  <si>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</si>
  <si>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</si>
  <si>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</si>
  <si>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</si>
  <si>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</si>
  <si>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</si>
  <si>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</si>
  <si>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</si>
  <si>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</si>
  <si>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</si>
  <si>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</si>
  <si>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</si>
  <si>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</si>
  <si>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</si>
  <si>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</si>
  <si>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</si>
  <si>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</si>
  <si>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</si>
  <si>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</si>
  <si>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</si>
  <si>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</si>
  <si>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</si>
  <si>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</si>
  <si>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</si>
  <si>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</si>
  <si>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</si>
  <si>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</si>
  <si>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</si>
  <si>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</si>
  <si>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</si>
  <si>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</si>
  <si>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</si>
  <si>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</si>
  <si>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</si>
  <si>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</si>
  <si>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</si>
  <si>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</si>
  <si>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</si>
  <si>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</si>
  <si>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</si>
  <si>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</si>
  <si>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</si>
  <si>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</si>
  <si>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</si>
  <si>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</si>
  <si>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</si>
  <si>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</si>
  <si>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</si>
  <si>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</si>
  <si>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</si>
  <si>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</si>
  <si>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</si>
  <si>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</si>
  <si>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</si>
  <si>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</si>
  <si>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</si>
  <si>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</si>
  <si>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</si>
  <si>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</si>
  <si>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</si>
  <si>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</si>
  <si>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</si>
  <si>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</si>
  <si>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</si>
  <si>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</si>
  <si>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</si>
  <si>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</si>
  <si>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</si>
  <si>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</si>
  <si>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</si>
  <si>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</si>
  <si>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</si>
  <si>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</si>
  <si>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</si>
  <si>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</si>
  <si>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</si>
  <si>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</si>
  <si>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</si>
  <si>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</si>
  <si>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</si>
  <si>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</si>
  <si>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</si>
  <si>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</si>
  <si>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</si>
  <si>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</si>
  <si>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</si>
  <si>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</si>
  <si>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</si>
  <si>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</si>
  <si>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</si>
  <si>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</si>
  <si>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</si>
  <si>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</si>
  <si>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</si>
  <si>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</si>
  <si>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</si>
  <si>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</si>
  <si>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</si>
  <si>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</si>
  <si>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</si>
  <si>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</si>
  <si>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</si>
  <si>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</si>
  <si>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</si>
  <si>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</si>
  <si>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</si>
  <si>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</si>
  <si>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</si>
  <si>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</si>
  <si>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</si>
  <si>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</si>
  <si>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</si>
  <si>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</si>
  <si>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</si>
  <si>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</si>
  <si>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</si>
  <si>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</si>
  <si>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</si>
  <si>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</si>
  <si>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</si>
  <si>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</si>
  <si>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</si>
  <si>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</si>
  <si>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</si>
  <si>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</si>
  <si>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</si>
  <si>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</si>
  <si>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</si>
  <si>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</si>
  <si>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</si>
  <si>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</si>
  <si>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</si>
  <si>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</si>
  <si>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</si>
  <si>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</si>
  <si>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</si>
  <si>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</si>
  <si>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</si>
  <si>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</si>
  <si>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</si>
  <si>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</si>
  <si>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</si>
  <si>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</si>
  <si>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</si>
  <si>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</si>
  <si>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</si>
  <si>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</si>
  <si>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</si>
  <si>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</si>
  <si>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</si>
  <si>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</si>
  <si>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</si>
  <si>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</si>
  <si>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</si>
  <si>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</si>
  <si>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</si>
  <si>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</si>
  <si>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</si>
  <si>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</si>
  <si>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</si>
  <si>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</si>
  <si>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</si>
  <si>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</si>
  <si>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</si>
  <si>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</si>
  <si>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</si>
  <si>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</si>
  <si>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</si>
  <si>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</si>
  <si>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</si>
  <si>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</si>
  <si>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</si>
  <si>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</si>
  <si>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</si>
  <si>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</si>
  <si>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</si>
  <si>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</si>
  <si>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</si>
  <si>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</si>
  <si>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</si>
  <si>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</si>
  <si>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</si>
  <si>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</si>
  <si>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</si>
  <si>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</si>
  <si>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</si>
  <si>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</si>
  <si>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</si>
  <si>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</si>
  <si>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</si>
  <si>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</si>
  <si>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</si>
  <si>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</si>
  <si>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</si>
  <si>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</si>
  <si>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</si>
  <si>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</si>
  <si>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</si>
  <si>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</si>
  <si>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</si>
  <si>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</si>
  <si>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</si>
  <si>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</si>
  <si>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</si>
  <si>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</si>
  <si>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</si>
  <si>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</si>
  <si>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</si>
  <si>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</si>
  <si>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</si>
  <si>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</si>
  <si>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</si>
  <si>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</si>
  <si>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</si>
  <si>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</si>
  <si>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</si>
  <si>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</si>
  <si>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</si>
  <si>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</si>
  <si>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</si>
  <si>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</si>
  <si>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</si>
  <si>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</si>
  <si>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</si>
  <si>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</si>
  <si>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</si>
  <si>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</si>
  <si>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</si>
  <si>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</si>
  <si>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</si>
  <si>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</si>
  <si>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</si>
  <si>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</si>
  <si>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</si>
  <si>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</si>
  <si>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</si>
  <si>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</si>
  <si>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</si>
  <si>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</si>
  <si>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</si>
  <si>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</si>
  <si>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</si>
  <si>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</si>
  <si>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</si>
  <si>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</si>
  <si>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</si>
  <si>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</si>
  <si>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</si>
  <si>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</si>
  <si>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</si>
  <si>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</si>
  <si>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</si>
  <si>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</si>
  <si>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</si>
  <si>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</si>
  <si>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</si>
  <si>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</si>
  <si>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</si>
  <si>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</si>
  <si>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</si>
  <si>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</si>
  <si>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</si>
  <si>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</si>
  <si>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</si>
  <si>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</si>
  <si>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</si>
  <si>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</si>
  <si>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</si>
  <si>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</si>
  <si>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</si>
  <si>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</si>
  <si>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</si>
  <si>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</si>
  <si>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</si>
  <si>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</si>
  <si>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</si>
  <si>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</si>
  <si>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</si>
  <si>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</si>
  <si>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</si>
  <si>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</si>
  <si>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</si>
  <si>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</si>
  <si>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</si>
  <si>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</si>
  <si>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</si>
  <si>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</si>
  <si>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</si>
  <si>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</si>
  <si>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</si>
  <si>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</si>
  <si>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</si>
  <si>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</si>
  <si>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</si>
  <si>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</si>
  <si>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</si>
  <si>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</si>
  <si>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</si>
  <si>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</si>
  <si>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</si>
  <si>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</si>
  <si>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</si>
  <si>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</si>
  <si>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</si>
  <si>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</si>
  <si>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</si>
  <si>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</si>
  <si>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</si>
  <si>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</si>
  <si>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</si>
  <si>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</si>
  <si>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</si>
  <si>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</si>
  <si>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</si>
  <si>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</si>
  <si>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</si>
  <si>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</si>
  <si>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</si>
  <si>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</si>
  <si>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</si>
  <si>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</si>
  <si>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</si>
  <si>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</si>
  <si>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</si>
  <si>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</si>
  <si>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</si>
  <si>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</si>
  <si>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</si>
  <si>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</si>
  <si>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</si>
  <si>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</si>
  <si>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</si>
  <si>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</si>
  <si>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</si>
  <si>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</si>
  <si>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</si>
  <si>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</si>
  <si>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</si>
  <si>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</si>
  <si>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</si>
  <si>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</si>
  <si>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</si>
  <si>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</si>
  <si>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</si>
  <si>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</si>
  <si>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</si>
  <si>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</si>
  <si>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</si>
  <si>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</si>
  <si>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</si>
  <si>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</si>
  <si>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</si>
  <si>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</si>
  <si>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</si>
  <si>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</si>
  <si>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</si>
  <si>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</si>
  <si>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</si>
  <si>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</si>
  <si>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</si>
  <si>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</si>
  <si>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</si>
  <si>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</si>
  <si>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</si>
  <si>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</si>
  <si>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</si>
  <si>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</si>
  <si>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</si>
  <si>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</si>
  <si>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</si>
  <si>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</si>
  <si>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</si>
  <si>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</si>
  <si>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</si>
  <si>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</si>
  <si>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</si>
  <si>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</si>
  <si>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</si>
  <si>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</si>
  <si>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</si>
  <si>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</si>
  <si>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</si>
  <si>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</si>
  <si>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</si>
  <si>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</si>
  <si>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</si>
  <si>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</si>
  <si>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</si>
  <si>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</si>
  <si>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</si>
  <si>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</si>
  <si>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</si>
  <si>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</si>
  <si>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</si>
  <si>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</si>
  <si>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</si>
  <si>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</si>
  <si>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</si>
  <si>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</si>
  <si>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</si>
  <si>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</si>
  <si>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</si>
  <si>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</si>
  <si>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</si>
  <si>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</si>
  <si>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</si>
  <si>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</si>
  <si>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</si>
  <si>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</si>
  <si>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</si>
  <si>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</si>
  <si>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</si>
  <si>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</si>
  <si>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</si>
  <si>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</si>
  <si>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</si>
  <si>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</si>
  <si>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</si>
  <si>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</si>
  <si>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</si>
  <si>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</si>
  <si>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</si>
  <si>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</si>
  <si>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</si>
  <si>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</si>
  <si>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</si>
  <si>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</si>
  <si>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</si>
  <si>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</si>
  <si>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</si>
  <si>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</si>
  <si>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</si>
  <si>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</si>
  <si>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</si>
  <si>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</si>
  <si>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</si>
  <si>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</si>
  <si>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</si>
  <si>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</si>
  <si>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</si>
  <si>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</si>
  <si>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</si>
  <si>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</si>
  <si>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</si>
  <si>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</si>
  <si>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</si>
  <si>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</si>
  <si>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</si>
  <si>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</si>
  <si>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</si>
  <si>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</si>
  <si>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</si>
  <si>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</si>
  <si>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</si>
  <si>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</si>
  <si>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</si>
  <si>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</si>
  <si>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</si>
  <si>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</si>
  <si>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</si>
  <si>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</si>
  <si>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</si>
  <si>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</si>
  <si>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</si>
  <si>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</si>
  <si>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</si>
  <si>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</si>
  <si>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</si>
  <si>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</si>
  <si>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</si>
  <si>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</si>
  <si>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</si>
  <si>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</si>
  <si>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</si>
  <si>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</si>
  <si>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</si>
  <si>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</si>
  <si>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</si>
  <si>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</si>
  <si>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</si>
  <si>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</si>
  <si>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</si>
  <si>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</si>
  <si>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</si>
  <si>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</si>
  <si>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</si>
  <si>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</si>
  <si>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</si>
  <si>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</si>
  <si>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</si>
  <si>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</si>
  <si>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</si>
  <si>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</si>
  <si>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</si>
  <si>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</si>
  <si>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</si>
  <si>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</si>
  <si>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</si>
  <si>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</si>
  <si>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</si>
  <si>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</si>
  <si>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</si>
  <si>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</si>
  <si>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</si>
  <si>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</si>
  <si>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</si>
  <si>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</si>
  <si>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</si>
  <si>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</si>
  <si>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</si>
  <si>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</si>
  <si>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</si>
  <si>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</si>
  <si>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</si>
  <si>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</si>
  <si>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</si>
  <si>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</si>
  <si>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</si>
  <si>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</si>
  <si>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</si>
  <si>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</si>
  <si>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</si>
  <si>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</si>
  <si>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</si>
  <si>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</si>
  <si>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</si>
  <si>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</si>
  <si>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</si>
  <si>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</si>
  <si>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</si>
  <si>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</si>
  <si>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</si>
  <si>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</si>
  <si>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</si>
  <si>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</si>
  <si>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</si>
  <si>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</si>
  <si>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</si>
  <si>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</si>
  <si>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</si>
  <si>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</si>
  <si>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</si>
  <si>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</si>
  <si>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</si>
  <si>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</si>
  <si>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</si>
  <si>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</si>
  <si>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</si>
  <si>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</si>
  <si>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</si>
  <si>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</si>
  <si>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</si>
  <si>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</si>
  <si>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</si>
  <si>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</si>
  <si>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</si>
  <si>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</si>
  <si>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</si>
  <si>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</si>
  <si>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</si>
  <si>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</si>
  <si>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</si>
  <si>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</si>
  <si>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</si>
  <si>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</si>
  <si>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</si>
  <si>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</si>
  <si>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</si>
  <si>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</si>
  <si>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</si>
  <si>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</si>
  <si>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</si>
  <si>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</si>
  <si>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</si>
  <si>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</si>
  <si>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</si>
  <si>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</si>
  <si>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</si>
  <si>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</si>
  <si>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</si>
  <si>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</si>
  <si>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</si>
  <si>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</si>
  <si>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</si>
  <si>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</si>
  <si>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</si>
  <si>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</si>
  <si>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</si>
  <si>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</si>
  <si>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</si>
  <si>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</si>
  <si>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</si>
  <si>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</si>
  <si>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</si>
  <si>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</si>
  <si>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</si>
  <si>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</si>
  <si>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</si>
  <si>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</si>
  <si>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</si>
  <si>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</si>
  <si>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</si>
  <si>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</si>
  <si>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</si>
  <si>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</si>
  <si>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</si>
  <si>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</si>
  <si>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</si>
  <si>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</si>
  <si>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</si>
  <si>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</si>
  <si>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</si>
  <si>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</si>
  <si>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</si>
  <si>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</si>
  <si>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</si>
  <si>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</si>
  <si>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</si>
  <si>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</si>
  <si>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</si>
  <si>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</si>
  <si>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</si>
  <si>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</si>
  <si>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</si>
  <si>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</si>
  <si>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</si>
  <si>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</si>
  <si>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</si>
  <si>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</si>
  <si>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</si>
  <si>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</si>
  <si>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</si>
  <si>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</si>
  <si>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</si>
  <si>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</si>
  <si>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</si>
  <si>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</si>
  <si>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</si>
  <si>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</si>
  <si>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</si>
  <si>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</si>
  <si>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</si>
  <si>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</si>
  <si>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</si>
  <si>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</si>
  <si>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</si>
  <si>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</si>
  <si>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</si>
  <si>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</si>
  <si>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</si>
  <si>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</si>
  <si>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</si>
  <si>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</si>
  <si>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</si>
  <si>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</si>
  <si>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</si>
  <si>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</si>
  <si>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</si>
  <si>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</si>
  <si>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</si>
  <si>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</si>
  <si>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</si>
  <si>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</si>
  <si>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</si>
  <si>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</si>
  <si>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</si>
  <si>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</si>
  <si>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</si>
  <si>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</si>
  <si>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</si>
  <si>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</si>
  <si>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</si>
  <si>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</si>
  <si>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</si>
  <si>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</si>
  <si>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</si>
  <si>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</si>
  <si>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</si>
  <si>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</si>
  <si>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</si>
  <si>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</si>
  <si>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</si>
  <si>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</si>
  <si>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</si>
  <si>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</si>
  <si>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</si>
  <si>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</si>
  <si>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</si>
  <si>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</si>
  <si>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</si>
  <si>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</si>
  <si>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</si>
  <si>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</si>
  <si>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</si>
  <si>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</si>
  <si>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</si>
  <si>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</si>
  <si>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</si>
  <si>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</si>
  <si>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</si>
  <si>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</si>
  <si>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</si>
  <si>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</si>
  <si>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</si>
  <si>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</si>
  <si>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</si>
  <si>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</si>
  <si>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</si>
  <si>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</si>
  <si>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</si>
  <si>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</si>
  <si>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</si>
  <si>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</si>
  <si>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</si>
  <si>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</si>
  <si>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</si>
  <si>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</si>
  <si>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</si>
  <si>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</si>
  <si>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</si>
  <si>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</si>
  <si>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</si>
  <si>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</si>
  <si>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</si>
  <si>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</si>
  <si>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</si>
  <si>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</si>
  <si>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</si>
  <si>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</si>
  <si>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</si>
  <si>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</si>
  <si>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</si>
  <si>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</si>
  <si>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</si>
  <si>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</si>
  <si>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</si>
  <si>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</si>
  <si>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</si>
  <si>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</si>
  <si>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</si>
  <si>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</si>
  <si>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</si>
  <si>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</si>
  <si>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</si>
  <si>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</si>
  <si>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</si>
  <si>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</si>
  <si>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</si>
  <si>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</si>
  <si>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</si>
  <si>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</si>
  <si>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</si>
  <si>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</si>
  <si>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</si>
  <si>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</si>
  <si>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</si>
  <si>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</si>
  <si>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</si>
  <si>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</si>
  <si>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</si>
  <si>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</si>
  <si>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</si>
  <si>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</si>
  <si>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</si>
  <si>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</si>
  <si>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</si>
  <si>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</si>
  <si>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</si>
  <si>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</si>
  <si>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</si>
  <si>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</si>
  <si>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</si>
  <si>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</si>
  <si>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</si>
  <si>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</si>
  <si>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</si>
  <si>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</si>
  <si>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</si>
  <si>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</si>
  <si>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</si>
  <si>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</si>
  <si>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</si>
  <si>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</si>
  <si>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</si>
  <si>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</si>
  <si>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</si>
  <si>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</si>
  <si>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</si>
  <si>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</si>
  <si>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</si>
  <si>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</si>
  <si>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</si>
  <si>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</si>
  <si>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</si>
  <si>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</si>
  <si>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</si>
  <si>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</si>
  <si>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</si>
  <si>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</si>
  <si>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</si>
  <si>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</si>
  <si>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</si>
  <si>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</si>
  <si>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</si>
  <si>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</si>
  <si>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</si>
  <si>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</si>
  <si>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</si>
  <si>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</si>
  <si>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</si>
  <si>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</si>
  <si>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</si>
  <si>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</si>
  <si>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</si>
  <si>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</si>
  <si>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</si>
  <si>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</si>
  <si>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</si>
  <si>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</si>
  <si>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</si>
  <si>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</si>
  <si>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</si>
  <si>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</si>
  <si>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</si>
  <si>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</si>
  <si>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</si>
  <si>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</si>
  <si>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</si>
  <si>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</si>
  <si>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</si>
  <si>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</si>
  <si>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</si>
  <si>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</si>
  <si>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</si>
  <si>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</si>
  <si>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</si>
  <si>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</si>
  <si>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</si>
  <si>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</si>
  <si>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</si>
  <si>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</si>
  <si>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</si>
  <si>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</si>
  <si>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</si>
  <si>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</si>
  <si>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</si>
  <si>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</si>
  <si>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</si>
  <si>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</si>
  <si>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</si>
  <si>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</si>
  <si>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</si>
  <si>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</si>
  <si>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</si>
  <si>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</si>
  <si>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</si>
  <si>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</si>
  <si>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</si>
  <si>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</si>
  <si>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</si>
  <si>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</si>
  <si>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</si>
  <si>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</si>
  <si>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</si>
  <si>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</si>
  <si>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</si>
  <si>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</si>
  <si>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</si>
  <si>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</si>
  <si>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</si>
  <si>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</si>
  <si>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</si>
  <si>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</si>
  <si>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</si>
  <si>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</si>
  <si>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</si>
  <si>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</si>
  <si>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</si>
  <si>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</si>
  <si>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</si>
  <si>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</si>
  <si>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</si>
  <si>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</si>
  <si>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</si>
  <si>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</si>
  <si>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</si>
  <si>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</si>
  <si>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</si>
  <si>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</si>
  <si>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</si>
  <si>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</si>
  <si>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</si>
  <si>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</si>
  <si>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</si>
  <si>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</si>
  <si>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</si>
  <si>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</si>
  <si>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</si>
  <si>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</si>
  <si>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</si>
  <si>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</si>
  <si>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</si>
  <si>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</si>
  <si>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</si>
  <si>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</si>
  <si>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</si>
  <si>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</si>
  <si>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</si>
  <si>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</si>
  <si>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</si>
  <si>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</si>
  <si>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</si>
  <si>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</si>
  <si>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</si>
  <si>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</si>
  <si>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</si>
  <si>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</si>
  <si>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</si>
  <si>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</si>
  <si>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</si>
  <si>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</si>
  <si>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</si>
  <si>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</si>
  <si>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</si>
  <si>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</si>
  <si>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</si>
  <si>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</si>
  <si>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</si>
  <si>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</si>
  <si>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</si>
  <si>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</si>
  <si>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</si>
  <si>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</si>
  <si>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</si>
  <si>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</si>
  <si>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</si>
  <si>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</si>
  <si>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</si>
  <si>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</si>
  <si>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</si>
  <si>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</si>
  <si>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</si>
  <si>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</si>
  <si>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</si>
  <si>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</si>
  <si>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</si>
  <si>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</si>
  <si>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</si>
  <si>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</si>
  <si>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</si>
  <si>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</si>
  <si>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</si>
  <si>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</si>
  <si>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</si>
  <si>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</si>
  <si>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</si>
  <si>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</si>
  <si>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</si>
  <si>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</si>
  <si>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</si>
  <si>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</si>
  <si>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</si>
  <si>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</si>
  <si>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</si>
  <si>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</si>
  <si>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</si>
  <si>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</si>
  <si>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</si>
  <si>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</si>
  <si>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</si>
  <si>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</si>
  <si>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</si>
  <si>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</si>
  <si>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</si>
  <si>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</si>
  <si>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</si>
  <si>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</si>
  <si>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</si>
  <si>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</si>
  <si>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</si>
  <si>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</si>
  <si>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</si>
  <si>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</si>
  <si>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</si>
  <si>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</si>
  <si>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</si>
  <si>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</si>
  <si>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</si>
  <si>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</si>
  <si>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</si>
  <si>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</si>
  <si>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</si>
  <si>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</si>
  <si>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</si>
  <si>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</si>
  <si>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</si>
  <si>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</si>
  <si>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</si>
  <si>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</si>
  <si>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</si>
  <si>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</si>
  <si>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</si>
  <si>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</si>
  <si>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</si>
  <si>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</si>
  <si>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</si>
  <si>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</si>
  <si>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</si>
  <si>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</si>
  <si>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</si>
  <si>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</si>
  <si>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</si>
  <si>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</si>
  <si>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</si>
  <si>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</si>
  <si>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</si>
  <si>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</si>
  <si>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</si>
  <si>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</si>
  <si>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</si>
  <si>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</si>
  <si>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</si>
  <si>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</si>
  <si>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</si>
  <si>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</si>
  <si>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</si>
  <si>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</si>
  <si>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</si>
  <si>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</si>
  <si>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</si>
  <si>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</si>
  <si>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</si>
  <si>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</si>
  <si>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</si>
  <si>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</si>
  <si>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</si>
  <si>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</si>
  <si>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</si>
  <si>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</si>
  <si>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</si>
  <si>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</si>
  <si>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</si>
  <si>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</si>
  <si>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</si>
  <si>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</si>
  <si>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</si>
  <si>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</si>
  <si>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</si>
  <si>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</si>
  <si>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</si>
  <si>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</si>
  <si>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</si>
  <si>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</si>
  <si>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</si>
  <si>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</si>
  <si>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</si>
  <si>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</si>
  <si>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</si>
  <si>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</si>
  <si>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</si>
  <si>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</si>
  <si>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</si>
  <si>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</si>
  <si>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</si>
  <si>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</si>
  <si>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</si>
  <si>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</si>
  <si>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</si>
  <si>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</si>
  <si>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</si>
  <si>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</si>
  <si>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</si>
  <si>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</si>
  <si>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</si>
  <si>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</si>
  <si>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</si>
  <si>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</si>
  <si>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</si>
  <si>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</si>
  <si>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</si>
  <si>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</si>
  <si>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</si>
  <si>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</si>
  <si>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</si>
  <si>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</si>
  <si>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</si>
  <si>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</si>
  <si>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</si>
  <si>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</si>
  <si>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</si>
  <si>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</si>
  <si>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</si>
  <si>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</si>
  <si>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</si>
  <si>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</si>
  <si>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</si>
  <si>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</si>
  <si>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</si>
  <si>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</si>
  <si>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</si>
  <si>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</si>
  <si>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</si>
  <si>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</si>
  <si>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</si>
  <si>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</si>
  <si>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</si>
  <si>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</si>
  <si>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</si>
  <si>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</si>
  <si>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</si>
  <si>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</si>
  <si>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</si>
  <si>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</si>
  <si>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</si>
  <si>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</si>
  <si>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</si>
  <si>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</si>
  <si>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</si>
  <si>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</si>
  <si>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</si>
  <si>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</si>
  <si>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</si>
  <si>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</si>
  <si>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</si>
  <si>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</si>
  <si>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</si>
  <si>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</si>
  <si>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</si>
  <si>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</si>
  <si>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</si>
  <si>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</si>
  <si>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</si>
  <si>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</si>
  <si>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</si>
  <si>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</si>
  <si>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</si>
  <si>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</si>
  <si>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</si>
  <si>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</si>
  <si>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</si>
  <si>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</si>
  <si>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</si>
  <si>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</si>
  <si>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</si>
  <si>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</si>
  <si>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</si>
  <si>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</si>
  <si>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</si>
  <si>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</si>
  <si>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</si>
  <si>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</si>
  <si>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</si>
  <si>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</si>
  <si>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</si>
  <si>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</si>
  <si>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</si>
  <si>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</si>
  <si>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</si>
  <si>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</si>
  <si>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</si>
  <si>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</si>
  <si>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</si>
  <si>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</si>
  <si>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</si>
  <si>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</si>
  <si>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</si>
  <si>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</si>
  <si>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</si>
  <si>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</si>
  <si>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</si>
  <si>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</si>
  <si>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</si>
  <si>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</si>
  <si>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</si>
  <si>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</si>
  <si>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</si>
  <si>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</si>
  <si>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</si>
  <si>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</si>
  <si>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</si>
  <si>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</si>
  <si>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</si>
  <si>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</si>
  <si>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</si>
  <si>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</si>
  <si>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</si>
  <si>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</si>
  <si>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</si>
  <si>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</si>
  <si>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</si>
  <si>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</si>
  <si>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</si>
  <si>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</si>
  <si>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</si>
  <si>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</si>
  <si>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</si>
  <si>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</si>
  <si>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</si>
  <si>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</si>
  <si>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</si>
  <si>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</si>
  <si>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</si>
  <si>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</si>
  <si>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</si>
  <si>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</si>
  <si>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</si>
  <si>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</si>
  <si>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</si>
  <si>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</si>
  <si>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</si>
  <si>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</si>
  <si>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</si>
  <si>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</si>
  <si>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</si>
  <si>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</si>
  <si>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</si>
  <si>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</si>
  <si>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</si>
  <si>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</si>
  <si>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</si>
  <si>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</si>
  <si>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</si>
  <si>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</si>
  <si>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</si>
  <si>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</si>
  <si>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</si>
  <si>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</si>
  <si>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</si>
  <si>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</si>
  <si>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</si>
  <si>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</si>
  <si>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</si>
  <si>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</si>
  <si>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</si>
  <si>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</si>
  <si>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</si>
  <si>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</si>
  <si>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</si>
  <si>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</si>
  <si>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</si>
  <si>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</si>
  <si>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</si>
  <si>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</si>
  <si>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</si>
  <si>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</si>
  <si>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</si>
  <si>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</si>
  <si>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</si>
  <si>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</si>
  <si>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</si>
  <si>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</si>
  <si>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</si>
  <si>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</si>
  <si>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</si>
  <si>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</si>
  <si>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</si>
  <si>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</si>
  <si>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</si>
  <si>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</si>
  <si>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</si>
  <si>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</si>
  <si>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</si>
  <si>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</si>
  <si>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</si>
  <si>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</si>
  <si>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</si>
  <si>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</si>
  <si>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</si>
  <si>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</si>
  <si>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</si>
  <si>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</si>
  <si>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</si>
  <si>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</si>
  <si>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</si>
  <si>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</si>
  <si>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</si>
  <si>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</si>
  <si>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</si>
  <si>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</si>
  <si>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</si>
  <si>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</si>
  <si>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</si>
  <si>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</si>
  <si>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</si>
  <si>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</si>
  <si>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</si>
  <si>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</si>
  <si>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</si>
  <si>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</si>
  <si>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</si>
  <si>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</si>
  <si>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</si>
  <si>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</si>
  <si>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</si>
  <si>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</si>
  <si>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</si>
  <si>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</si>
  <si>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</si>
  <si>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</si>
  <si>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</si>
  <si>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</si>
  <si>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</si>
  <si>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</si>
  <si>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</si>
  <si>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</si>
  <si>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</si>
  <si>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</si>
  <si>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</si>
  <si>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</si>
  <si>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</si>
  <si>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</si>
  <si>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</si>
  <si>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</si>
  <si>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</si>
  <si>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</si>
  <si>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</si>
  <si>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</si>
  <si>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</si>
  <si>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</si>
  <si>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</si>
  <si>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</si>
  <si>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</si>
  <si>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</si>
  <si>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</si>
  <si>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</si>
  <si>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</si>
  <si>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</si>
  <si>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</si>
  <si>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</si>
  <si>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</si>
  <si>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</si>
  <si>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</si>
  <si>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</si>
  <si>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</si>
  <si>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</si>
  <si>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</si>
  <si>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</si>
  <si>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</si>
  <si>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</si>
  <si>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</si>
  <si>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</si>
  <si>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</si>
  <si>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</si>
  <si>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</si>
  <si>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</si>
  <si>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</si>
  <si>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</si>
  <si>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</si>
  <si>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</si>
  <si>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</si>
  <si>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</si>
  <si>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</si>
  <si>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</si>
  <si>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</si>
  <si>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</si>
  <si>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</si>
  <si>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</si>
  <si>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</si>
  <si>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</si>
  <si>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</si>
  <si>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</si>
  <si>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</si>
  <si>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</si>
  <si>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</si>
  <si>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</si>
  <si>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</si>
  <si>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</si>
  <si>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</si>
  <si>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</si>
  <si>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</si>
  <si>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</si>
  <si>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</si>
  <si>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</si>
  <si>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</si>
  <si>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</si>
  <si>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</si>
  <si>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</si>
  <si>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</si>
  <si>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</si>
  <si>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</si>
  <si>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</si>
  <si>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</si>
  <si>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</si>
  <si>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</si>
  <si>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</si>
  <si>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</si>
  <si>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</si>
  <si>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</si>
  <si>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</si>
  <si>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</si>
  <si>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</si>
  <si>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</si>
  <si>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</si>
  <si>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</si>
  <si>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</si>
  <si>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</si>
  <si>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</si>
  <si>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</si>
  <si>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</si>
  <si>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</si>
  <si>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</si>
  <si>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</si>
  <si>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</si>
  <si>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</si>
  <si>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</si>
  <si>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</si>
  <si>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</si>
  <si>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</si>
  <si>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</si>
  <si>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</si>
  <si>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</si>
  <si>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</si>
  <si>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</si>
  <si>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</si>
  <si>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</si>
  <si>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</si>
  <si>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</si>
  <si>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</si>
  <si>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</si>
  <si>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</si>
  <si>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</si>
  <si>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</si>
  <si>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</si>
  <si>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</si>
  <si>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</si>
  <si>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</si>
  <si>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</si>
  <si>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</si>
  <si>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</si>
  <si>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</si>
  <si>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</si>
  <si>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</si>
  <si>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</si>
  <si>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</si>
  <si>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</si>
  <si>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</si>
  <si>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</si>
  <si>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</si>
  <si>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</si>
  <si>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</si>
  <si>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</si>
  <si>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</si>
  <si>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</si>
  <si>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</si>
  <si>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</si>
  <si>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</si>
  <si>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</si>
  <si>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</si>
  <si>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</si>
  <si>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</si>
  <si>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</si>
  <si>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</si>
  <si>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</si>
  <si>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</si>
  <si>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</si>
  <si>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</si>
  <si>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</si>
  <si>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</si>
  <si>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</si>
  <si>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</si>
  <si>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</si>
  <si>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</si>
  <si>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</si>
  <si>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</si>
  <si>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</si>
  <si>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</si>
  <si>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</si>
  <si>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</si>
  <si>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</si>
  <si>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</si>
  <si>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</si>
  <si>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</si>
  <si>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</si>
  <si>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</si>
  <si>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</si>
  <si>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</si>
  <si>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</si>
  <si>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</si>
  <si>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</si>
  <si>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</si>
  <si>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</si>
  <si>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</si>
  <si>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</si>
  <si>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</si>
  <si>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</si>
  <si>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</si>
  <si>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</si>
  <si>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</si>
  <si>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</si>
  <si>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</si>
  <si>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</si>
  <si>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</si>
  <si>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</si>
  <si>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</si>
  <si>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</si>
  <si>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</si>
  <si>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</si>
  <si>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</si>
  <si>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</si>
  <si>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</si>
  <si>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</si>
  <si>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</si>
  <si>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</si>
  <si>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</si>
  <si>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</si>
  <si>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</si>
  <si>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</si>
  <si>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</si>
  <si>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</si>
  <si>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</si>
  <si>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</si>
  <si>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</si>
  <si>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</si>
  <si>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</si>
  <si>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</si>
  <si>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</si>
  <si>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</si>
  <si>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</si>
  <si>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</si>
  <si>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</si>
  <si>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</si>
  <si>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</si>
  <si>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</si>
  <si>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</si>
  <si>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</si>
  <si>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</si>
  <si>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</si>
  <si>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</si>
  <si>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</si>
  <si>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</si>
  <si>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</si>
  <si>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</si>
  <si>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</si>
  <si>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</si>
  <si>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</si>
  <si>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</si>
  <si>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</si>
  <si>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</si>
  <si>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</si>
  <si>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</si>
  <si>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</si>
  <si>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</si>
  <si>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</si>
  <si>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</si>
  <si>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</si>
  <si>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</si>
  <si>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</si>
  <si>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</si>
  <si>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</si>
  <si>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</si>
  <si>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</si>
  <si>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</si>
  <si>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</si>
  <si>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</si>
  <si>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</si>
  <si>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</si>
  <si>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</si>
  <si>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</si>
  <si>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</si>
  <si>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</si>
  <si>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</si>
  <si>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</si>
  <si>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</si>
  <si>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</si>
  <si>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</si>
  <si>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</si>
  <si>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</si>
  <si>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</si>
  <si>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</si>
  <si>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</si>
  <si>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</si>
  <si>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</si>
  <si>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</si>
  <si>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</si>
  <si>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</si>
  <si>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</si>
  <si>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</si>
  <si>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</si>
  <si>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</si>
  <si>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</si>
  <si>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</si>
  <si>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</si>
  <si>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</si>
  <si>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</si>
  <si>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</si>
  <si>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</si>
  <si>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</si>
  <si>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</si>
  <si>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</si>
  <si>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</si>
  <si>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</si>
  <si>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</si>
  <si>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</si>
  <si>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</si>
  <si>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</si>
  <si>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</si>
  <si>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</si>
  <si>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</si>
  <si>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</si>
  <si>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</si>
  <si>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</si>
  <si>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</si>
  <si>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</si>
  <si>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</si>
  <si>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</si>
  <si>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</si>
  <si>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</si>
  <si>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</si>
  <si>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</si>
  <si>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</si>
  <si>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</si>
  <si>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</si>
  <si>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</si>
  <si>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</si>
  <si>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</si>
  <si>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</si>
  <si>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</si>
  <si>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</si>
  <si>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</si>
  <si>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</si>
  <si>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</si>
  <si>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</si>
  <si>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</si>
  <si>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</si>
  <si>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</si>
  <si>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</si>
  <si>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</si>
  <si>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</si>
  <si>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</si>
  <si>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</si>
  <si>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</si>
  <si>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</si>
  <si>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</si>
  <si>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</si>
  <si>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</si>
  <si>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</si>
  <si>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</si>
  <si>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</si>
  <si>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</si>
  <si>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</si>
  <si>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</si>
  <si>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</si>
  <si>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</si>
  <si>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</si>
  <si>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</si>
  <si>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</si>
  <si>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</si>
  <si>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</si>
  <si>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</si>
  <si>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</si>
  <si>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</si>
  <si>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</si>
  <si>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</si>
  <si>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</si>
  <si>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</si>
  <si>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</si>
  <si>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</si>
  <si>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</si>
  <si>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</si>
  <si>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</si>
  <si>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</si>
  <si>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</si>
  <si>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</si>
  <si>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</si>
  <si>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</si>
  <si>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</si>
  <si>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</si>
  <si>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</si>
  <si>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</si>
  <si>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</si>
  <si>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</si>
  <si>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</si>
  <si>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</si>
  <si>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</si>
  <si>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</si>
  <si>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</si>
  <si>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</si>
  <si>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</si>
  <si>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</si>
  <si>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</si>
  <si>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</si>
  <si>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</si>
  <si>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</si>
  <si>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</si>
  <si>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</si>
  <si>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</si>
  <si>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</si>
  <si>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</si>
  <si>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</si>
  <si>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</si>
  <si>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</si>
  <si>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</si>
  <si>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</si>
  <si>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</si>
  <si>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</si>
  <si>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</si>
  <si>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</si>
  <si>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PEDRO MISAEL MESA CUBILLOS</t>
  </si>
  <si>
    <t>JOSE DAVID MORALES GONZALEZ</t>
  </si>
  <si>
    <t>BRAYAN ALEJANDRO SANCHEZ CAMARGO</t>
  </si>
  <si>
    <t>MERY JACKELINE SOGAMOSO SOGAMOSO</t>
  </si>
  <si>
    <t>HENRY ALBERTO MALAGON CHAVEZ</t>
  </si>
  <si>
    <t>DIEGO FERNANDO GALVIS CORREDOR</t>
  </si>
  <si>
    <t>DAVID GUILLERMO TRIANA RUIZ</t>
  </si>
  <si>
    <t>JUAN DIEGO GRANADOS PUERTO</t>
  </si>
  <si>
    <t>DUVAN HERNANDO CASTRO RODRIGUEZ</t>
  </si>
  <si>
    <t>ERIKA PAOLA TRIANA RUIZ</t>
  </si>
  <si>
    <t>OSCAR YESID BECERRA RODRIGUEZ</t>
  </si>
  <si>
    <t>YOLMAN GREGORIO PEDRAZA ALFONSO</t>
  </si>
  <si>
    <t>DAVID RICARDO CAMARGO HIGUERA</t>
  </si>
  <si>
    <t>GLADYS ADRIANA MARTINEZ RUIZ</t>
  </si>
  <si>
    <t>PEDRO PABLO CAMARGO HIGUERA</t>
  </si>
  <si>
    <t>LAURA LIZETH PEDRAZA AVELLA</t>
  </si>
  <si>
    <t>LUIS HERNANDO GUALTEROS GUALTEROS</t>
  </si>
  <si>
    <t>ALEJANDRO RIAÑO</t>
  </si>
  <si>
    <t>VICTOR MANUEL SALAMANCA SOPO</t>
  </si>
  <si>
    <t>LIBARDO RUIZ</t>
  </si>
  <si>
    <t>BLANCA INES ALFONSO ALFONSO</t>
  </si>
  <si>
    <t>MARIA ROSULA SILVA DE BECERRA</t>
  </si>
  <si>
    <t>MARIA DEL CARMEN LOPEZ DE HIGUERA</t>
  </si>
  <si>
    <t>MARGARITA CASTRO SIZA</t>
  </si>
  <si>
    <t>ANA RITA OCHOA DE CAMARGO</t>
  </si>
  <si>
    <t>LIGIA PARDO PATIÑO</t>
  </si>
  <si>
    <t>MARIA ANTONIA AVELLANEDA DE RODRIGUEZ</t>
  </si>
  <si>
    <t>FLOR ANGELA GUIO AVENDAÑO</t>
  </si>
  <si>
    <t>MARIBEL LOPEZ ACOSTA</t>
  </si>
  <si>
    <t>PRICELIA CORREAL AVILA</t>
  </si>
  <si>
    <t>FLOR NELLY ROSAS RAMIREZ</t>
  </si>
  <si>
    <t>JOSE ANIBAL CORREA</t>
  </si>
  <si>
    <t>PRECELIA RAMIREZ MORALES</t>
  </si>
  <si>
    <t>MARIA FLORALBA CORREDOR SANCHEZ</t>
  </si>
  <si>
    <t>SAUL DE JESUS DALLOS</t>
  </si>
  <si>
    <t>JORGE AUGUSTO SANDOVAL RODRIGUEZ</t>
  </si>
  <si>
    <t>SAUL HERRERA MOLANO</t>
  </si>
  <si>
    <t>FERNANDO GARZON</t>
  </si>
  <si>
    <t>JAIME PEDRAZA ALVARADO</t>
  </si>
  <si>
    <t>MOISES ALVARO MORENO SANDOVAL</t>
  </si>
  <si>
    <t>HECTOR MANUEL RODRIGUEZ PINZON</t>
  </si>
  <si>
    <t>FRANCISCO PATARROYO VELANDIA</t>
  </si>
  <si>
    <t>LUIS ANTONIO ROJAS GONZALEZ</t>
  </si>
  <si>
    <t>CAMILO ANDRES PINEDA REYES</t>
  </si>
  <si>
    <t>VICTOR MANUEL ZAMBRANO CAMARGO</t>
  </si>
  <si>
    <t>JOSE HECTOR MAYORGA GARCIA</t>
  </si>
  <si>
    <t>ALEXANDER OSTOS DIVANTOQUE</t>
  </si>
  <si>
    <t>YULY EULALIA MENDIVELSO</t>
  </si>
  <si>
    <t>ESCILDA PACHECO SANDOVAL</t>
  </si>
  <si>
    <t>SANDRA VIVIANA PACHECO DIAZ</t>
  </si>
  <si>
    <t>MARTHA LUCIA RODRIGUEZ VARGAS</t>
  </si>
  <si>
    <t>EMPERATRIZ PACANCHIQUE FLOREZ</t>
  </si>
  <si>
    <t>EULALIA BENAVIDES RAMIREZ</t>
  </si>
  <si>
    <t>GLORIA MILENA GRANADOS GUIO</t>
  </si>
  <si>
    <t>JEIMY RAQUEL MOLANO DIAZ</t>
  </si>
  <si>
    <t>KAREN LILIANA PUERTO RUIZ</t>
  </si>
  <si>
    <t>BLANCA CECILIA SALAMANCA OCHOA</t>
  </si>
  <si>
    <t>MARIA GILMA DIAZ CAICEDO</t>
  </si>
  <si>
    <t>NANCY ESPERANZA GARZON GARZON</t>
  </si>
  <si>
    <t>FELIPE ALDANA MORENO</t>
  </si>
  <si>
    <t>SEGUNDO LUIS ERNESTO GRANADOS</t>
  </si>
  <si>
    <t>WILLIAM HUMBERTO SANCHEZ RODRIGUEZ</t>
  </si>
  <si>
    <t>MISAEL CASTRO RODRIGUEZ</t>
  </si>
  <si>
    <t>MARCELINO PUERTO SUAREZ</t>
  </si>
  <si>
    <t>RAMIRO CIVEL MORENO TORRES</t>
  </si>
  <si>
    <t>REGINALDO RODRIGUEZ BECERRA</t>
  </si>
  <si>
    <t>HELADIO ROJAS DIAZ</t>
  </si>
  <si>
    <t>LUIS MIGUEL AVELLA BARON</t>
  </si>
  <si>
    <t>WILTON ALFONSO LARROTA ESTUPIÑAN</t>
  </si>
  <si>
    <t>GONZALO PITA VARGAS</t>
  </si>
  <si>
    <t>WILBER LAUREANO OJEDA PARDO</t>
  </si>
  <si>
    <t>ELIO ERNESTO VARGAS OCHOA</t>
  </si>
  <si>
    <t>ALIRIO MARTINEZ RODRIGUEZ</t>
  </si>
  <si>
    <t>AVELINO GIL BOSIGA</t>
  </si>
  <si>
    <t>RAUL ANTONIO RODRIGUEZ PAREDES</t>
  </si>
  <si>
    <t>OTONIEL CORONADO MATEUS</t>
  </si>
  <si>
    <t>LUIS CARLOS GUAUQUE LARROTA</t>
  </si>
  <si>
    <t>LUIS RAFAEL CONTRERAS MAYORGA</t>
  </si>
  <si>
    <t>JOSE ANTONIO HOSTOS FONSECA</t>
  </si>
  <si>
    <t>OCTAVIO BENITEZ LOPEZ</t>
  </si>
  <si>
    <t>CARLOS ALBERTO LOPEZ</t>
  </si>
  <si>
    <t>EDWARD ALBERTO MARTINEZ RUIZ</t>
  </si>
  <si>
    <t>JESUS ANTONIO RODRIGUEZ BOHORQUEZ</t>
  </si>
  <si>
    <t>JORGE ENRIQUE PATARROYO VELANDIA</t>
  </si>
  <si>
    <t>OMAR PATARROYO RUIZ</t>
  </si>
  <si>
    <t>JOSE REYNALDO HERRERA MOLANO</t>
  </si>
  <si>
    <t>PEDRO PABLO CAMARGO QUINTERO</t>
  </si>
  <si>
    <t>GREGORIO CIPAGAUTA SANA</t>
  </si>
  <si>
    <t>ORLANDO SANABRIA CASTRO</t>
  </si>
  <si>
    <t>JOSE MANUEL VARGAS RODRIGUEZ</t>
  </si>
  <si>
    <t>SAUL LADINO LADINO</t>
  </si>
  <si>
    <t>HECTOR MANUEL RODRIGUEZ VELANDIA</t>
  </si>
  <si>
    <t>MANUEL BARON RODRIGUEZ</t>
  </si>
  <si>
    <t>RICARDO OCHOA DIAZ</t>
  </si>
  <si>
    <t>JAVIER CORREDOR PULIDO</t>
  </si>
  <si>
    <t>JAIME ORLANDO MEJIA GOMEZ</t>
  </si>
  <si>
    <t>JAIRO SOSA TAMAYO</t>
  </si>
  <si>
    <t>MAURICIO GUZMAN ACOSTA</t>
  </si>
  <si>
    <t>LUIS ANGEL CORREDOR SANTOS</t>
  </si>
  <si>
    <t>LIBARDO ALFONSO RUIZ VALDERRAMA</t>
  </si>
  <si>
    <t>JUAN CARLOS OCHOA DIAZ</t>
  </si>
  <si>
    <t>LUIS GABRIEL BECERRA DIAZ</t>
  </si>
  <si>
    <t>BERNARDO PITA REY</t>
  </si>
  <si>
    <t>DIEGO ACOSTA ACOSTA</t>
  </si>
  <si>
    <t>WILSON BARON PLAZAS</t>
  </si>
  <si>
    <t>LEONCIO AVELLANEDA ARIAS</t>
  </si>
  <si>
    <t>JOSE DANILO CARO ALVARADO</t>
  </si>
  <si>
    <t>GERSON EDUARDO VARGAS</t>
  </si>
  <si>
    <t>YHON FREDY MARTINEZ SANA</t>
  </si>
  <si>
    <t>ORLANDO NIÑO RUIZ</t>
  </si>
  <si>
    <t>JUAN CARLOS GARZON SALAZAR</t>
  </si>
  <si>
    <t>FREDY ALFONSO RINCON VASQUEZ</t>
  </si>
  <si>
    <t>HENRY FONSECA CORREDOR</t>
  </si>
  <si>
    <t>FELIX ANTONIO TRIANA PEDRAZA</t>
  </si>
  <si>
    <t>CARLOS ALEJANDRO RODRIGUEZ VARGAS</t>
  </si>
  <si>
    <t>IVAN DARIO CAMACHO AVELLA</t>
  </si>
  <si>
    <t>ALVARO DUEÑEZ PACHECO</t>
  </si>
  <si>
    <t>WILMAN ADRIAN RODRIGUEZ ZAMBRANO</t>
  </si>
  <si>
    <t>NORBERTO CIPAGAUTA MESA</t>
  </si>
  <si>
    <t>JAIRO ALBERTO MEDRANO GOMEZ</t>
  </si>
  <si>
    <t>JOSE RICARDO CORONADO MATEUS</t>
  </si>
  <si>
    <t>FRANCISCO MESA ESPINEL</t>
  </si>
  <si>
    <t>HUGO DIAZ BENAVIDES</t>
  </si>
  <si>
    <t>JOHN FREDY CASTRO LOAIZA</t>
  </si>
  <si>
    <t>FREDY ALONSO DIAZ DURAN</t>
  </si>
  <si>
    <t>ENTIDAD PROMOTORA DE SALUD FAMISANAR SAS</t>
  </si>
  <si>
    <t>BANCO POPULAR</t>
  </si>
  <si>
    <t>COMPENSAR EPS - CAJA DE COMPENSACION</t>
  </si>
  <si>
    <t>SEGUROS GENERALES SURAMERICANA S.A.</t>
  </si>
  <si>
    <t>BANCOLOMBIA</t>
  </si>
  <si>
    <t>NUEVA EPS</t>
  </si>
  <si>
    <t>ASOCIACION DE ESTACIONES DEL SERVICIO DEL ORIENTE COLOMBIANO-ESOCOL COLOMBIA</t>
  </si>
  <si>
    <t>MEDIMAS EPS</t>
  </si>
  <si>
    <t>NIS-NEGOCIOS INVERSIONES Y SERVICIOS SAS</t>
  </si>
  <si>
    <t>SOCIEDAD CARBONERAS DE LOS ANDES S.A.S.</t>
  </si>
  <si>
    <t>pedromesasamsung@gmail.com</t>
  </si>
  <si>
    <t>david.moralesg175@gmail.com</t>
  </si>
  <si>
    <t>sanchezcamargob27@gmail.com</t>
  </si>
  <si>
    <t>facturacionelectronicatax@gmail.com</t>
  </si>
  <si>
    <t>triana-26@hotmail.com</t>
  </si>
  <si>
    <t>puertodiego234@gmail.com</t>
  </si>
  <si>
    <t>taxturistico@hotmail.com</t>
  </si>
  <si>
    <t>erika.triana2602@gmail.com</t>
  </si>
  <si>
    <t>yolmangp@outlook.com</t>
  </si>
  <si>
    <t>adriana-t.s01@hotmail.com</t>
  </si>
  <si>
    <t>wilquintero.cp@gmail.com</t>
  </si>
  <si>
    <t>vmsalamancas@gmail.com</t>
  </si>
  <si>
    <t>libardoruiz08@hotmail.com</t>
  </si>
  <si>
    <t>blancaalfonso599@gmail.com</t>
  </si>
  <si>
    <t>chuchogusman@hotmail.com</t>
  </si>
  <si>
    <t>ramirezprecelia@gmail.com</t>
  </si>
  <si>
    <t>sherreramolano@gmail.com</t>
  </si>
  <si>
    <t>fegarx@yahoo.es</t>
  </si>
  <si>
    <t>NA</t>
  </si>
  <si>
    <t>fpatarroyo@gmail.com</t>
  </si>
  <si>
    <t>luisrojasgonzalez1961@gmail.com</t>
  </si>
  <si>
    <t>victormanuelzambrano@hotmail.es</t>
  </si>
  <si>
    <t>sandrapaqueko14@gmail.com</t>
  </si>
  <si>
    <t>marthalrodriguez2004@yahoo.es</t>
  </si>
  <si>
    <t>emperitaflorez@hotmail.com</t>
  </si>
  <si>
    <t>milenagranadosguio@yahoo.es</t>
  </si>
  <si>
    <t>taxturistico@gmail.com</t>
  </si>
  <si>
    <t>josemarcelinopuerto@gmail.com</t>
  </si>
  <si>
    <t>reeventosyproducciones@hotmail.com</t>
  </si>
  <si>
    <t>284gonzalopita@gmail.com</t>
  </si>
  <si>
    <t>willauoje@hotmail.com</t>
  </si>
  <si>
    <t>vennesto525@gmail.com</t>
  </si>
  <si>
    <t>gila22059@gmail.com</t>
  </si>
  <si>
    <t>andresbenitez0315@gmail.com</t>
  </si>
  <si>
    <t>patarroyojorge40@gmail.com</t>
  </si>
  <si>
    <t>josereyhm68@gmail.com</t>
  </si>
  <si>
    <t>orsaca70@gmail.com</t>
  </si>
  <si>
    <t>natis19952009@hotmail.com</t>
  </si>
  <si>
    <t>ladinojuansebastian7@gmail.com</t>
  </si>
  <si>
    <t>santosrodriguezx@gmail.com</t>
  </si>
  <si>
    <t>ingeotecnia1@gmail.com</t>
  </si>
  <si>
    <t>jairososa3105@gmail.com</t>
  </si>
  <si>
    <t>cazaseguros@hotmail.com</t>
  </si>
  <si>
    <t>luisacorredors1974@gmail.com</t>
  </si>
  <si>
    <t>libardo714ruiz@gmail.com</t>
  </si>
  <si>
    <t>jucaro724@hotmail.com</t>
  </si>
  <si>
    <t>luisb8137@gmail.com</t>
  </si>
  <si>
    <t>bernardopitarey@gmail.com</t>
  </si>
  <si>
    <t>diegoacosta.19@hotmail.com</t>
  </si>
  <si>
    <t>majulana6@gmail.com</t>
  </si>
  <si>
    <t>leoncioavellanedaarias@gmail.com</t>
  </si>
  <si>
    <t>jhonfsana36@gmail.com</t>
  </si>
  <si>
    <t>juancgarzonsalazar78@gmail.com</t>
  </si>
  <si>
    <t>fredyrincon199@gmail.com</t>
  </si>
  <si>
    <t>caralejo12@hotmail.com</t>
  </si>
  <si>
    <t>camachoivan248@gmail.com</t>
  </si>
  <si>
    <t>alvarodu@hotmail.com</t>
  </si>
  <si>
    <t>cipagautamesanorberto@gmail.com</t>
  </si>
  <si>
    <t>jairoalbertomedrano48@gmail.com</t>
  </si>
  <si>
    <t>ricardocoronado2013@gmail.com</t>
  </si>
  <si>
    <t>franciscomesae@gmail.com</t>
  </si>
  <si>
    <t>hudibe2011@hotmail.com</t>
  </si>
  <si>
    <t>frecas6@hotmail.com</t>
  </si>
  <si>
    <t>contabilidad.taxturistico@gmail.com</t>
  </si>
  <si>
    <t/>
  </si>
  <si>
    <t>asociacionedsorientecolombiano@gmail.com</t>
  </si>
  <si>
    <t>gerencia.nis@gmail.com</t>
  </si>
  <si>
    <t>sociedadcarbonerasdelosandes@hotmail.com</t>
  </si>
  <si>
    <t>3229032964</t>
  </si>
  <si>
    <t>3227917734</t>
  </si>
  <si>
    <t>3508375163</t>
  </si>
  <si>
    <t>3132497378-7124973</t>
  </si>
  <si>
    <t>3232483240</t>
  </si>
  <si>
    <t>3115686003</t>
  </si>
  <si>
    <t>3155382694</t>
  </si>
  <si>
    <t>3106393807</t>
  </si>
  <si>
    <t>3115452328</t>
  </si>
  <si>
    <t>3204532931</t>
  </si>
  <si>
    <t>3107908583</t>
  </si>
  <si>
    <t>3102179207</t>
  </si>
  <si>
    <t>3115474572</t>
  </si>
  <si>
    <t>3213781338</t>
  </si>
  <si>
    <t>3132924782</t>
  </si>
  <si>
    <t>3115117717</t>
  </si>
  <si>
    <t>3115252404</t>
  </si>
  <si>
    <t>3152226161</t>
  </si>
  <si>
    <t>3142288254</t>
  </si>
  <si>
    <t>3123709794 - 3144407325</t>
  </si>
  <si>
    <t>3103136621</t>
  </si>
  <si>
    <t>3114786251</t>
  </si>
  <si>
    <t>3115055266</t>
  </si>
  <si>
    <t>7850410</t>
  </si>
  <si>
    <t>3125215652</t>
  </si>
  <si>
    <t>3112287938</t>
  </si>
  <si>
    <t>3218440764</t>
  </si>
  <si>
    <t>3133121782</t>
  </si>
  <si>
    <t>3202748199</t>
  </si>
  <si>
    <t>3125112255</t>
  </si>
  <si>
    <t>3115654956</t>
  </si>
  <si>
    <t>3143892635</t>
  </si>
  <si>
    <t>3112221498</t>
  </si>
  <si>
    <t>7852125</t>
  </si>
  <si>
    <t>3212915849</t>
  </si>
  <si>
    <t>3138239646</t>
  </si>
  <si>
    <t>3105505953</t>
  </si>
  <si>
    <t>3112466360</t>
  </si>
  <si>
    <t>3138935887</t>
  </si>
  <si>
    <t>7852617</t>
  </si>
  <si>
    <t>3115382053</t>
  </si>
  <si>
    <t>3133212637</t>
  </si>
  <si>
    <t>3103115686</t>
  </si>
  <si>
    <t>3142312777</t>
  </si>
  <si>
    <t>3123285047</t>
  </si>
  <si>
    <t>3112499537</t>
  </si>
  <si>
    <t>3115382038</t>
  </si>
  <si>
    <t>3104604181</t>
  </si>
  <si>
    <t>003203459992</t>
  </si>
  <si>
    <t>3123534311</t>
  </si>
  <si>
    <t>3152152320</t>
  </si>
  <si>
    <t>3202085566</t>
  </si>
  <si>
    <t>3136316007</t>
  </si>
  <si>
    <t>3105682796</t>
  </si>
  <si>
    <t>3125155677</t>
  </si>
  <si>
    <t>3133164756</t>
  </si>
  <si>
    <t>3118441114</t>
  </si>
  <si>
    <t>3134281626</t>
  </si>
  <si>
    <t>3125412870</t>
  </si>
  <si>
    <t>300 688 11 96</t>
  </si>
  <si>
    <t>3133311083</t>
  </si>
  <si>
    <t>3105534215</t>
  </si>
  <si>
    <t>3153695882</t>
  </si>
  <si>
    <t>3115701810</t>
  </si>
  <si>
    <t>3132893930</t>
  </si>
  <si>
    <t>3134151799</t>
  </si>
  <si>
    <t>3174852776</t>
  </si>
  <si>
    <t>3203460908</t>
  </si>
  <si>
    <t>3102959768</t>
  </si>
  <si>
    <t>3118149898</t>
  </si>
  <si>
    <t>3142948843</t>
  </si>
  <si>
    <t>3115524412</t>
  </si>
  <si>
    <t>3118175637</t>
  </si>
  <si>
    <t>3115690138</t>
  </si>
  <si>
    <t>3114825029 3102772976</t>
  </si>
  <si>
    <t>3125911662</t>
  </si>
  <si>
    <t>3125699333</t>
  </si>
  <si>
    <t>3164179127</t>
  </si>
  <si>
    <t>7853275</t>
  </si>
  <si>
    <t>3108822002</t>
  </si>
  <si>
    <t>3142600284</t>
  </si>
  <si>
    <t>3228547551</t>
  </si>
  <si>
    <t>7853578</t>
  </si>
  <si>
    <t>3123250733 - 3133806237</t>
  </si>
  <si>
    <t>3112084156</t>
  </si>
  <si>
    <t>3125446514</t>
  </si>
  <si>
    <t>3112303671</t>
  </si>
  <si>
    <t>3112354795</t>
  </si>
  <si>
    <t>3105728796</t>
  </si>
  <si>
    <t>3223094042</t>
  </si>
  <si>
    <t>3204939421</t>
  </si>
  <si>
    <t>7852298 3138284131</t>
  </si>
  <si>
    <t>3144432587</t>
  </si>
  <si>
    <t>3208541997</t>
  </si>
  <si>
    <t>3213785342</t>
  </si>
  <si>
    <t>3204379594</t>
  </si>
  <si>
    <t>3108123719</t>
  </si>
  <si>
    <t>3187479347</t>
  </si>
  <si>
    <t>3112377480</t>
  </si>
  <si>
    <t>3103344292</t>
  </si>
  <si>
    <t>3132302377</t>
  </si>
  <si>
    <t>3115658876</t>
  </si>
  <si>
    <t>3138914547 - 3118304020</t>
  </si>
  <si>
    <t>7852006</t>
  </si>
  <si>
    <t>3118627940</t>
  </si>
  <si>
    <t>3112445834</t>
  </si>
  <si>
    <t>3202746719</t>
  </si>
  <si>
    <t>111111111</t>
  </si>
  <si>
    <t>3144458968</t>
  </si>
  <si>
    <t>3103048771</t>
  </si>
  <si>
    <t>3166284319</t>
  </si>
  <si>
    <t>3134525809 - 3108029336</t>
  </si>
  <si>
    <t>3132441168</t>
  </si>
  <si>
    <t>3118620240</t>
  </si>
  <si>
    <t>3202058611</t>
  </si>
  <si>
    <t>3108514668</t>
  </si>
  <si>
    <t>3203374333 - 3133162241</t>
  </si>
  <si>
    <t>3212626710</t>
  </si>
  <si>
    <t>3105679357</t>
  </si>
  <si>
    <t>3212079792</t>
  </si>
  <si>
    <t>3175104391</t>
  </si>
  <si>
    <t>6500200</t>
  </si>
  <si>
    <t>018000934444</t>
  </si>
  <si>
    <t>7852470 7852494</t>
  </si>
  <si>
    <t xml:space="preserve"> 651 0777</t>
  </si>
  <si>
    <t>3134467869</t>
  </si>
  <si>
    <t>3204244210</t>
  </si>
  <si>
    <t>ESTACION MANZANA K CASA1</t>
  </si>
  <si>
    <t>CL 47A 3 54</t>
  </si>
  <si>
    <t>CRA 15B 19A 01</t>
  </si>
  <si>
    <t>CRA 3A # 22-21</t>
  </si>
  <si>
    <t>CALLE 28 N 19A 47</t>
  </si>
  <si>
    <t>CLL 21 24 49</t>
  </si>
  <si>
    <t>CARRERA 19 N. 40 -25</t>
  </si>
  <si>
    <t>MANZANA C CASA 32 B. ESTACION</t>
  </si>
  <si>
    <t>VEREDA QUEBRADAHONDA</t>
  </si>
  <si>
    <t>CR 19 40 25</t>
  </si>
  <si>
    <t>CRA 19 N. 19-21 BARRIO SAN MIGUEL</t>
  </si>
  <si>
    <t>CL 30 29 63</t>
  </si>
  <si>
    <t>AV LIBERTADORES 33 - 71</t>
  </si>
  <si>
    <t>CLL 30 B 12C 36</t>
  </si>
  <si>
    <t>AV LIBERTADORES 33 -71</t>
  </si>
  <si>
    <t>CALLE 28 N. 25A-15</t>
  </si>
  <si>
    <t>VEREDA TOIBITA</t>
  </si>
  <si>
    <t>CRA 19 27 97</t>
  </si>
  <si>
    <t>CARRERA 21B # 23 - 29</t>
  </si>
  <si>
    <t>CRA 16B N. 15-19</t>
  </si>
  <si>
    <t>VEREDA RIO ARRIBA PAIPA</t>
  </si>
  <si>
    <t>KRA. 26 NO. 27A 42</t>
  </si>
  <si>
    <t>CRA 24 N. 13-01</t>
  </si>
  <si>
    <t>TRANSVERSAL 24 NO. 29 -05</t>
  </si>
  <si>
    <t>BARRIO VIANNEY</t>
  </si>
  <si>
    <t>VRDA SALITRE</t>
  </si>
  <si>
    <t>VRDA CRUZ DE BONZA</t>
  </si>
  <si>
    <t>CALLE 29 A N. 14-78 CIUDADELA EL BOSQUE</t>
  </si>
  <si>
    <t>CLL 27 N. 42 - 22</t>
  </si>
  <si>
    <t>CLL 29 29 84 B PABLO SOLANO</t>
  </si>
  <si>
    <t>KRA 24 NO. 29B -10</t>
  </si>
  <si>
    <t>CRA 28A N. 23-04</t>
  </si>
  <si>
    <t>CALLE 19 N.22-39</t>
  </si>
  <si>
    <t>KRA 23 NO. 17A-80</t>
  </si>
  <si>
    <t>URBANIZACION LOS LANCEROS</t>
  </si>
  <si>
    <t>CALLE 25 N.17-68</t>
  </si>
  <si>
    <t>CLL 30 B N. 12C 03 VERSALLES</t>
  </si>
  <si>
    <t>BARRIO VILLA VIANNEY</t>
  </si>
  <si>
    <t>CARRERA21A NO. 27-45</t>
  </si>
  <si>
    <t>BARRIO CARTAGENA</t>
  </si>
  <si>
    <t>AV. LIBERTADORES 31 -21</t>
  </si>
  <si>
    <t>CALLE 24 N. 20-40
CALLE 23 N. 20-62</t>
  </si>
  <si>
    <t>BARRIO FATIMA</t>
  </si>
  <si>
    <t>VEREDA CAÑOS</t>
  </si>
  <si>
    <t>CALLE 18 NO. 27-34</t>
  </si>
  <si>
    <t>CLL 7 N. 5 08 CENTRO</t>
  </si>
  <si>
    <t>CALLE 14 NO. 18-08</t>
  </si>
  <si>
    <t>CALL 23 17A 74 B LAS QUINTAS</t>
  </si>
  <si>
    <t>CRA 24 20A 41</t>
  </si>
  <si>
    <t>CL 30B 12 33</t>
  </si>
  <si>
    <t>CALLE 28 13A 39 BALCONES DEL BOSQUE</t>
  </si>
  <si>
    <t>CALLE 33 N. 14-75</t>
  </si>
  <si>
    <t>CRA 17B #19A-27</t>
  </si>
  <si>
    <t>CALLE 18 N. 15-52</t>
  </si>
  <si>
    <t>MZ Z CASA 8 B BALCONES DE SAN LUIS</t>
  </si>
  <si>
    <t>KRA. 23 NO. 10D-05</t>
  </si>
  <si>
    <t>CLL. 27 NO. 24-61</t>
  </si>
  <si>
    <t>KRA 17A N. 17-21</t>
  </si>
  <si>
    <t>CLL. 30A NO. 11-03</t>
  </si>
  <si>
    <t>CALLE 27A N. 15-42</t>
  </si>
  <si>
    <t>CALLE 27 A 15 -08 EL BOSQUE</t>
  </si>
  <si>
    <t>DIAG 21 22 185 B LOS LANCEROS</t>
  </si>
  <si>
    <t>CALLE 16 N. 21-58 BARRIO SAN MIGUEL</t>
  </si>
  <si>
    <t>KRA. 22A NO. 21-36</t>
  </si>
  <si>
    <t>DIAG 21 N. 22-197</t>
  </si>
  <si>
    <t>CALLE 30 N.15-01 BARRIO BOSQUE</t>
  </si>
  <si>
    <t>CALLE 21 N. 23 28 SAN MIGUEL</t>
  </si>
  <si>
    <t>VRA TOIBITA</t>
  </si>
  <si>
    <t>DIAG 3 N, 83-02</t>
  </si>
  <si>
    <t>CRA 25 29 23</t>
  </si>
  <si>
    <t>CLL 26  17 48</t>
  </si>
  <si>
    <t>VEREDA LA ESPERANZA</t>
  </si>
  <si>
    <t>CALLE 24 N.23-28</t>
  </si>
  <si>
    <t>CRA 22A N. 24- 55 BARRIO LOS ROSALES</t>
  </si>
  <si>
    <t>KRA. 16 NO. 26-16</t>
  </si>
  <si>
    <t>CENTRO</t>
  </si>
  <si>
    <t>SECTOR LOS LAGOS</t>
  </si>
  <si>
    <t>CALLE 30 N. 14-38 BARRIO BOSQUE</t>
  </si>
  <si>
    <t>VEREDA EL ROSAL KM 2 VIA PALERMO</t>
  </si>
  <si>
    <t>CALLE 27B N. 15-43</t>
  </si>
  <si>
    <t>URBANIZACION EL BOSQUE</t>
  </si>
  <si>
    <t>CRA 24 N. 10 CASA 87 VIA LA PRADERA</t>
  </si>
  <si>
    <t>TRANSVERSAL 6 N. 6-199</t>
  </si>
  <si>
    <t>AV LOS LIBERTADORES 34 - 11</t>
  </si>
  <si>
    <t>DIAGONAL 39 # 40 - 50</t>
  </si>
  <si>
    <t>AVENIDA LIBERTADORES 33 71</t>
  </si>
  <si>
    <t>CRA 24D N. 11-159</t>
  </si>
  <si>
    <t>CRA 22 N. 19-82</t>
  </si>
  <si>
    <t>CRA 17 A 17 21</t>
  </si>
  <si>
    <t>CL 11 10 21</t>
  </si>
  <si>
    <t>CALLE 25 N. 24A-18</t>
  </si>
  <si>
    <t>BELENCITO</t>
  </si>
  <si>
    <t>CALLE 22 N. 23-25</t>
  </si>
  <si>
    <t>CRA 21 17 15</t>
  </si>
  <si>
    <t>CALLE 22 B 22 35 PISO</t>
  </si>
  <si>
    <t>Calle 31 # 15 - 23</t>
  </si>
  <si>
    <t>CARRERA 22A N. 14-19</t>
  </si>
  <si>
    <t>VEREDA ROMITA FINCA LA ESPERANZA</t>
  </si>
  <si>
    <t>CALLE 27 NO. 19A 12</t>
  </si>
  <si>
    <t>CR 23 18 24</t>
  </si>
  <si>
    <t>CALLE 19B N.22-52</t>
  </si>
  <si>
    <t>KRA 24D N. 11-159</t>
  </si>
  <si>
    <t>CLL 30 14 76</t>
  </si>
  <si>
    <t>KM 1 VIA PALERMO VDA EL ROSAL</t>
  </si>
  <si>
    <t>CARRERA 16A N. 27-49</t>
  </si>
  <si>
    <t>CALLE 28 a N. 19a-61</t>
  </si>
  <si>
    <t>CALLE 26 A No. 24 39</t>
  </si>
  <si>
    <t>CALLE 24 N. 29-29</t>
  </si>
  <si>
    <t>CLL 25 23 57</t>
  </si>
  <si>
    <t>No informada</t>
  </si>
  <si>
    <t>KRA 16 26C 18</t>
  </si>
  <si>
    <t>VEREDA BONZA</t>
  </si>
  <si>
    <t>CRA 19 39 48B</t>
  </si>
  <si>
    <t>CALLE 27 # 22 - 42</t>
  </si>
  <si>
    <t>CL 24 # 20 22</t>
  </si>
  <si>
    <t>VILLA ROSA ELENA</t>
  </si>
  <si>
    <t>VILLA DEL PRADO CASA N. 5</t>
  </si>
  <si>
    <t>CALLE 17 # 15 - 25 URB. LA COLINA</t>
  </si>
  <si>
    <t>CRA 17C N. 20-02</t>
  </si>
  <si>
    <t>CL 21  22A 17</t>
  </si>
  <si>
    <t>CRA 16 26B 40</t>
  </si>
  <si>
    <t>CALLE 23 20 74</t>
  </si>
  <si>
    <t>Cra 19 No 34-12</t>
  </si>
  <si>
    <t>CARRERA 13A N. 77A-63</t>
  </si>
  <si>
    <t>CL 25 N. 20-58</t>
  </si>
  <si>
    <t>KRA 45 NO. 6-50</t>
  </si>
  <si>
    <t>CALLE 25 N. 22-78</t>
  </si>
  <si>
    <t>Carrera 52 # 67 A – 71</t>
  </si>
  <si>
    <t>AV NORTE 47A 40 OF 137</t>
  </si>
  <si>
    <t>Avenida Carrera 45 # 106 30.</t>
  </si>
  <si>
    <t>CR 19 34A-73</t>
  </si>
  <si>
    <t>CR 57B 128B 63</t>
  </si>
  <si>
    <t>CUANTIAS MENORES</t>
  </si>
  <si>
    <t>TAXTURISTICO  PAIPA S.A.</t>
  </si>
  <si>
    <t xml:space="preserve">AGOSTO 29 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</si>
</sst>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0" fontId="3" fillId="0" borderId="9" xfId="2" applyNumberFormat="1" applyFont="1" applyFill="1" applyBorder="1" applyAlignment="1" applyProtection="1">
      <alignment wrapText="1"/>
      <protection locked="0"/>
    </xf>
    <xf numFmtId="0" fontId="3" fillId="0" borderId="9" xfId="2" applyFont="1" applyFill="1" applyBorder="1" applyAlignment="1" applyProtection="1">
      <alignment wrapText="1"/>
      <protection locked="0"/>
    </xf>
    <xf numFmtId="0" fontId="3" fillId="0" borderId="9" xfId="2" applyFont="1" applyFill="1" applyBorder="1" applyAlignment="1" applyProtection="1">
      <alignment horizontal="right" wrapText="1"/>
      <protection locked="0"/>
    </xf>
    <xf numFmtId="0" fontId="3" fillId="0" borderId="9" xfId="2" applyFont="1" applyFill="1" applyBorder="1" applyAlignment="1" applyProtection="1">
      <alignment horizontal="center" wrapText="1"/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1" applyNumberFormat="1" applyFont="1" applyProtection="1">
      <protection locked="0"/>
    </xf>
    <xf numFmtId="164" fontId="0" fillId="0" borderId="0" xfId="1" applyNumberFormat="1" applyFont="1" applyFill="1" applyProtection="1">
      <protection locked="0"/>
    </xf>
    <xf numFmtId="164" fontId="0" fillId="2" borderId="0" xfId="1" applyNumberFormat="1" applyFont="1" applyFill="1" applyProtection="1">
      <protection locked="0"/>
    </xf>
    <xf numFmtId="164" fontId="0" fillId="2" borderId="0" xfId="1" applyNumberFormat="1" applyFont="1" applyFill="1" applyAlignment="1" applyProtection="1">
      <alignment horizontal="center"/>
      <protection locked="0"/>
    </xf>
    <xf numFmtId="164" fontId="1" fillId="4" borderId="8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3">
    <cellStyle name="Millares" xfId="1" builtinId="3"/>
    <cellStyle name="Normal" xfId="0" builtinId="0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zma/OneDrive/Documentos/A&#209;O%202025/TAXTURISTICO%20PAIPA/EXOGENA%20PAIPA%202025%20TAX/CTA%204%20INDUSTRIA%20Y%20COMERCIO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6"/>
      <sheetName val="RESUMEN"/>
      <sheetName val="Hoja2"/>
      <sheetName val="INGRESOS CODIFICADOS  (2)"/>
      <sheetName val="CUANTIAS 222222"/>
      <sheetName val="TERCEROS BCE"/>
      <sheetName val="INGRESOS CODIFICADOS "/>
      <sheetName val="ExportarExcelBPMetodo2 (2)"/>
      <sheetName val="ExportarExcelBPMetodo2"/>
    </sheetNames>
    <sheetDataSet>
      <sheetData sheetId="0"/>
      <sheetData sheetId="1">
        <row r="3">
          <cell r="E3" t="str">
            <v>Etiquetas de fila</v>
          </cell>
          <cell r="F3" t="str">
            <v>Suma de SALDO FINAL</v>
          </cell>
          <cell r="G3" t="str">
            <v>Suma de AUTOICA</v>
          </cell>
        </row>
        <row r="4">
          <cell r="E4">
            <v>1114335</v>
          </cell>
          <cell r="F4">
            <v>1100840.3799999999</v>
          </cell>
          <cell r="G4">
            <v>7705.8826599999993</v>
          </cell>
          <cell r="H4">
            <v>334</v>
          </cell>
        </row>
        <row r="5">
          <cell r="E5">
            <v>3032035</v>
          </cell>
          <cell r="F5">
            <v>2510000</v>
          </cell>
          <cell r="G5">
            <v>17567</v>
          </cell>
          <cell r="H5">
            <v>301</v>
          </cell>
        </row>
        <row r="6">
          <cell r="E6">
            <v>4079315</v>
          </cell>
          <cell r="F6">
            <v>2244000</v>
          </cell>
          <cell r="G6">
            <v>15708</v>
          </cell>
          <cell r="H6">
            <v>301</v>
          </cell>
        </row>
        <row r="7">
          <cell r="E7">
            <v>4190922</v>
          </cell>
          <cell r="F7">
            <v>4585200</v>
          </cell>
          <cell r="G7">
            <v>32096.400000000001</v>
          </cell>
          <cell r="H7">
            <v>301</v>
          </cell>
        </row>
        <row r="8">
          <cell r="E8">
            <v>4190924</v>
          </cell>
          <cell r="F8">
            <v>4585200</v>
          </cell>
          <cell r="G8">
            <v>32096.400000000001</v>
          </cell>
          <cell r="H8">
            <v>301</v>
          </cell>
        </row>
        <row r="9">
          <cell r="E9">
            <v>4191255</v>
          </cell>
          <cell r="F9">
            <v>5424000</v>
          </cell>
          <cell r="G9">
            <v>38358</v>
          </cell>
          <cell r="H9">
            <v>301</v>
          </cell>
        </row>
        <row r="10">
          <cell r="E10">
            <v>4191332</v>
          </cell>
          <cell r="F10">
            <v>2448000</v>
          </cell>
          <cell r="G10">
            <v>17136</v>
          </cell>
          <cell r="H10">
            <v>301</v>
          </cell>
        </row>
        <row r="11">
          <cell r="E11">
            <v>4191481</v>
          </cell>
          <cell r="F11">
            <v>4815200</v>
          </cell>
          <cell r="G11">
            <v>34396.400000000001</v>
          </cell>
          <cell r="H11">
            <v>301</v>
          </cell>
        </row>
        <row r="12">
          <cell r="E12">
            <v>4191488</v>
          </cell>
          <cell r="F12">
            <v>919000</v>
          </cell>
          <cell r="G12">
            <v>6628</v>
          </cell>
          <cell r="H12">
            <v>301</v>
          </cell>
        </row>
        <row r="13">
          <cell r="E13">
            <v>4191527</v>
          </cell>
          <cell r="F13">
            <v>3145268.9</v>
          </cell>
          <cell r="G13">
            <v>22091.882300000001</v>
          </cell>
          <cell r="H13">
            <v>301</v>
          </cell>
        </row>
        <row r="14">
          <cell r="E14">
            <v>4191581</v>
          </cell>
          <cell r="F14">
            <v>2299000</v>
          </cell>
          <cell r="G14">
            <v>16258</v>
          </cell>
          <cell r="H14">
            <v>301</v>
          </cell>
        </row>
        <row r="15">
          <cell r="E15">
            <v>4191799</v>
          </cell>
          <cell r="F15">
            <v>65000</v>
          </cell>
          <cell r="G15">
            <v>650</v>
          </cell>
          <cell r="H15">
            <v>334</v>
          </cell>
        </row>
        <row r="16">
          <cell r="E16">
            <v>4192120</v>
          </cell>
          <cell r="F16">
            <v>2578000</v>
          </cell>
          <cell r="G16">
            <v>18436</v>
          </cell>
          <cell r="H16">
            <v>301</v>
          </cell>
        </row>
        <row r="17">
          <cell r="E17">
            <v>4192447</v>
          </cell>
          <cell r="F17">
            <v>4844000</v>
          </cell>
          <cell r="G17">
            <v>33908</v>
          </cell>
          <cell r="H17">
            <v>301</v>
          </cell>
        </row>
        <row r="18">
          <cell r="E18">
            <v>4265176</v>
          </cell>
          <cell r="F18">
            <v>2448000</v>
          </cell>
          <cell r="G18">
            <v>17136</v>
          </cell>
          <cell r="H18">
            <v>301</v>
          </cell>
        </row>
        <row r="19">
          <cell r="E19">
            <v>4265766</v>
          </cell>
          <cell r="F19">
            <v>2513000</v>
          </cell>
          <cell r="G19">
            <v>17786</v>
          </cell>
          <cell r="H19">
            <v>301</v>
          </cell>
        </row>
        <row r="20">
          <cell r="E20">
            <v>6749255</v>
          </cell>
          <cell r="F20">
            <v>1271500</v>
          </cell>
          <cell r="G20">
            <v>8805.5</v>
          </cell>
          <cell r="H20">
            <v>301</v>
          </cell>
        </row>
        <row r="21">
          <cell r="E21">
            <v>6761674</v>
          </cell>
          <cell r="F21">
            <v>50000</v>
          </cell>
          <cell r="G21">
            <v>500</v>
          </cell>
          <cell r="H21">
            <v>334</v>
          </cell>
        </row>
        <row r="22">
          <cell r="E22">
            <v>6773008</v>
          </cell>
          <cell r="F22">
            <v>3116000</v>
          </cell>
          <cell r="G22">
            <v>22592</v>
          </cell>
          <cell r="H22">
            <v>301</v>
          </cell>
        </row>
        <row r="23">
          <cell r="E23">
            <v>7183186</v>
          </cell>
          <cell r="F23">
            <v>1836000</v>
          </cell>
          <cell r="G23">
            <v>12852</v>
          </cell>
          <cell r="H23">
            <v>301</v>
          </cell>
        </row>
        <row r="24">
          <cell r="E24">
            <v>7210076</v>
          </cell>
          <cell r="F24">
            <v>2513000</v>
          </cell>
          <cell r="G24">
            <v>17786</v>
          </cell>
          <cell r="H24">
            <v>301</v>
          </cell>
        </row>
        <row r="25">
          <cell r="E25">
            <v>7211039</v>
          </cell>
          <cell r="F25">
            <v>5327248</v>
          </cell>
          <cell r="G25">
            <v>38128.239999999998</v>
          </cell>
          <cell r="H25">
            <v>301</v>
          </cell>
        </row>
        <row r="26">
          <cell r="E26">
            <v>7215825</v>
          </cell>
          <cell r="F26">
            <v>816000</v>
          </cell>
          <cell r="G26">
            <v>5712</v>
          </cell>
          <cell r="H26">
            <v>301</v>
          </cell>
        </row>
        <row r="27">
          <cell r="E27">
            <v>7216316</v>
          </cell>
          <cell r="F27">
            <v>4353517</v>
          </cell>
          <cell r="G27">
            <v>30768.785</v>
          </cell>
          <cell r="H27">
            <v>301</v>
          </cell>
        </row>
        <row r="28">
          <cell r="E28">
            <v>7218176</v>
          </cell>
          <cell r="F28">
            <v>2538000</v>
          </cell>
          <cell r="G28">
            <v>18036</v>
          </cell>
          <cell r="H28">
            <v>301</v>
          </cell>
        </row>
        <row r="29">
          <cell r="E29">
            <v>19163431</v>
          </cell>
          <cell r="F29">
            <v>3737000</v>
          </cell>
          <cell r="G29">
            <v>26354</v>
          </cell>
          <cell r="H29">
            <v>301</v>
          </cell>
        </row>
        <row r="30">
          <cell r="E30">
            <v>19276514</v>
          </cell>
          <cell r="F30">
            <v>2745000</v>
          </cell>
          <cell r="G30">
            <v>19560</v>
          </cell>
          <cell r="H30">
            <v>301</v>
          </cell>
        </row>
        <row r="31">
          <cell r="E31">
            <v>19493555</v>
          </cell>
          <cell r="F31">
            <v>4585200</v>
          </cell>
          <cell r="G31">
            <v>32096.400000000001</v>
          </cell>
          <cell r="H31">
            <v>301</v>
          </cell>
        </row>
        <row r="32">
          <cell r="E32">
            <v>20384852</v>
          </cell>
          <cell r="F32">
            <v>50000</v>
          </cell>
          <cell r="G32">
            <v>500</v>
          </cell>
          <cell r="H32">
            <v>334</v>
          </cell>
        </row>
        <row r="33">
          <cell r="E33">
            <v>23326905</v>
          </cell>
          <cell r="F33">
            <v>1224000</v>
          </cell>
          <cell r="G33">
            <v>8568</v>
          </cell>
          <cell r="H33">
            <v>301</v>
          </cell>
        </row>
        <row r="34">
          <cell r="E34">
            <v>23546759</v>
          </cell>
          <cell r="F34">
            <v>1214000</v>
          </cell>
          <cell r="G34">
            <v>8498</v>
          </cell>
          <cell r="H34">
            <v>301</v>
          </cell>
        </row>
        <row r="35">
          <cell r="E35">
            <v>23852746</v>
          </cell>
          <cell r="F35">
            <v>4585200</v>
          </cell>
          <cell r="G35">
            <v>32096.400000000001</v>
          </cell>
          <cell r="H35">
            <v>301</v>
          </cell>
        </row>
        <row r="36">
          <cell r="E36">
            <v>23853858</v>
          </cell>
          <cell r="F36">
            <v>4585200</v>
          </cell>
          <cell r="G36">
            <v>32096.400000000001</v>
          </cell>
          <cell r="H36">
            <v>301</v>
          </cell>
        </row>
        <row r="37">
          <cell r="E37">
            <v>23854303</v>
          </cell>
          <cell r="F37">
            <v>2448000</v>
          </cell>
          <cell r="G37">
            <v>17136</v>
          </cell>
          <cell r="H37">
            <v>301</v>
          </cell>
        </row>
        <row r="38">
          <cell r="E38">
            <v>23854690</v>
          </cell>
          <cell r="F38">
            <v>2710500</v>
          </cell>
          <cell r="G38">
            <v>19573.5</v>
          </cell>
          <cell r="H38">
            <v>301</v>
          </cell>
        </row>
        <row r="39">
          <cell r="E39">
            <v>23854875</v>
          </cell>
          <cell r="F39">
            <v>2448000</v>
          </cell>
          <cell r="G39">
            <v>17136</v>
          </cell>
          <cell r="H39">
            <v>301</v>
          </cell>
        </row>
        <row r="40">
          <cell r="E40">
            <v>23855562</v>
          </cell>
          <cell r="F40">
            <v>2628000</v>
          </cell>
          <cell r="G40">
            <v>18936</v>
          </cell>
          <cell r="H40">
            <v>301</v>
          </cell>
        </row>
        <row r="41">
          <cell r="E41">
            <v>23855676</v>
          </cell>
          <cell r="F41">
            <v>2040000</v>
          </cell>
          <cell r="G41">
            <v>14280</v>
          </cell>
          <cell r="H41">
            <v>301</v>
          </cell>
        </row>
        <row r="42">
          <cell r="E42">
            <v>23855826</v>
          </cell>
          <cell r="F42">
            <v>4650200</v>
          </cell>
          <cell r="G42">
            <v>32746.400000000001</v>
          </cell>
          <cell r="H42">
            <v>301</v>
          </cell>
        </row>
        <row r="43">
          <cell r="E43">
            <v>23857079</v>
          </cell>
          <cell r="F43">
            <v>1676000</v>
          </cell>
          <cell r="G43">
            <v>11864</v>
          </cell>
          <cell r="H43">
            <v>301</v>
          </cell>
        </row>
        <row r="44">
          <cell r="E44">
            <v>33446477</v>
          </cell>
          <cell r="F44">
            <v>1058000</v>
          </cell>
          <cell r="G44">
            <v>7406</v>
          </cell>
          <cell r="H44">
            <v>301</v>
          </cell>
        </row>
        <row r="45">
          <cell r="E45">
            <v>39521091</v>
          </cell>
          <cell r="F45">
            <v>4896000</v>
          </cell>
          <cell r="G45">
            <v>34272</v>
          </cell>
          <cell r="H45">
            <v>301</v>
          </cell>
        </row>
        <row r="46">
          <cell r="E46">
            <v>46368316</v>
          </cell>
          <cell r="F46">
            <v>4719200</v>
          </cell>
          <cell r="G46">
            <v>33436.400000000001</v>
          </cell>
          <cell r="H46">
            <v>301</v>
          </cell>
        </row>
        <row r="47">
          <cell r="E47">
            <v>46680623</v>
          </cell>
          <cell r="F47">
            <v>1473000</v>
          </cell>
          <cell r="G47">
            <v>10221</v>
          </cell>
          <cell r="H47">
            <v>301</v>
          </cell>
        </row>
        <row r="48">
          <cell r="E48">
            <v>46680961</v>
          </cell>
          <cell r="F48">
            <v>1327000</v>
          </cell>
          <cell r="G48">
            <v>9484</v>
          </cell>
          <cell r="H48">
            <v>301</v>
          </cell>
        </row>
        <row r="49">
          <cell r="E49">
            <v>46681060</v>
          </cell>
          <cell r="F49">
            <v>3804300</v>
          </cell>
          <cell r="G49">
            <v>27410.1</v>
          </cell>
          <cell r="H49">
            <v>301</v>
          </cell>
        </row>
        <row r="50">
          <cell r="E50">
            <v>46681169</v>
          </cell>
          <cell r="F50">
            <v>4123988.68</v>
          </cell>
          <cell r="G50">
            <v>41239.8868</v>
          </cell>
          <cell r="H50">
            <v>334</v>
          </cell>
        </row>
        <row r="51">
          <cell r="E51">
            <v>46682722</v>
          </cell>
          <cell r="F51">
            <v>4232000</v>
          </cell>
          <cell r="G51">
            <v>29624</v>
          </cell>
          <cell r="H51">
            <v>301</v>
          </cell>
        </row>
        <row r="52">
          <cell r="E52">
            <v>46682737</v>
          </cell>
          <cell r="F52">
            <v>2513000</v>
          </cell>
          <cell r="G52">
            <v>17786</v>
          </cell>
          <cell r="H52">
            <v>301</v>
          </cell>
        </row>
        <row r="53">
          <cell r="E53">
            <v>46683121</v>
          </cell>
          <cell r="F53">
            <v>2513000</v>
          </cell>
          <cell r="G53">
            <v>17786</v>
          </cell>
          <cell r="H53">
            <v>301</v>
          </cell>
        </row>
        <row r="54">
          <cell r="E54">
            <v>46683289</v>
          </cell>
          <cell r="F54">
            <v>2448000</v>
          </cell>
          <cell r="G54">
            <v>17136</v>
          </cell>
          <cell r="H54">
            <v>301</v>
          </cell>
        </row>
        <row r="55">
          <cell r="E55">
            <v>51565690</v>
          </cell>
          <cell r="F55">
            <v>2578000</v>
          </cell>
          <cell r="G55">
            <v>18436</v>
          </cell>
          <cell r="H55">
            <v>301</v>
          </cell>
        </row>
        <row r="56">
          <cell r="E56">
            <v>51905464</v>
          </cell>
          <cell r="F56">
            <v>2498000</v>
          </cell>
          <cell r="G56">
            <v>17636</v>
          </cell>
          <cell r="H56">
            <v>301</v>
          </cell>
        </row>
        <row r="57">
          <cell r="E57">
            <v>52075870</v>
          </cell>
          <cell r="F57">
            <v>2448000</v>
          </cell>
          <cell r="G57">
            <v>17136</v>
          </cell>
          <cell r="H57">
            <v>301</v>
          </cell>
        </row>
        <row r="58">
          <cell r="E58">
            <v>74130347</v>
          </cell>
          <cell r="F58">
            <v>65000</v>
          </cell>
          <cell r="G58">
            <v>650</v>
          </cell>
          <cell r="H58">
            <v>334</v>
          </cell>
        </row>
        <row r="59">
          <cell r="E59">
            <v>74130466</v>
          </cell>
          <cell r="F59">
            <v>2513000</v>
          </cell>
          <cell r="G59">
            <v>17786</v>
          </cell>
          <cell r="H59">
            <v>301</v>
          </cell>
        </row>
        <row r="60">
          <cell r="E60">
            <v>74130839</v>
          </cell>
          <cell r="F60">
            <v>1861000</v>
          </cell>
          <cell r="G60">
            <v>12977</v>
          </cell>
          <cell r="H60">
            <v>301</v>
          </cell>
        </row>
        <row r="61">
          <cell r="E61">
            <v>74130891</v>
          </cell>
          <cell r="F61">
            <v>2737500</v>
          </cell>
          <cell r="G61">
            <v>19843.5</v>
          </cell>
          <cell r="H61">
            <v>301</v>
          </cell>
        </row>
        <row r="62">
          <cell r="E62">
            <v>74130931</v>
          </cell>
          <cell r="F62">
            <v>2751600</v>
          </cell>
          <cell r="G62">
            <v>19750</v>
          </cell>
          <cell r="H62">
            <v>301</v>
          </cell>
        </row>
        <row r="63">
          <cell r="E63">
            <v>74322178</v>
          </cell>
          <cell r="F63">
            <v>2160000</v>
          </cell>
          <cell r="G63">
            <v>15480</v>
          </cell>
          <cell r="H63">
            <v>301</v>
          </cell>
        </row>
        <row r="64">
          <cell r="E64">
            <v>74322240</v>
          </cell>
          <cell r="F64">
            <v>2513000</v>
          </cell>
          <cell r="G64">
            <v>17786</v>
          </cell>
          <cell r="H64">
            <v>301</v>
          </cell>
        </row>
        <row r="65">
          <cell r="E65">
            <v>74322372</v>
          </cell>
          <cell r="F65">
            <v>4380600</v>
          </cell>
          <cell r="G65">
            <v>30639.200000000001</v>
          </cell>
          <cell r="H65">
            <v>301</v>
          </cell>
        </row>
        <row r="66">
          <cell r="E66">
            <v>74322383</v>
          </cell>
          <cell r="F66">
            <v>2476000</v>
          </cell>
          <cell r="G66">
            <v>17276</v>
          </cell>
          <cell r="H66">
            <v>301</v>
          </cell>
        </row>
        <row r="67">
          <cell r="E67">
            <v>74322428</v>
          </cell>
          <cell r="F67">
            <v>4960200</v>
          </cell>
          <cell r="G67">
            <v>35846.400000000001</v>
          </cell>
          <cell r="H67">
            <v>301</v>
          </cell>
        </row>
        <row r="68">
          <cell r="E68">
            <v>74322471</v>
          </cell>
          <cell r="F68">
            <v>700000</v>
          </cell>
          <cell r="G68">
            <v>4900</v>
          </cell>
          <cell r="H68">
            <v>301</v>
          </cell>
        </row>
        <row r="69">
          <cell r="E69">
            <v>74322479</v>
          </cell>
          <cell r="F69">
            <v>2448000</v>
          </cell>
          <cell r="G69">
            <v>17136</v>
          </cell>
          <cell r="H69">
            <v>301</v>
          </cell>
        </row>
        <row r="70">
          <cell r="E70">
            <v>74322524</v>
          </cell>
          <cell r="F70">
            <v>4488000</v>
          </cell>
          <cell r="G70">
            <v>31416</v>
          </cell>
          <cell r="H70">
            <v>301</v>
          </cell>
        </row>
        <row r="71">
          <cell r="E71">
            <v>74322541</v>
          </cell>
          <cell r="F71">
            <v>2040000</v>
          </cell>
          <cell r="G71">
            <v>14280</v>
          </cell>
          <cell r="H71">
            <v>301</v>
          </cell>
        </row>
        <row r="72">
          <cell r="E72">
            <v>74322606</v>
          </cell>
          <cell r="F72">
            <v>2448000</v>
          </cell>
          <cell r="G72">
            <v>17136</v>
          </cell>
          <cell r="H72">
            <v>301</v>
          </cell>
        </row>
        <row r="73">
          <cell r="E73">
            <v>74322848</v>
          </cell>
          <cell r="F73">
            <v>8523200</v>
          </cell>
          <cell r="G73">
            <v>60232.4</v>
          </cell>
          <cell r="H73">
            <v>301</v>
          </cell>
        </row>
        <row r="74">
          <cell r="E74">
            <v>74323061</v>
          </cell>
          <cell r="F74">
            <v>2448000</v>
          </cell>
          <cell r="G74">
            <v>17136</v>
          </cell>
          <cell r="H74">
            <v>301</v>
          </cell>
        </row>
        <row r="75">
          <cell r="E75">
            <v>74323192</v>
          </cell>
          <cell r="F75">
            <v>1861000</v>
          </cell>
          <cell r="G75">
            <v>12977</v>
          </cell>
          <cell r="H75">
            <v>301</v>
          </cell>
        </row>
        <row r="76">
          <cell r="E76">
            <v>74323213</v>
          </cell>
          <cell r="F76">
            <v>2448000</v>
          </cell>
          <cell r="G76">
            <v>17136</v>
          </cell>
          <cell r="H76">
            <v>301</v>
          </cell>
        </row>
        <row r="77">
          <cell r="E77">
            <v>74323435</v>
          </cell>
          <cell r="F77">
            <v>4585200</v>
          </cell>
          <cell r="G77">
            <v>32096.400000000001</v>
          </cell>
          <cell r="H77">
            <v>301</v>
          </cell>
        </row>
        <row r="78">
          <cell r="E78">
            <v>74323574</v>
          </cell>
          <cell r="F78">
            <v>2498000</v>
          </cell>
          <cell r="G78">
            <v>17386</v>
          </cell>
          <cell r="H78">
            <v>301</v>
          </cell>
        </row>
        <row r="79">
          <cell r="E79">
            <v>74323778</v>
          </cell>
          <cell r="F79">
            <v>2553000</v>
          </cell>
          <cell r="G79">
            <v>18186</v>
          </cell>
          <cell r="H79">
            <v>301</v>
          </cell>
        </row>
        <row r="80">
          <cell r="E80">
            <v>74323964</v>
          </cell>
          <cell r="F80">
            <v>2309000</v>
          </cell>
          <cell r="G80">
            <v>16358</v>
          </cell>
          <cell r="H80">
            <v>301</v>
          </cell>
        </row>
        <row r="81">
          <cell r="E81">
            <v>74323989</v>
          </cell>
          <cell r="F81">
            <v>2551694</v>
          </cell>
          <cell r="G81">
            <v>18115.47</v>
          </cell>
          <cell r="H81">
            <v>301</v>
          </cell>
        </row>
        <row r="82">
          <cell r="E82">
            <v>74324001</v>
          </cell>
          <cell r="F82">
            <v>9462700</v>
          </cell>
          <cell r="G82">
            <v>66238.899999999994</v>
          </cell>
          <cell r="H82">
            <v>301</v>
          </cell>
        </row>
        <row r="83">
          <cell r="E83">
            <v>74324199</v>
          </cell>
          <cell r="F83">
            <v>1085000</v>
          </cell>
          <cell r="G83">
            <v>7790</v>
          </cell>
          <cell r="H83">
            <v>301</v>
          </cell>
        </row>
        <row r="84">
          <cell r="E84">
            <v>74324208</v>
          </cell>
          <cell r="F84">
            <v>2545500</v>
          </cell>
          <cell r="G84">
            <v>17623.5</v>
          </cell>
          <cell r="H84">
            <v>301</v>
          </cell>
        </row>
        <row r="85">
          <cell r="E85">
            <v>74324288</v>
          </cell>
          <cell r="F85">
            <v>-182000</v>
          </cell>
          <cell r="G85">
            <v>-1274</v>
          </cell>
          <cell r="H85">
            <v>301</v>
          </cell>
        </row>
        <row r="86">
          <cell r="E86">
            <v>74324430</v>
          </cell>
          <cell r="F86">
            <v>4585200</v>
          </cell>
          <cell r="G86">
            <v>32096.400000000001</v>
          </cell>
          <cell r="H86">
            <v>301</v>
          </cell>
        </row>
        <row r="87">
          <cell r="E87">
            <v>74358638</v>
          </cell>
          <cell r="F87">
            <v>2584500</v>
          </cell>
          <cell r="G87">
            <v>18143.5</v>
          </cell>
          <cell r="H87">
            <v>301</v>
          </cell>
        </row>
        <row r="88">
          <cell r="E88">
            <v>74358661</v>
          </cell>
          <cell r="F88">
            <v>2309000</v>
          </cell>
          <cell r="G88">
            <v>16358</v>
          </cell>
          <cell r="H88">
            <v>301</v>
          </cell>
        </row>
        <row r="89">
          <cell r="E89">
            <v>74358774</v>
          </cell>
          <cell r="F89">
            <v>2599250</v>
          </cell>
          <cell r="G89">
            <v>18217.25</v>
          </cell>
          <cell r="H89">
            <v>301</v>
          </cell>
        </row>
        <row r="90">
          <cell r="E90">
            <v>74358843</v>
          </cell>
          <cell r="F90">
            <v>50000</v>
          </cell>
          <cell r="G90">
            <v>449.99999999999994</v>
          </cell>
          <cell r="H90">
            <v>212</v>
          </cell>
        </row>
        <row r="91">
          <cell r="E91">
            <v>74358867</v>
          </cell>
          <cell r="F91">
            <v>4686199.99</v>
          </cell>
          <cell r="G91">
            <v>33070.39991</v>
          </cell>
          <cell r="H91">
            <v>212</v>
          </cell>
        </row>
        <row r="92">
          <cell r="E92">
            <v>74358954</v>
          </cell>
          <cell r="F92">
            <v>2563000</v>
          </cell>
          <cell r="G92">
            <v>18286</v>
          </cell>
          <cell r="H92">
            <v>301</v>
          </cell>
        </row>
        <row r="93">
          <cell r="E93">
            <v>74358962</v>
          </cell>
          <cell r="F93">
            <v>4675200</v>
          </cell>
          <cell r="G93">
            <v>32996.400000000001</v>
          </cell>
          <cell r="H93">
            <v>301</v>
          </cell>
        </row>
        <row r="94">
          <cell r="E94">
            <v>74359072</v>
          </cell>
          <cell r="F94">
            <v>4650200</v>
          </cell>
          <cell r="G94">
            <v>32746.400000000001</v>
          </cell>
          <cell r="H94">
            <v>301</v>
          </cell>
        </row>
        <row r="95">
          <cell r="E95">
            <v>74359246</v>
          </cell>
          <cell r="F95">
            <v>3394000</v>
          </cell>
          <cell r="G95">
            <v>24148</v>
          </cell>
          <cell r="H95">
            <v>301</v>
          </cell>
        </row>
        <row r="96">
          <cell r="E96">
            <v>74359345</v>
          </cell>
          <cell r="F96">
            <v>9202067</v>
          </cell>
          <cell r="G96">
            <v>64351.135000000002</v>
          </cell>
          <cell r="H96">
            <v>301</v>
          </cell>
        </row>
        <row r="97">
          <cell r="E97">
            <v>74359595</v>
          </cell>
          <cell r="F97">
            <v>2557000</v>
          </cell>
          <cell r="G97">
            <v>18226</v>
          </cell>
          <cell r="H97">
            <v>301</v>
          </cell>
        </row>
        <row r="98">
          <cell r="E98">
            <v>74359612</v>
          </cell>
          <cell r="F98">
            <v>6415992.8399999999</v>
          </cell>
          <cell r="G98">
            <v>64159.928400000004</v>
          </cell>
          <cell r="H98">
            <v>334</v>
          </cell>
        </row>
        <row r="99">
          <cell r="E99">
            <v>74359647</v>
          </cell>
          <cell r="F99">
            <v>4650200</v>
          </cell>
          <cell r="G99">
            <v>32746.400000000001</v>
          </cell>
          <cell r="H99">
            <v>301</v>
          </cell>
        </row>
        <row r="100">
          <cell r="E100">
            <v>74359702</v>
          </cell>
          <cell r="F100">
            <v>2448000</v>
          </cell>
          <cell r="G100">
            <v>17136</v>
          </cell>
          <cell r="H100">
            <v>301</v>
          </cell>
        </row>
        <row r="101">
          <cell r="E101">
            <v>74359875</v>
          </cell>
          <cell r="F101">
            <v>816000</v>
          </cell>
          <cell r="G101">
            <v>5712</v>
          </cell>
          <cell r="H101">
            <v>301</v>
          </cell>
        </row>
        <row r="102">
          <cell r="E102">
            <v>74359982</v>
          </cell>
          <cell r="F102">
            <v>2628197</v>
          </cell>
          <cell r="G102">
            <v>18611.985000000001</v>
          </cell>
          <cell r="H102">
            <v>301</v>
          </cell>
        </row>
        <row r="103">
          <cell r="E103">
            <v>74360092</v>
          </cell>
          <cell r="F103">
            <v>2324000</v>
          </cell>
          <cell r="G103">
            <v>16358</v>
          </cell>
          <cell r="H103">
            <v>301</v>
          </cell>
        </row>
        <row r="104">
          <cell r="E104">
            <v>74360164</v>
          </cell>
          <cell r="F104">
            <v>65000</v>
          </cell>
          <cell r="G104">
            <v>650</v>
          </cell>
          <cell r="H104">
            <v>334</v>
          </cell>
        </row>
        <row r="105">
          <cell r="E105">
            <v>74360338</v>
          </cell>
          <cell r="F105">
            <v>7691740.96</v>
          </cell>
          <cell r="G105">
            <v>76917.409599999999</v>
          </cell>
          <cell r="H105">
            <v>334</v>
          </cell>
        </row>
        <row r="106">
          <cell r="E106">
            <v>74360471</v>
          </cell>
          <cell r="F106">
            <v>518571.43</v>
          </cell>
          <cell r="G106">
            <v>3630.0000100000002</v>
          </cell>
          <cell r="H106">
            <v>334</v>
          </cell>
        </row>
        <row r="107">
          <cell r="E107">
            <v>74360681</v>
          </cell>
          <cell r="F107">
            <v>2513000</v>
          </cell>
          <cell r="G107">
            <v>17786</v>
          </cell>
          <cell r="H107">
            <v>301</v>
          </cell>
        </row>
        <row r="108">
          <cell r="E108">
            <v>74360719</v>
          </cell>
          <cell r="F108">
            <v>2448000</v>
          </cell>
          <cell r="G108">
            <v>17136</v>
          </cell>
          <cell r="H108">
            <v>301</v>
          </cell>
        </row>
        <row r="109">
          <cell r="E109">
            <v>74360803</v>
          </cell>
          <cell r="F109">
            <v>150000000</v>
          </cell>
          <cell r="G109">
            <v>1500000</v>
          </cell>
          <cell r="H109">
            <v>301</v>
          </cell>
        </row>
        <row r="110">
          <cell r="E110">
            <v>74360925</v>
          </cell>
          <cell r="F110">
            <v>4585200</v>
          </cell>
          <cell r="G110">
            <v>32096.400000000001</v>
          </cell>
          <cell r="H110">
            <v>301</v>
          </cell>
        </row>
        <row r="111">
          <cell r="E111">
            <v>74360963</v>
          </cell>
          <cell r="F111">
            <v>612000</v>
          </cell>
          <cell r="G111">
            <v>4284</v>
          </cell>
          <cell r="H111">
            <v>301</v>
          </cell>
        </row>
        <row r="112">
          <cell r="E112">
            <v>74375066</v>
          </cell>
          <cell r="F112">
            <v>1122000</v>
          </cell>
          <cell r="G112">
            <v>7854</v>
          </cell>
          <cell r="H112">
            <v>301</v>
          </cell>
        </row>
        <row r="113">
          <cell r="E113">
            <v>79048501</v>
          </cell>
          <cell r="F113">
            <v>2513000</v>
          </cell>
          <cell r="G113">
            <v>17786</v>
          </cell>
          <cell r="H113">
            <v>301</v>
          </cell>
        </row>
        <row r="114">
          <cell r="E114">
            <v>79344602</v>
          </cell>
          <cell r="F114">
            <v>1800000</v>
          </cell>
          <cell r="G114">
            <v>12990</v>
          </cell>
          <cell r="H114">
            <v>301</v>
          </cell>
        </row>
        <row r="115">
          <cell r="E115">
            <v>79394186</v>
          </cell>
          <cell r="F115">
            <v>4635200</v>
          </cell>
          <cell r="G115">
            <v>32596.400000000001</v>
          </cell>
          <cell r="H115">
            <v>301</v>
          </cell>
        </row>
        <row r="116">
          <cell r="E116">
            <v>79452339</v>
          </cell>
          <cell r="F116">
            <v>99999.99</v>
          </cell>
          <cell r="G116">
            <v>899.99991</v>
          </cell>
          <cell r="H116">
            <v>212</v>
          </cell>
        </row>
        <row r="117">
          <cell r="E117">
            <v>79643325</v>
          </cell>
          <cell r="F117">
            <v>650000</v>
          </cell>
          <cell r="G117">
            <v>4550</v>
          </cell>
          <cell r="H117">
            <v>301</v>
          </cell>
        </row>
        <row r="118">
          <cell r="E118">
            <v>79715491</v>
          </cell>
          <cell r="F118">
            <v>168162761</v>
          </cell>
          <cell r="G118">
            <v>1657482.41</v>
          </cell>
          <cell r="H118">
            <v>301</v>
          </cell>
        </row>
        <row r="119">
          <cell r="E119">
            <v>80048587</v>
          </cell>
          <cell r="F119">
            <v>2564333</v>
          </cell>
          <cell r="G119">
            <v>18042.665000000001</v>
          </cell>
          <cell r="H119">
            <v>301</v>
          </cell>
        </row>
        <row r="120">
          <cell r="E120">
            <v>80061408</v>
          </cell>
          <cell r="F120">
            <v>4923200</v>
          </cell>
          <cell r="G120">
            <v>35476.400000000001</v>
          </cell>
          <cell r="H120">
            <v>301</v>
          </cell>
        </row>
        <row r="121">
          <cell r="E121">
            <v>800025690</v>
          </cell>
          <cell r="F121">
            <v>12541021.74</v>
          </cell>
          <cell r="G121">
            <v>124135.08630000001</v>
          </cell>
          <cell r="H121">
            <v>334</v>
          </cell>
        </row>
        <row r="122">
          <cell r="E122">
            <v>800067604</v>
          </cell>
          <cell r="F122">
            <v>0</v>
          </cell>
          <cell r="G122">
            <v>0</v>
          </cell>
          <cell r="H122">
            <v>334</v>
          </cell>
        </row>
        <row r="123">
          <cell r="E123">
            <v>800251440</v>
          </cell>
          <cell r="F123">
            <v>130000</v>
          </cell>
          <cell r="G123">
            <v>1300</v>
          </cell>
          <cell r="H123">
            <v>334</v>
          </cell>
        </row>
        <row r="124">
          <cell r="E124">
            <v>830003564</v>
          </cell>
          <cell r="F124">
            <v>2750000</v>
          </cell>
          <cell r="G124">
            <v>27500</v>
          </cell>
          <cell r="H124">
            <v>334</v>
          </cell>
        </row>
        <row r="125">
          <cell r="E125">
            <v>860007738</v>
          </cell>
          <cell r="F125">
            <v>2932922.62</v>
          </cell>
          <cell r="G125">
            <v>14664.6131</v>
          </cell>
          <cell r="H125">
            <v>402</v>
          </cell>
        </row>
        <row r="126">
          <cell r="E126">
            <v>860034313</v>
          </cell>
          <cell r="F126">
            <v>10237.49</v>
          </cell>
          <cell r="G126">
            <v>51.187449999999998</v>
          </cell>
          <cell r="H126">
            <v>402</v>
          </cell>
        </row>
        <row r="127">
          <cell r="E127">
            <v>860066942</v>
          </cell>
          <cell r="F127">
            <v>260000</v>
          </cell>
          <cell r="G127">
            <v>2600</v>
          </cell>
          <cell r="H127">
            <v>334</v>
          </cell>
        </row>
        <row r="128">
          <cell r="E128">
            <v>890903407</v>
          </cell>
          <cell r="F128">
            <v>365517</v>
          </cell>
          <cell r="G128">
            <v>3655.17</v>
          </cell>
          <cell r="H128">
            <v>334</v>
          </cell>
        </row>
        <row r="129">
          <cell r="E129">
            <v>890903938</v>
          </cell>
          <cell r="F129">
            <v>179957.79</v>
          </cell>
          <cell r="G129">
            <v>1525.6022499999999</v>
          </cell>
          <cell r="H129">
            <v>402</v>
          </cell>
        </row>
        <row r="130">
          <cell r="E130">
            <v>900156264</v>
          </cell>
          <cell r="F130">
            <v>1039999</v>
          </cell>
          <cell r="G130">
            <v>10399.99</v>
          </cell>
          <cell r="H130">
            <v>334</v>
          </cell>
        </row>
        <row r="131">
          <cell r="E131">
            <v>900955903</v>
          </cell>
          <cell r="F131">
            <v>262806</v>
          </cell>
          <cell r="G131">
            <v>2628.06</v>
          </cell>
          <cell r="H131">
            <v>334</v>
          </cell>
        </row>
        <row r="132">
          <cell r="E132">
            <v>901097473</v>
          </cell>
          <cell r="F132">
            <v>499995</v>
          </cell>
          <cell r="G132">
            <v>4999.95</v>
          </cell>
          <cell r="H132">
            <v>334</v>
          </cell>
        </row>
        <row r="133">
          <cell r="E133">
            <v>901189656</v>
          </cell>
          <cell r="F133">
            <v>336134.44</v>
          </cell>
          <cell r="G133">
            <v>2352.9410800000001</v>
          </cell>
          <cell r="H133">
            <v>334</v>
          </cell>
        </row>
        <row r="134">
          <cell r="E134">
            <v>901580341</v>
          </cell>
          <cell r="F134">
            <v>168067.23</v>
          </cell>
          <cell r="G134">
            <v>1176.4706100000001</v>
          </cell>
          <cell r="H134">
            <v>334</v>
          </cell>
        </row>
        <row r="135">
          <cell r="E135">
            <v>1000685184</v>
          </cell>
          <cell r="F135">
            <v>2309000</v>
          </cell>
          <cell r="G135">
            <v>16358</v>
          </cell>
          <cell r="H135">
            <v>301</v>
          </cell>
        </row>
        <row r="136">
          <cell r="E136">
            <v>1002365035</v>
          </cell>
          <cell r="F136">
            <v>151260.51</v>
          </cell>
          <cell r="G136">
            <v>1058.82357</v>
          </cell>
          <cell r="H136">
            <v>334</v>
          </cell>
        </row>
        <row r="137">
          <cell r="E137">
            <v>1002551648</v>
          </cell>
          <cell r="F137">
            <v>2665000</v>
          </cell>
          <cell r="G137">
            <v>18850</v>
          </cell>
          <cell r="H137">
            <v>301</v>
          </cell>
        </row>
        <row r="138">
          <cell r="E138">
            <v>1030597414</v>
          </cell>
          <cell r="F138">
            <v>2448000</v>
          </cell>
          <cell r="G138">
            <v>17136</v>
          </cell>
          <cell r="H138">
            <v>301</v>
          </cell>
        </row>
        <row r="139">
          <cell r="E139">
            <v>1052837205</v>
          </cell>
          <cell r="F139">
            <v>50000</v>
          </cell>
          <cell r="G139">
            <v>449.99999999999994</v>
          </cell>
          <cell r="H139">
            <v>212</v>
          </cell>
        </row>
        <row r="140">
          <cell r="E140">
            <v>1053604134</v>
          </cell>
          <cell r="F140">
            <v>1945000</v>
          </cell>
          <cell r="G140">
            <v>13942</v>
          </cell>
          <cell r="H140">
            <v>301</v>
          </cell>
        </row>
        <row r="141">
          <cell r="E141">
            <v>1053604371</v>
          </cell>
          <cell r="F141">
            <v>2551400</v>
          </cell>
          <cell r="G141">
            <v>18128</v>
          </cell>
          <cell r="H141">
            <v>301</v>
          </cell>
        </row>
        <row r="142">
          <cell r="E142">
            <v>1053604413</v>
          </cell>
          <cell r="F142">
            <v>647917</v>
          </cell>
          <cell r="G142">
            <v>4439.585</v>
          </cell>
          <cell r="H142">
            <v>301</v>
          </cell>
        </row>
        <row r="143">
          <cell r="E143">
            <v>1053606320</v>
          </cell>
          <cell r="F143">
            <v>650000</v>
          </cell>
          <cell r="G143">
            <v>4550</v>
          </cell>
          <cell r="H143">
            <v>301</v>
          </cell>
        </row>
        <row r="144">
          <cell r="E144">
            <v>1053607811</v>
          </cell>
          <cell r="F144">
            <v>1924000</v>
          </cell>
          <cell r="G144">
            <v>13618</v>
          </cell>
          <cell r="H144">
            <v>301</v>
          </cell>
        </row>
        <row r="145">
          <cell r="E145">
            <v>1053608074</v>
          </cell>
          <cell r="F145">
            <v>728000</v>
          </cell>
          <cell r="G145">
            <v>5096</v>
          </cell>
          <cell r="H145">
            <v>301</v>
          </cell>
        </row>
        <row r="146">
          <cell r="E146">
            <v>1053608510</v>
          </cell>
          <cell r="F146">
            <v>2650500</v>
          </cell>
          <cell r="G146">
            <v>18473.5</v>
          </cell>
          <cell r="H146">
            <v>301</v>
          </cell>
        </row>
        <row r="147">
          <cell r="E147">
            <v>1053608853</v>
          </cell>
          <cell r="F147">
            <v>1327000</v>
          </cell>
          <cell r="G147">
            <v>9484</v>
          </cell>
          <cell r="H147">
            <v>301</v>
          </cell>
        </row>
        <row r="148">
          <cell r="E148">
            <v>1053608889</v>
          </cell>
          <cell r="F148">
            <v>2513000</v>
          </cell>
          <cell r="G148">
            <v>17786</v>
          </cell>
          <cell r="H148">
            <v>301</v>
          </cell>
        </row>
        <row r="149">
          <cell r="E149">
            <v>1053609040</v>
          </cell>
          <cell r="F149">
            <v>2513000</v>
          </cell>
          <cell r="G149">
            <v>17786</v>
          </cell>
          <cell r="H149">
            <v>301</v>
          </cell>
        </row>
        <row r="150">
          <cell r="E150">
            <v>1053612414</v>
          </cell>
          <cell r="F150">
            <v>245000</v>
          </cell>
          <cell r="G150">
            <v>2450</v>
          </cell>
          <cell r="H150">
            <v>334</v>
          </cell>
        </row>
        <row r="151">
          <cell r="E151">
            <v>1053616720</v>
          </cell>
          <cell r="F151">
            <v>1670000</v>
          </cell>
          <cell r="G151">
            <v>11690</v>
          </cell>
          <cell r="H151">
            <v>301</v>
          </cell>
        </row>
        <row r="152">
          <cell r="E152">
            <v>222222222222</v>
          </cell>
          <cell r="F152">
            <v>78740655.769999996</v>
          </cell>
          <cell r="G152">
            <v>625323.01003</v>
          </cell>
          <cell r="H152">
            <v>212</v>
          </cell>
        </row>
        <row r="153">
          <cell r="F153">
            <v>776780361.76000011</v>
          </cell>
          <cell r="G153">
            <v>6564092.2189799994</v>
          </cell>
        </row>
        <row r="155">
          <cell r="F155">
            <v>689657309</v>
          </cell>
        </row>
        <row r="156">
          <cell r="F156">
            <v>1466437670.7600002</v>
          </cell>
          <cell r="H156">
            <v>453237.48</v>
          </cell>
        </row>
        <row r="158">
          <cell r="F158">
            <v>1466492472</v>
          </cell>
        </row>
        <row r="159">
          <cell r="F159">
            <v>-54801.239999771118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44"/>
  <sheetViews>
    <sheetView tabSelected="1" zoomScale="70" zoomScaleNormal="70" workbookViewId="0">
      <pane ySplit="6" topLeftCell="A7" activePane="bottomLeft" state="frozen"/>
      <selection pane="bottomLeft" activeCell="I2" sqref="I1:I1048576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58.42578125" style="9" customWidth="1"/>
    <col min="4" max="4" width="44" style="9" customWidth="1"/>
    <col min="5" max="5" width="16" style="9" customWidth="1"/>
    <col min="6" max="6" width="33.5703125" style="9" customWidth="1"/>
    <col min="7" max="7" width="16" style="22" customWidth="1"/>
    <col min="8" max="8" width="22.7109375" style="22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23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15" customHeight="1" x14ac:dyDescent="0.25">
      <c r="A2" s="11" t="s">
        <v>2251</v>
      </c>
      <c r="B2" s="11"/>
      <c r="C2" s="11"/>
      <c r="D2" s="29">
        <v>800025690</v>
      </c>
      <c r="E2" s="30"/>
      <c r="F2" s="30"/>
      <c r="G2" s="10"/>
      <c r="H2" s="10"/>
      <c r="I2" s="8"/>
      <c r="J2" s="8"/>
      <c r="K2" s="8"/>
      <c r="L2" s="25"/>
    </row>
    <row r="3" spans="1:12" ht="15" customHeight="1" x14ac:dyDescent="0.25">
      <c r="A3" s="12" t="s">
        <v>2248</v>
      </c>
      <c r="B3" s="12"/>
      <c r="C3" s="12"/>
      <c r="D3" s="31" t="s">
        <v>2715</v>
      </c>
      <c r="E3" s="32"/>
      <c r="F3" s="32"/>
      <c r="G3" s="10"/>
      <c r="H3" s="10"/>
      <c r="I3" s="10"/>
      <c r="J3" s="10"/>
      <c r="K3" s="10"/>
      <c r="L3" s="26"/>
    </row>
    <row r="4" spans="1:12" ht="15" customHeight="1" x14ac:dyDescent="0.25">
      <c r="A4" s="11" t="s">
        <v>2250</v>
      </c>
      <c r="B4" s="11"/>
      <c r="C4" s="11"/>
      <c r="D4" s="29">
        <v>2024</v>
      </c>
      <c r="E4" s="30"/>
      <c r="F4" s="30"/>
      <c r="G4" s="10"/>
      <c r="H4" s="10"/>
      <c r="I4" s="10"/>
      <c r="J4" s="10"/>
      <c r="K4" s="10"/>
      <c r="L4" s="26"/>
    </row>
    <row r="5" spans="1:12" ht="15" customHeight="1" thickBot="1" x14ac:dyDescent="0.3">
      <c r="A5" s="12" t="s">
        <v>2249</v>
      </c>
      <c r="B5" s="12"/>
      <c r="C5" s="12"/>
      <c r="D5" s="33" t="s">
        <v>2716</v>
      </c>
      <c r="E5" s="34"/>
      <c r="F5" s="34"/>
      <c r="G5" s="10"/>
      <c r="H5" s="10"/>
      <c r="I5" s="10"/>
      <c r="J5" s="10"/>
      <c r="K5" s="10"/>
      <c r="L5" s="26"/>
    </row>
    <row r="6" spans="1:12" ht="60.75" customHeight="1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27" t="s">
        <v>10</v>
      </c>
    </row>
    <row r="7" spans="1:12" x14ac:dyDescent="0.25">
      <c r="A7" s="18">
        <v>1000685184</v>
      </c>
      <c r="B7" s="9">
        <v>7</v>
      </c>
      <c r="C7" s="19" t="s">
        <v>2252</v>
      </c>
      <c r="D7" s="19" t="s">
        <v>2387</v>
      </c>
      <c r="E7" s="19" t="s">
        <v>2455</v>
      </c>
      <c r="F7" s="19" t="s">
        <v>2582</v>
      </c>
      <c r="G7" s="21" t="s">
        <v>737</v>
      </c>
      <c r="H7" s="22">
        <f>VLOOKUP(A7,[1]RESUMEN!E:H,4,0)</f>
        <v>301</v>
      </c>
      <c r="I7" s="23">
        <v>2309000</v>
      </c>
      <c r="J7" s="20">
        <v>0</v>
      </c>
      <c r="K7" s="9">
        <v>0</v>
      </c>
      <c r="L7" s="23">
        <v>16358</v>
      </c>
    </row>
    <row r="8" spans="1:12" x14ac:dyDescent="0.25">
      <c r="A8" s="18">
        <v>1002365035</v>
      </c>
      <c r="B8" s="9">
        <v>2</v>
      </c>
      <c r="C8" s="19" t="s">
        <v>2253</v>
      </c>
      <c r="D8" s="19" t="s">
        <v>2388</v>
      </c>
      <c r="E8" s="19" t="s">
        <v>2456</v>
      </c>
      <c r="F8" s="19" t="s">
        <v>2583</v>
      </c>
      <c r="G8" s="21" t="s">
        <v>538</v>
      </c>
      <c r="H8" s="22">
        <f>VLOOKUP(A8,[1]RESUMEN!E:H,4,0)</f>
        <v>334</v>
      </c>
      <c r="I8" s="23">
        <v>151260</v>
      </c>
      <c r="J8" s="20">
        <v>0</v>
      </c>
      <c r="K8" s="9">
        <v>0</v>
      </c>
      <c r="L8" s="23">
        <v>1058</v>
      </c>
    </row>
    <row r="9" spans="1:12" x14ac:dyDescent="0.25">
      <c r="A9" s="18">
        <v>1002551648</v>
      </c>
      <c r="B9" s="9">
        <v>4</v>
      </c>
      <c r="C9" s="19" t="s">
        <v>2254</v>
      </c>
      <c r="D9" s="19" t="s">
        <v>2389</v>
      </c>
      <c r="E9" s="19" t="s">
        <v>2457</v>
      </c>
      <c r="F9" s="19" t="s">
        <v>2584</v>
      </c>
      <c r="G9" s="21" t="s">
        <v>737</v>
      </c>
      <c r="H9" s="22">
        <f>VLOOKUP(A9,[1]RESUMEN!E:H,4,0)</f>
        <v>301</v>
      </c>
      <c r="I9" s="23">
        <v>2665000</v>
      </c>
      <c r="J9" s="20">
        <v>0</v>
      </c>
      <c r="K9" s="9">
        <v>0</v>
      </c>
      <c r="L9" s="23">
        <v>18850</v>
      </c>
    </row>
    <row r="10" spans="1:12" ht="26.25" x14ac:dyDescent="0.25">
      <c r="A10" s="18">
        <v>1030597414</v>
      </c>
      <c r="B10" s="9">
        <v>8</v>
      </c>
      <c r="C10" s="19" t="s">
        <v>2255</v>
      </c>
      <c r="D10" s="19" t="s">
        <v>2390</v>
      </c>
      <c r="E10" s="19" t="s">
        <v>2458</v>
      </c>
      <c r="F10" s="19" t="s">
        <v>2585</v>
      </c>
      <c r="G10" s="21" t="s">
        <v>1288</v>
      </c>
      <c r="H10" s="22">
        <f>VLOOKUP(A10,[1]RESUMEN!E:H,4,0)</f>
        <v>301</v>
      </c>
      <c r="I10" s="23">
        <v>2448000</v>
      </c>
      <c r="J10" s="20">
        <v>0</v>
      </c>
      <c r="K10" s="9">
        <v>0</v>
      </c>
      <c r="L10" s="23">
        <v>17136</v>
      </c>
    </row>
    <row r="11" spans="1:12" x14ac:dyDescent="0.25">
      <c r="A11" s="18">
        <v>1053604134</v>
      </c>
      <c r="B11" s="9">
        <v>5</v>
      </c>
      <c r="C11" s="19" t="s">
        <v>2256</v>
      </c>
      <c r="D11" s="19" t="s">
        <v>2390</v>
      </c>
      <c r="E11" s="19" t="s">
        <v>2459</v>
      </c>
      <c r="F11" s="19" t="s">
        <v>2586</v>
      </c>
      <c r="G11" s="21" t="s">
        <v>737</v>
      </c>
      <c r="H11" s="22">
        <f>VLOOKUP(A11,[1]RESUMEN!E:H,4,0)</f>
        <v>301</v>
      </c>
      <c r="I11" s="23">
        <v>1945000</v>
      </c>
      <c r="J11" s="20">
        <v>0</v>
      </c>
      <c r="K11" s="9">
        <v>0</v>
      </c>
      <c r="L11" s="23">
        <v>13942</v>
      </c>
    </row>
    <row r="12" spans="1:12" x14ac:dyDescent="0.25">
      <c r="A12" s="18">
        <v>1053604371</v>
      </c>
      <c r="B12" s="9">
        <v>4</v>
      </c>
      <c r="C12" s="19" t="s">
        <v>2257</v>
      </c>
      <c r="D12" s="19" t="s">
        <v>2390</v>
      </c>
      <c r="E12" s="19" t="s">
        <v>2460</v>
      </c>
      <c r="F12" s="19" t="s">
        <v>2587</v>
      </c>
      <c r="G12" s="21" t="s">
        <v>737</v>
      </c>
      <c r="H12" s="22">
        <f>VLOOKUP(A12,[1]RESUMEN!E:H,4,0)</f>
        <v>301</v>
      </c>
      <c r="I12" s="23">
        <v>2551400</v>
      </c>
      <c r="J12" s="20">
        <v>0</v>
      </c>
      <c r="K12" s="9">
        <v>0</v>
      </c>
      <c r="L12" s="23">
        <v>18128</v>
      </c>
    </row>
    <row r="13" spans="1:12" x14ac:dyDescent="0.25">
      <c r="A13" s="18">
        <v>1053604413</v>
      </c>
      <c r="B13" s="9">
        <v>5</v>
      </c>
      <c r="C13" s="19" t="s">
        <v>2258</v>
      </c>
      <c r="D13" s="19" t="s">
        <v>2391</v>
      </c>
      <c r="E13" s="19" t="s">
        <v>2461</v>
      </c>
      <c r="F13" s="19" t="s">
        <v>2588</v>
      </c>
      <c r="G13" s="21" t="s">
        <v>737</v>
      </c>
      <c r="H13" s="22">
        <f>VLOOKUP(A13,[1]RESUMEN!E:H,4,0)</f>
        <v>301</v>
      </c>
      <c r="I13" s="23">
        <v>647917</v>
      </c>
      <c r="J13" s="20">
        <v>0</v>
      </c>
      <c r="K13" s="9">
        <v>0</v>
      </c>
      <c r="L13" s="23">
        <v>4439</v>
      </c>
    </row>
    <row r="14" spans="1:12" x14ac:dyDescent="0.25">
      <c r="A14" s="18">
        <v>1053606320</v>
      </c>
      <c r="B14" s="9">
        <v>8</v>
      </c>
      <c r="C14" s="19" t="s">
        <v>2259</v>
      </c>
      <c r="D14" s="19" t="s">
        <v>2392</v>
      </c>
      <c r="E14" s="19" t="s">
        <v>2462</v>
      </c>
      <c r="F14" s="19" t="s">
        <v>2589</v>
      </c>
      <c r="G14" s="21" t="s">
        <v>737</v>
      </c>
      <c r="H14" s="22">
        <f>VLOOKUP(A14,[1]RESUMEN!E:H,4,0)</f>
        <v>301</v>
      </c>
      <c r="I14" s="23">
        <v>650000</v>
      </c>
      <c r="J14" s="20">
        <v>0</v>
      </c>
      <c r="K14" s="9">
        <v>0</v>
      </c>
      <c r="L14" s="23">
        <v>4550</v>
      </c>
    </row>
    <row r="15" spans="1:12" x14ac:dyDescent="0.25">
      <c r="A15" s="18">
        <v>1053607811</v>
      </c>
      <c r="B15" s="9">
        <v>7</v>
      </c>
      <c r="C15" s="19" t="s">
        <v>2260</v>
      </c>
      <c r="D15" s="19" t="s">
        <v>2393</v>
      </c>
      <c r="E15" s="19" t="s">
        <v>2463</v>
      </c>
      <c r="F15" s="19" t="s">
        <v>2590</v>
      </c>
      <c r="G15" s="21" t="s">
        <v>737</v>
      </c>
      <c r="H15" s="22">
        <f>VLOOKUP(A15,[1]RESUMEN!E:H,4,0)</f>
        <v>301</v>
      </c>
      <c r="I15" s="23">
        <v>1924000</v>
      </c>
      <c r="J15" s="20">
        <v>0</v>
      </c>
      <c r="K15" s="9">
        <v>0</v>
      </c>
      <c r="L15" s="23">
        <v>13618</v>
      </c>
    </row>
    <row r="16" spans="1:12" x14ac:dyDescent="0.25">
      <c r="A16" s="18">
        <v>1053608074</v>
      </c>
      <c r="B16" s="9">
        <v>1</v>
      </c>
      <c r="C16" s="19" t="s">
        <v>2261</v>
      </c>
      <c r="D16" s="19" t="s">
        <v>2394</v>
      </c>
      <c r="E16" s="19" t="s">
        <v>2464</v>
      </c>
      <c r="F16" s="19" t="s">
        <v>2591</v>
      </c>
      <c r="G16" s="21" t="s">
        <v>1421</v>
      </c>
      <c r="H16" s="22">
        <f>VLOOKUP(A16,[1]RESUMEN!E:H,4,0)</f>
        <v>301</v>
      </c>
      <c r="I16" s="23">
        <v>728000</v>
      </c>
      <c r="J16" s="20">
        <v>0</v>
      </c>
      <c r="K16" s="9">
        <v>0</v>
      </c>
      <c r="L16" s="23">
        <v>5096</v>
      </c>
    </row>
    <row r="17" spans="1:12" ht="26.25" x14ac:dyDescent="0.25">
      <c r="A17" s="18">
        <v>1053608510</v>
      </c>
      <c r="B17" s="9">
        <v>1</v>
      </c>
      <c r="C17" s="19" t="s">
        <v>2262</v>
      </c>
      <c r="D17" s="19" t="s">
        <v>2390</v>
      </c>
      <c r="E17" s="19" t="s">
        <v>2465</v>
      </c>
      <c r="F17" s="19" t="s">
        <v>2592</v>
      </c>
      <c r="G17" s="21" t="s">
        <v>737</v>
      </c>
      <c r="H17" s="22">
        <f>VLOOKUP(A17,[1]RESUMEN!E:H,4,0)</f>
        <v>301</v>
      </c>
      <c r="I17" s="23">
        <v>2650500</v>
      </c>
      <c r="J17" s="20">
        <v>0</v>
      </c>
      <c r="K17" s="9">
        <v>0</v>
      </c>
      <c r="L17" s="23">
        <v>18473</v>
      </c>
    </row>
    <row r="18" spans="1:12" x14ac:dyDescent="0.25">
      <c r="A18" s="18">
        <v>1053608853</v>
      </c>
      <c r="B18" s="9">
        <v>0</v>
      </c>
      <c r="C18" s="19" t="s">
        <v>2263</v>
      </c>
      <c r="D18" s="19" t="s">
        <v>2395</v>
      </c>
      <c r="E18" s="19" t="s">
        <v>2466</v>
      </c>
      <c r="F18" s="19" t="s">
        <v>2593</v>
      </c>
      <c r="G18" s="21" t="s">
        <v>737</v>
      </c>
      <c r="H18" s="22">
        <f>VLOOKUP(A18,[1]RESUMEN!E:H,4,0)</f>
        <v>301</v>
      </c>
      <c r="I18" s="23">
        <v>1327000</v>
      </c>
      <c r="J18" s="20">
        <v>0</v>
      </c>
      <c r="K18" s="9">
        <v>0</v>
      </c>
      <c r="L18" s="23">
        <v>9484</v>
      </c>
    </row>
    <row r="19" spans="1:12" x14ac:dyDescent="0.25">
      <c r="A19" s="18">
        <v>1053608889</v>
      </c>
      <c r="B19" s="9">
        <v>5</v>
      </c>
      <c r="C19" s="19" t="s">
        <v>2264</v>
      </c>
      <c r="D19" s="19" t="s">
        <v>2390</v>
      </c>
      <c r="E19" s="19" t="s">
        <v>2467</v>
      </c>
      <c r="F19" s="19" t="s">
        <v>2594</v>
      </c>
      <c r="G19" s="21" t="s">
        <v>737</v>
      </c>
      <c r="H19" s="22">
        <f>VLOOKUP(A19,[1]RESUMEN!E:H,4,0)</f>
        <v>301</v>
      </c>
      <c r="I19" s="23">
        <v>2513000</v>
      </c>
      <c r="J19" s="20">
        <v>0</v>
      </c>
      <c r="K19" s="9">
        <v>0</v>
      </c>
      <c r="L19" s="23">
        <v>17786</v>
      </c>
    </row>
    <row r="20" spans="1:12" x14ac:dyDescent="0.25">
      <c r="A20" s="18">
        <v>1053609040</v>
      </c>
      <c r="B20" s="9">
        <v>4</v>
      </c>
      <c r="C20" s="19" t="s">
        <v>2265</v>
      </c>
      <c r="D20" s="19" t="s">
        <v>2396</v>
      </c>
      <c r="E20" s="19" t="s">
        <v>2468</v>
      </c>
      <c r="F20" s="19" t="s">
        <v>2595</v>
      </c>
      <c r="G20" s="21" t="s">
        <v>737</v>
      </c>
      <c r="H20" s="22">
        <f>VLOOKUP(A20,[1]RESUMEN!E:H,4,0)</f>
        <v>301</v>
      </c>
      <c r="I20" s="23">
        <v>2513000</v>
      </c>
      <c r="J20" s="20">
        <v>0</v>
      </c>
      <c r="K20" s="9">
        <v>0</v>
      </c>
      <c r="L20" s="23">
        <v>17786</v>
      </c>
    </row>
    <row r="21" spans="1:12" x14ac:dyDescent="0.25">
      <c r="A21" s="18">
        <v>1053612414</v>
      </c>
      <c r="B21" s="9">
        <v>6</v>
      </c>
      <c r="C21" s="19" t="s">
        <v>2266</v>
      </c>
      <c r="D21" s="19" t="s">
        <v>2390</v>
      </c>
      <c r="E21" s="19" t="s">
        <v>2469</v>
      </c>
      <c r="F21" s="19" t="s">
        <v>2596</v>
      </c>
      <c r="G21" s="21" t="s">
        <v>737</v>
      </c>
      <c r="H21" s="22">
        <f>VLOOKUP(A21,[1]RESUMEN!E:H,4,0)</f>
        <v>334</v>
      </c>
      <c r="I21" s="23">
        <v>245000</v>
      </c>
      <c r="J21" s="20">
        <v>0</v>
      </c>
      <c r="K21" s="9">
        <v>0</v>
      </c>
      <c r="L21" s="23">
        <v>2450</v>
      </c>
    </row>
    <row r="22" spans="1:12" x14ac:dyDescent="0.25">
      <c r="A22" s="18">
        <v>1053616720</v>
      </c>
      <c r="B22" s="9">
        <v>3</v>
      </c>
      <c r="C22" s="19" t="s">
        <v>2267</v>
      </c>
      <c r="D22" s="19" t="s">
        <v>2397</v>
      </c>
      <c r="E22" s="19" t="s">
        <v>2470</v>
      </c>
      <c r="F22" s="19" t="s">
        <v>2593</v>
      </c>
      <c r="G22" s="21" t="s">
        <v>737</v>
      </c>
      <c r="H22" s="22">
        <f>VLOOKUP(A22,[1]RESUMEN!E:H,4,0)</f>
        <v>301</v>
      </c>
      <c r="I22" s="23">
        <v>1670000</v>
      </c>
      <c r="J22" s="20">
        <v>0</v>
      </c>
      <c r="K22" s="9">
        <v>0</v>
      </c>
      <c r="L22" s="23">
        <v>11690</v>
      </c>
    </row>
    <row r="23" spans="1:12" x14ac:dyDescent="0.25">
      <c r="A23" s="18">
        <v>1114335</v>
      </c>
      <c r="B23" s="9">
        <v>6</v>
      </c>
      <c r="C23" s="19" t="s">
        <v>2268</v>
      </c>
      <c r="D23" s="19" t="s">
        <v>2390</v>
      </c>
      <c r="E23" s="19" t="s">
        <v>2471</v>
      </c>
      <c r="F23" s="19" t="s">
        <v>2597</v>
      </c>
      <c r="G23" s="21" t="s">
        <v>737</v>
      </c>
      <c r="H23" s="22">
        <f>VLOOKUP(A23,[1]RESUMEN!E:H,4,0)</f>
        <v>334</v>
      </c>
      <c r="I23" s="23">
        <v>1100840</v>
      </c>
      <c r="J23" s="20">
        <v>0</v>
      </c>
      <c r="K23" s="9">
        <v>0</v>
      </c>
      <c r="L23" s="23">
        <v>7705</v>
      </c>
    </row>
    <row r="24" spans="1:12" x14ac:dyDescent="0.25">
      <c r="A24" s="18">
        <v>19163431</v>
      </c>
      <c r="B24" s="9">
        <v>1</v>
      </c>
      <c r="C24" s="19" t="s">
        <v>2269</v>
      </c>
      <c r="D24" s="19" t="s">
        <v>2393</v>
      </c>
      <c r="E24" s="19" t="s">
        <v>2472</v>
      </c>
      <c r="F24" s="19" t="s">
        <v>2598</v>
      </c>
      <c r="G24" s="21" t="s">
        <v>737</v>
      </c>
      <c r="H24" s="22">
        <f>VLOOKUP(A24,[1]RESUMEN!E:H,4,0)</f>
        <v>301</v>
      </c>
      <c r="I24" s="23">
        <v>3737000</v>
      </c>
      <c r="J24" s="20">
        <v>0</v>
      </c>
      <c r="K24" s="9">
        <v>0</v>
      </c>
      <c r="L24" s="23">
        <v>26354</v>
      </c>
    </row>
    <row r="25" spans="1:12" x14ac:dyDescent="0.25">
      <c r="A25" s="18">
        <v>19276514</v>
      </c>
      <c r="B25" s="9">
        <v>8</v>
      </c>
      <c r="C25" s="19" t="s">
        <v>2270</v>
      </c>
      <c r="D25" s="19" t="s">
        <v>2398</v>
      </c>
      <c r="E25" s="19" t="s">
        <v>2473</v>
      </c>
      <c r="F25" s="19" t="s">
        <v>2599</v>
      </c>
      <c r="G25" s="21" t="s">
        <v>737</v>
      </c>
      <c r="H25" s="22">
        <f>VLOOKUP(A25,[1]RESUMEN!E:H,4,0)</f>
        <v>301</v>
      </c>
      <c r="I25" s="23">
        <v>2745000</v>
      </c>
      <c r="J25" s="20">
        <v>0</v>
      </c>
      <c r="K25" s="9">
        <v>0</v>
      </c>
      <c r="L25" s="23">
        <v>19560</v>
      </c>
    </row>
    <row r="26" spans="1:12" ht="26.25" x14ac:dyDescent="0.25">
      <c r="A26" s="18">
        <v>19493555</v>
      </c>
      <c r="B26" s="9">
        <v>1</v>
      </c>
      <c r="C26" s="19" t="s">
        <v>2271</v>
      </c>
      <c r="D26" s="19" t="s">
        <v>2399</v>
      </c>
      <c r="E26" s="19" t="s">
        <v>2474</v>
      </c>
      <c r="F26" s="19" t="s">
        <v>2600</v>
      </c>
      <c r="G26" s="21" t="s">
        <v>737</v>
      </c>
      <c r="H26" s="22">
        <f>VLOOKUP(A26,[1]RESUMEN!E:H,4,0)</f>
        <v>301</v>
      </c>
      <c r="I26" s="23">
        <v>4585200</v>
      </c>
      <c r="J26" s="20">
        <v>0</v>
      </c>
      <c r="K26" s="9">
        <v>0</v>
      </c>
      <c r="L26" s="23">
        <v>32096</v>
      </c>
    </row>
    <row r="27" spans="1:12" x14ac:dyDescent="0.25">
      <c r="A27" s="18">
        <v>23326905</v>
      </c>
      <c r="B27" s="9">
        <v>4</v>
      </c>
      <c r="C27" s="19" t="s">
        <v>2272</v>
      </c>
      <c r="D27" s="19" t="s">
        <v>2400</v>
      </c>
      <c r="E27" s="19" t="s">
        <v>2475</v>
      </c>
      <c r="F27" s="19" t="s">
        <v>2601</v>
      </c>
      <c r="G27" s="21" t="s">
        <v>737</v>
      </c>
      <c r="H27" s="22">
        <f>VLOOKUP(A27,[1]RESUMEN!E:H,4,0)</f>
        <v>301</v>
      </c>
      <c r="I27" s="23">
        <v>1224000</v>
      </c>
      <c r="J27" s="20">
        <v>0</v>
      </c>
      <c r="K27" s="9">
        <v>0</v>
      </c>
      <c r="L27" s="23">
        <v>8568</v>
      </c>
    </row>
    <row r="28" spans="1:12" x14ac:dyDescent="0.25">
      <c r="A28" s="18">
        <v>23546759</v>
      </c>
      <c r="B28" s="9">
        <v>9</v>
      </c>
      <c r="C28" s="19" t="s">
        <v>2273</v>
      </c>
      <c r="D28" s="19" t="s">
        <v>2390</v>
      </c>
      <c r="E28" s="19" t="s">
        <v>2476</v>
      </c>
      <c r="F28" s="19" t="s">
        <v>2602</v>
      </c>
      <c r="G28" s="21" t="s">
        <v>737</v>
      </c>
      <c r="H28" s="22">
        <f>VLOOKUP(A28,[1]RESUMEN!E:H,4,0)</f>
        <v>301</v>
      </c>
      <c r="I28" s="23">
        <v>1214000</v>
      </c>
      <c r="J28" s="20">
        <v>0</v>
      </c>
      <c r="K28" s="9">
        <v>0</v>
      </c>
      <c r="L28" s="23">
        <v>8498</v>
      </c>
    </row>
    <row r="29" spans="1:12" x14ac:dyDescent="0.25">
      <c r="A29" s="18">
        <v>23852746</v>
      </c>
      <c r="B29" s="9">
        <v>5</v>
      </c>
      <c r="C29" s="19" t="s">
        <v>2274</v>
      </c>
      <c r="D29" s="19" t="s">
        <v>2390</v>
      </c>
      <c r="E29" s="19" t="s">
        <v>2477</v>
      </c>
      <c r="F29" s="19" t="s">
        <v>2603</v>
      </c>
      <c r="G29" s="21" t="s">
        <v>737</v>
      </c>
      <c r="H29" s="22">
        <f>VLOOKUP(A29,[1]RESUMEN!E:H,4,0)</f>
        <v>301</v>
      </c>
      <c r="I29" s="23">
        <v>4585200</v>
      </c>
      <c r="J29" s="20">
        <v>0</v>
      </c>
      <c r="K29" s="9">
        <v>0</v>
      </c>
      <c r="L29" s="23">
        <v>32096</v>
      </c>
    </row>
    <row r="30" spans="1:12" x14ac:dyDescent="0.25">
      <c r="A30" s="18">
        <v>23853858</v>
      </c>
      <c r="B30" s="9">
        <v>6</v>
      </c>
      <c r="C30" s="19" t="s">
        <v>2275</v>
      </c>
      <c r="D30" s="19" t="s">
        <v>2401</v>
      </c>
      <c r="E30" s="19" t="s">
        <v>2478</v>
      </c>
      <c r="F30" s="19" t="s">
        <v>2604</v>
      </c>
      <c r="G30" s="21" t="s">
        <v>737</v>
      </c>
      <c r="H30" s="22">
        <f>VLOOKUP(A30,[1]RESUMEN!E:H,4,0)</f>
        <v>301</v>
      </c>
      <c r="I30" s="23">
        <v>4585200</v>
      </c>
      <c r="J30" s="20">
        <v>0</v>
      </c>
      <c r="K30" s="9">
        <v>0</v>
      </c>
      <c r="L30" s="23">
        <v>32096</v>
      </c>
    </row>
    <row r="31" spans="1:12" x14ac:dyDescent="0.25">
      <c r="A31" s="18">
        <v>23854303</v>
      </c>
      <c r="B31" s="9">
        <v>5</v>
      </c>
      <c r="C31" s="19" t="s">
        <v>2276</v>
      </c>
      <c r="D31" s="19" t="s">
        <v>2390</v>
      </c>
      <c r="E31" s="19" t="s">
        <v>2479</v>
      </c>
      <c r="F31" s="19" t="s">
        <v>2605</v>
      </c>
      <c r="G31" s="21" t="s">
        <v>737</v>
      </c>
      <c r="H31" s="22">
        <f>VLOOKUP(A31,[1]RESUMEN!E:H,4,0)</f>
        <v>301</v>
      </c>
      <c r="I31" s="23">
        <v>2448000</v>
      </c>
      <c r="J31" s="20">
        <v>0</v>
      </c>
      <c r="K31" s="9">
        <v>0</v>
      </c>
      <c r="L31" s="23">
        <v>17136</v>
      </c>
    </row>
    <row r="32" spans="1:12" x14ac:dyDescent="0.25">
      <c r="A32" s="18">
        <v>23854690</v>
      </c>
      <c r="B32" s="9">
        <v>0</v>
      </c>
      <c r="C32" s="19" t="s">
        <v>2277</v>
      </c>
      <c r="D32" s="19" t="s">
        <v>2390</v>
      </c>
      <c r="E32" s="19" t="s">
        <v>2480</v>
      </c>
      <c r="F32" s="19" t="s">
        <v>2606</v>
      </c>
      <c r="G32" s="21" t="s">
        <v>737</v>
      </c>
      <c r="H32" s="22">
        <f>VLOOKUP(A32,[1]RESUMEN!E:H,4,0)</f>
        <v>301</v>
      </c>
      <c r="I32" s="23">
        <v>2710500</v>
      </c>
      <c r="J32" s="20">
        <v>0</v>
      </c>
      <c r="K32" s="9">
        <v>0</v>
      </c>
      <c r="L32" s="23">
        <v>19573</v>
      </c>
    </row>
    <row r="33" spans="1:12" x14ac:dyDescent="0.25">
      <c r="A33" s="18">
        <v>23854875</v>
      </c>
      <c r="B33" s="9">
        <v>6</v>
      </c>
      <c r="C33" s="19" t="s">
        <v>2278</v>
      </c>
      <c r="D33" s="19" t="s">
        <v>2390</v>
      </c>
      <c r="E33" s="19" t="s">
        <v>2481</v>
      </c>
      <c r="F33" s="19" t="s">
        <v>2607</v>
      </c>
      <c r="G33" s="21" t="s">
        <v>737</v>
      </c>
      <c r="H33" s="22">
        <f>VLOOKUP(A33,[1]RESUMEN!E:H,4,0)</f>
        <v>301</v>
      </c>
      <c r="I33" s="23">
        <v>2448000</v>
      </c>
      <c r="J33" s="20">
        <v>0</v>
      </c>
      <c r="K33" s="9">
        <v>0</v>
      </c>
      <c r="L33" s="23">
        <v>17136</v>
      </c>
    </row>
    <row r="34" spans="1:12" x14ac:dyDescent="0.25">
      <c r="A34" s="18">
        <v>23855562</v>
      </c>
      <c r="B34" s="9">
        <v>0</v>
      </c>
      <c r="C34" s="19" t="s">
        <v>2279</v>
      </c>
      <c r="D34" s="19" t="s">
        <v>2390</v>
      </c>
      <c r="E34" s="19" t="s">
        <v>2482</v>
      </c>
      <c r="F34" s="19" t="s">
        <v>2608</v>
      </c>
      <c r="G34" s="21" t="s">
        <v>737</v>
      </c>
      <c r="H34" s="22">
        <f>VLOOKUP(A34,[1]RESUMEN!E:H,4,0)</f>
        <v>301</v>
      </c>
      <c r="I34" s="23">
        <v>2628000</v>
      </c>
      <c r="J34" s="20">
        <v>0</v>
      </c>
      <c r="K34" s="9">
        <v>0</v>
      </c>
      <c r="L34" s="23">
        <v>18936</v>
      </c>
    </row>
    <row r="35" spans="1:12" ht="26.25" x14ac:dyDescent="0.25">
      <c r="A35" s="18">
        <v>23855676</v>
      </c>
      <c r="B35" s="9">
        <v>1</v>
      </c>
      <c r="C35" s="19" t="s">
        <v>2280</v>
      </c>
      <c r="D35" s="19" t="s">
        <v>2390</v>
      </c>
      <c r="E35" s="19" t="s">
        <v>2483</v>
      </c>
      <c r="F35" s="19" t="s">
        <v>2609</v>
      </c>
      <c r="G35" s="21" t="s">
        <v>737</v>
      </c>
      <c r="H35" s="22">
        <f>VLOOKUP(A35,[1]RESUMEN!E:H,4,0)</f>
        <v>301</v>
      </c>
      <c r="I35" s="23">
        <v>2040000</v>
      </c>
      <c r="J35" s="20">
        <v>0</v>
      </c>
      <c r="K35" s="9">
        <v>0</v>
      </c>
      <c r="L35" s="23">
        <v>14280</v>
      </c>
    </row>
    <row r="36" spans="1:12" x14ac:dyDescent="0.25">
      <c r="A36" s="18">
        <v>23855826</v>
      </c>
      <c r="B36" s="9">
        <v>1</v>
      </c>
      <c r="C36" s="19" t="s">
        <v>2281</v>
      </c>
      <c r="D36" s="19" t="s">
        <v>2390</v>
      </c>
      <c r="E36" s="19" t="s">
        <v>2484</v>
      </c>
      <c r="F36" s="19" t="s">
        <v>2610</v>
      </c>
      <c r="G36" s="21" t="s">
        <v>737</v>
      </c>
      <c r="H36" s="22">
        <f>VLOOKUP(A36,[1]RESUMEN!E:H,4,0)</f>
        <v>301</v>
      </c>
      <c r="I36" s="23">
        <v>4650200</v>
      </c>
      <c r="J36" s="20">
        <v>0</v>
      </c>
      <c r="K36" s="9">
        <v>0</v>
      </c>
      <c r="L36" s="23">
        <v>32746</v>
      </c>
    </row>
    <row r="37" spans="1:12" x14ac:dyDescent="0.25">
      <c r="A37" s="18">
        <v>23857079</v>
      </c>
      <c r="B37" s="9">
        <v>3</v>
      </c>
      <c r="C37" s="19" t="s">
        <v>2282</v>
      </c>
      <c r="D37" s="19" t="s">
        <v>2390</v>
      </c>
      <c r="E37" s="19" t="s">
        <v>2485</v>
      </c>
      <c r="F37" s="19" t="s">
        <v>2611</v>
      </c>
      <c r="G37" s="21" t="s">
        <v>737</v>
      </c>
      <c r="H37" s="22">
        <f>VLOOKUP(A37,[1]RESUMEN!E:H,4,0)</f>
        <v>301</v>
      </c>
      <c r="I37" s="23">
        <v>1676000</v>
      </c>
      <c r="J37" s="20">
        <v>0</v>
      </c>
      <c r="K37" s="9">
        <v>0</v>
      </c>
      <c r="L37" s="23">
        <v>11864</v>
      </c>
    </row>
    <row r="38" spans="1:12" x14ac:dyDescent="0.25">
      <c r="A38" s="18">
        <v>3032035</v>
      </c>
      <c r="B38" s="9">
        <v>6</v>
      </c>
      <c r="C38" s="19" t="s">
        <v>2283</v>
      </c>
      <c r="D38" s="19" t="s">
        <v>2390</v>
      </c>
      <c r="E38" s="19" t="s">
        <v>2486</v>
      </c>
      <c r="F38" s="19" t="s">
        <v>2612</v>
      </c>
      <c r="G38" s="21" t="s">
        <v>737</v>
      </c>
      <c r="H38" s="22">
        <f>VLOOKUP(A38,[1]RESUMEN!E:H,4,0)</f>
        <v>301</v>
      </c>
      <c r="I38" s="23">
        <v>2510000</v>
      </c>
      <c r="J38" s="20">
        <v>0</v>
      </c>
      <c r="K38" s="9">
        <v>0</v>
      </c>
      <c r="L38" s="23">
        <v>17567</v>
      </c>
    </row>
    <row r="39" spans="1:12" x14ac:dyDescent="0.25">
      <c r="A39" s="18">
        <v>33446477</v>
      </c>
      <c r="B39" s="9">
        <v>4</v>
      </c>
      <c r="C39" s="19" t="s">
        <v>2284</v>
      </c>
      <c r="D39" s="19" t="s">
        <v>2402</v>
      </c>
      <c r="E39" s="19" t="s">
        <v>2487</v>
      </c>
      <c r="F39" s="19" t="s">
        <v>2613</v>
      </c>
      <c r="G39" s="21" t="s">
        <v>737</v>
      </c>
      <c r="H39" s="22">
        <f>VLOOKUP(A39,[1]RESUMEN!E:H,4,0)</f>
        <v>301</v>
      </c>
      <c r="I39" s="23">
        <v>1058000</v>
      </c>
      <c r="J39" s="20">
        <v>0</v>
      </c>
      <c r="K39" s="9">
        <v>0</v>
      </c>
      <c r="L39" s="23">
        <v>7406</v>
      </c>
    </row>
    <row r="40" spans="1:12" x14ac:dyDescent="0.25">
      <c r="A40" s="18">
        <v>39521091</v>
      </c>
      <c r="B40" s="9">
        <v>8</v>
      </c>
      <c r="C40" s="19" t="s">
        <v>2285</v>
      </c>
      <c r="D40" s="19" t="s">
        <v>2390</v>
      </c>
      <c r="E40" s="19" t="s">
        <v>2488</v>
      </c>
      <c r="F40" s="19" t="s">
        <v>2614</v>
      </c>
      <c r="G40" s="21" t="s">
        <v>737</v>
      </c>
      <c r="H40" s="22">
        <f>VLOOKUP(A40,[1]RESUMEN!E:H,4,0)</f>
        <v>301</v>
      </c>
      <c r="I40" s="23">
        <v>4896000</v>
      </c>
      <c r="J40" s="20">
        <v>0</v>
      </c>
      <c r="K40" s="9">
        <v>0</v>
      </c>
      <c r="L40" s="23">
        <v>34272</v>
      </c>
    </row>
    <row r="41" spans="1:12" x14ac:dyDescent="0.25">
      <c r="A41" s="18">
        <v>4079315</v>
      </c>
      <c r="B41" s="9">
        <v>1</v>
      </c>
      <c r="C41" s="19" t="s">
        <v>2286</v>
      </c>
      <c r="D41" s="19" t="s">
        <v>2390</v>
      </c>
      <c r="E41" s="19" t="s">
        <v>2489</v>
      </c>
      <c r="F41" s="19" t="s">
        <v>2615</v>
      </c>
      <c r="G41" s="21" t="s">
        <v>737</v>
      </c>
      <c r="H41" s="22">
        <f>VLOOKUP(A41,[1]RESUMEN!E:H,4,0)</f>
        <v>301</v>
      </c>
      <c r="I41" s="23">
        <v>2244000</v>
      </c>
      <c r="J41" s="20">
        <v>0</v>
      </c>
      <c r="K41" s="9">
        <v>0</v>
      </c>
      <c r="L41" s="23">
        <v>15708</v>
      </c>
    </row>
    <row r="42" spans="1:12" x14ac:dyDescent="0.25">
      <c r="A42" s="18">
        <v>4190922</v>
      </c>
      <c r="B42" s="9">
        <v>4</v>
      </c>
      <c r="C42" s="19" t="s">
        <v>2287</v>
      </c>
      <c r="D42" s="19" t="s">
        <v>2390</v>
      </c>
      <c r="E42" s="19" t="s">
        <v>2451</v>
      </c>
      <c r="F42" s="19" t="s">
        <v>2616</v>
      </c>
      <c r="G42" s="21" t="s">
        <v>737</v>
      </c>
      <c r="H42" s="22">
        <f>VLOOKUP(A42,[1]RESUMEN!E:H,4,0)</f>
        <v>301</v>
      </c>
      <c r="I42" s="23">
        <v>4585200</v>
      </c>
      <c r="J42" s="20">
        <v>0</v>
      </c>
      <c r="K42" s="9">
        <v>0</v>
      </c>
      <c r="L42" s="23">
        <v>32096</v>
      </c>
    </row>
    <row r="43" spans="1:12" x14ac:dyDescent="0.25">
      <c r="A43" s="18">
        <v>4190924</v>
      </c>
      <c r="B43" s="9">
        <v>9</v>
      </c>
      <c r="C43" s="19" t="s">
        <v>2288</v>
      </c>
      <c r="D43" s="19" t="s">
        <v>2403</v>
      </c>
      <c r="E43" s="19" t="s">
        <v>2490</v>
      </c>
      <c r="F43" s="19" t="s">
        <v>2617</v>
      </c>
      <c r="G43" s="21" t="s">
        <v>737</v>
      </c>
      <c r="H43" s="22">
        <f>VLOOKUP(A43,[1]RESUMEN!E:H,4,0)</f>
        <v>301</v>
      </c>
      <c r="I43" s="23">
        <v>4585200</v>
      </c>
      <c r="J43" s="20">
        <v>0</v>
      </c>
      <c r="K43" s="9">
        <v>0</v>
      </c>
      <c r="L43" s="23">
        <v>32096</v>
      </c>
    </row>
    <row r="44" spans="1:12" x14ac:dyDescent="0.25">
      <c r="A44" s="18">
        <v>4191255</v>
      </c>
      <c r="B44" s="9">
        <v>4</v>
      </c>
      <c r="C44" s="19" t="s">
        <v>2289</v>
      </c>
      <c r="D44" s="19" t="s">
        <v>2404</v>
      </c>
      <c r="E44" s="19" t="s">
        <v>2491</v>
      </c>
      <c r="F44" s="19" t="s">
        <v>2618</v>
      </c>
      <c r="G44" s="21" t="s">
        <v>737</v>
      </c>
      <c r="H44" s="22">
        <f>VLOOKUP(A44,[1]RESUMEN!E:H,4,0)</f>
        <v>301</v>
      </c>
      <c r="I44" s="23">
        <v>5424000</v>
      </c>
      <c r="J44" s="20">
        <v>0</v>
      </c>
      <c r="K44" s="9">
        <v>0</v>
      </c>
      <c r="L44" s="23">
        <v>38358</v>
      </c>
    </row>
    <row r="45" spans="1:12" x14ac:dyDescent="0.25">
      <c r="A45" s="18">
        <v>4191332</v>
      </c>
      <c r="B45" s="9">
        <v>3</v>
      </c>
      <c r="C45" s="19" t="s">
        <v>2290</v>
      </c>
      <c r="D45" s="19" t="s">
        <v>2390</v>
      </c>
      <c r="E45" s="19" t="s">
        <v>2492</v>
      </c>
      <c r="F45" s="19" t="s">
        <v>2619</v>
      </c>
      <c r="G45" s="21" t="s">
        <v>737</v>
      </c>
      <c r="H45" s="22">
        <f>VLOOKUP(A45,[1]RESUMEN!E:H,4,0)</f>
        <v>301</v>
      </c>
      <c r="I45" s="23">
        <v>2448000</v>
      </c>
      <c r="J45" s="20">
        <v>0</v>
      </c>
      <c r="K45" s="9">
        <v>0</v>
      </c>
      <c r="L45" s="23">
        <v>17136</v>
      </c>
    </row>
    <row r="46" spans="1:12" x14ac:dyDescent="0.25">
      <c r="A46" s="18">
        <v>4191481</v>
      </c>
      <c r="B46" s="9">
        <v>2</v>
      </c>
      <c r="C46" s="19" t="s">
        <v>2291</v>
      </c>
      <c r="D46" s="19" t="s">
        <v>2390</v>
      </c>
      <c r="E46" s="19" t="s">
        <v>2493</v>
      </c>
      <c r="F46" s="19" t="s">
        <v>2620</v>
      </c>
      <c r="G46" s="21" t="s">
        <v>737</v>
      </c>
      <c r="H46" s="22">
        <f>VLOOKUP(A46,[1]RESUMEN!E:H,4,0)</f>
        <v>301</v>
      </c>
      <c r="I46" s="23">
        <v>4815200</v>
      </c>
      <c r="J46" s="20">
        <v>0</v>
      </c>
      <c r="K46" s="9">
        <v>0</v>
      </c>
      <c r="L46" s="23">
        <v>34396</v>
      </c>
    </row>
    <row r="47" spans="1:12" x14ac:dyDescent="0.25">
      <c r="A47" s="18">
        <v>4191488</v>
      </c>
      <c r="B47" s="9">
        <v>3</v>
      </c>
      <c r="C47" s="19" t="s">
        <v>2292</v>
      </c>
      <c r="D47" s="19" t="s">
        <v>2405</v>
      </c>
      <c r="E47" s="19" t="s">
        <v>2494</v>
      </c>
      <c r="F47" s="19" t="s">
        <v>2621</v>
      </c>
      <c r="G47" s="21" t="s">
        <v>737</v>
      </c>
      <c r="H47" s="22">
        <f>VLOOKUP(A47,[1]RESUMEN!E:H,4,0)</f>
        <v>301</v>
      </c>
      <c r="I47" s="23">
        <v>919000</v>
      </c>
      <c r="J47" s="20">
        <v>0</v>
      </c>
      <c r="K47" s="9">
        <v>0</v>
      </c>
      <c r="L47" s="23">
        <v>6628</v>
      </c>
    </row>
    <row r="48" spans="1:12" x14ac:dyDescent="0.25">
      <c r="A48" s="18">
        <v>4191527</v>
      </c>
      <c r="B48" s="9">
        <v>2</v>
      </c>
      <c r="C48" s="19" t="s">
        <v>2293</v>
      </c>
      <c r="D48" s="19" t="s">
        <v>2406</v>
      </c>
      <c r="E48" s="19" t="s">
        <v>2495</v>
      </c>
      <c r="F48" s="19" t="s">
        <v>2622</v>
      </c>
      <c r="G48" s="21" t="s">
        <v>737</v>
      </c>
      <c r="H48" s="22">
        <f>VLOOKUP(A48,[1]RESUMEN!E:H,4,0)</f>
        <v>301</v>
      </c>
      <c r="I48" s="23">
        <v>3145268</v>
      </c>
      <c r="J48" s="20">
        <v>0</v>
      </c>
      <c r="K48" s="9">
        <v>0</v>
      </c>
      <c r="L48" s="23">
        <v>22091</v>
      </c>
    </row>
    <row r="49" spans="1:12" ht="26.25" x14ac:dyDescent="0.25">
      <c r="A49" s="18">
        <v>4191581</v>
      </c>
      <c r="B49" s="9">
        <v>0</v>
      </c>
      <c r="C49" s="19" t="s">
        <v>2294</v>
      </c>
      <c r="D49" s="19" t="s">
        <v>2407</v>
      </c>
      <c r="E49" s="19" t="s">
        <v>2496</v>
      </c>
      <c r="F49" s="19" t="s">
        <v>2623</v>
      </c>
      <c r="G49" s="21" t="s">
        <v>737</v>
      </c>
      <c r="H49" s="22">
        <f>VLOOKUP(A49,[1]RESUMEN!E:H,4,0)</f>
        <v>301</v>
      </c>
      <c r="I49" s="23">
        <v>2299000</v>
      </c>
      <c r="J49" s="20">
        <v>0</v>
      </c>
      <c r="K49" s="9">
        <v>0</v>
      </c>
      <c r="L49" s="23">
        <v>16258</v>
      </c>
    </row>
    <row r="50" spans="1:12" x14ac:dyDescent="0.25">
      <c r="A50" s="18">
        <v>4192120</v>
      </c>
      <c r="B50" s="9">
        <v>3</v>
      </c>
      <c r="C50" s="19" t="s">
        <v>2295</v>
      </c>
      <c r="D50" s="19" t="s">
        <v>2390</v>
      </c>
      <c r="E50" s="19" t="s">
        <v>2497</v>
      </c>
      <c r="F50" s="19" t="s">
        <v>2624</v>
      </c>
      <c r="G50" s="21" t="s">
        <v>737</v>
      </c>
      <c r="H50" s="22">
        <f>VLOOKUP(A50,[1]RESUMEN!E:H,4,0)</f>
        <v>301</v>
      </c>
      <c r="I50" s="23">
        <v>2578000</v>
      </c>
      <c r="J50" s="20">
        <v>0</v>
      </c>
      <c r="K50" s="9">
        <v>0</v>
      </c>
      <c r="L50" s="23">
        <v>18436</v>
      </c>
    </row>
    <row r="51" spans="1:12" x14ac:dyDescent="0.25">
      <c r="A51" s="18">
        <v>4192447</v>
      </c>
      <c r="B51" s="9">
        <v>6</v>
      </c>
      <c r="C51" s="19" t="s">
        <v>2296</v>
      </c>
      <c r="D51" s="19" t="s">
        <v>2408</v>
      </c>
      <c r="E51" s="19" t="s">
        <v>2498</v>
      </c>
      <c r="F51" s="19" t="s">
        <v>2625</v>
      </c>
      <c r="G51" s="21" t="s">
        <v>737</v>
      </c>
      <c r="H51" s="22">
        <f>VLOOKUP(A51,[1]RESUMEN!E:H,4,0)</f>
        <v>301</v>
      </c>
      <c r="I51" s="23">
        <v>4844000</v>
      </c>
      <c r="J51" s="20">
        <v>0</v>
      </c>
      <c r="K51" s="9">
        <v>0</v>
      </c>
      <c r="L51" s="23">
        <v>33908</v>
      </c>
    </row>
    <row r="52" spans="1:12" x14ac:dyDescent="0.25">
      <c r="A52" s="18">
        <v>4265176</v>
      </c>
      <c r="B52" s="9">
        <v>1</v>
      </c>
      <c r="C52" s="19" t="s">
        <v>2297</v>
      </c>
      <c r="D52" s="19" t="s">
        <v>2390</v>
      </c>
      <c r="E52" s="19" t="s">
        <v>2499</v>
      </c>
      <c r="F52" s="19" t="s">
        <v>2626</v>
      </c>
      <c r="G52" s="21" t="s">
        <v>737</v>
      </c>
      <c r="H52" s="22">
        <f>VLOOKUP(A52,[1]RESUMEN!E:H,4,0)</f>
        <v>301</v>
      </c>
      <c r="I52" s="23">
        <v>2448000</v>
      </c>
      <c r="J52" s="20">
        <v>0</v>
      </c>
      <c r="K52" s="9">
        <v>0</v>
      </c>
      <c r="L52" s="23">
        <v>17136</v>
      </c>
    </row>
    <row r="53" spans="1:12" x14ac:dyDescent="0.25">
      <c r="A53" s="18">
        <v>4265766</v>
      </c>
      <c r="B53" s="9">
        <v>5</v>
      </c>
      <c r="C53" s="19" t="s">
        <v>2298</v>
      </c>
      <c r="D53" s="19" t="s">
        <v>2390</v>
      </c>
      <c r="E53" s="19" t="s">
        <v>2500</v>
      </c>
      <c r="F53" s="19" t="s">
        <v>2627</v>
      </c>
      <c r="G53" s="21" t="s">
        <v>534</v>
      </c>
      <c r="H53" s="22">
        <f>VLOOKUP(A53,[1]RESUMEN!E:H,4,0)</f>
        <v>301</v>
      </c>
      <c r="I53" s="23">
        <v>2513000</v>
      </c>
      <c r="J53" s="20">
        <v>0</v>
      </c>
      <c r="K53" s="9">
        <v>0</v>
      </c>
      <c r="L53" s="23">
        <v>17786</v>
      </c>
    </row>
    <row r="54" spans="1:12" x14ac:dyDescent="0.25">
      <c r="A54" s="18">
        <v>46368316</v>
      </c>
      <c r="B54" s="9">
        <v>1</v>
      </c>
      <c r="C54" s="19" t="s">
        <v>2299</v>
      </c>
      <c r="D54" s="19" t="s">
        <v>2390</v>
      </c>
      <c r="E54" s="19" t="s">
        <v>2501</v>
      </c>
      <c r="F54" s="19" t="s">
        <v>2628</v>
      </c>
      <c r="G54" s="21" t="s">
        <v>717</v>
      </c>
      <c r="H54" s="22">
        <f>VLOOKUP(A54,[1]RESUMEN!E:H,4,0)</f>
        <v>301</v>
      </c>
      <c r="I54" s="23">
        <v>4719200</v>
      </c>
      <c r="J54" s="20">
        <v>0</v>
      </c>
      <c r="K54" s="9">
        <v>0</v>
      </c>
      <c r="L54" s="23">
        <v>33436</v>
      </c>
    </row>
    <row r="55" spans="1:12" x14ac:dyDescent="0.25">
      <c r="A55" s="18">
        <v>46680623</v>
      </c>
      <c r="B55" s="9">
        <v>2</v>
      </c>
      <c r="C55" s="19" t="s">
        <v>2300</v>
      </c>
      <c r="D55" s="19" t="s">
        <v>2390</v>
      </c>
      <c r="E55" s="19" t="s">
        <v>2502</v>
      </c>
      <c r="F55" s="19" t="s">
        <v>2629</v>
      </c>
      <c r="G55" s="21" t="s">
        <v>737</v>
      </c>
      <c r="H55" s="22">
        <f>VLOOKUP(A55,[1]RESUMEN!E:H,4,0)</f>
        <v>301</v>
      </c>
      <c r="I55" s="23">
        <v>1473000</v>
      </c>
      <c r="J55" s="20">
        <v>0</v>
      </c>
      <c r="K55" s="9">
        <v>0</v>
      </c>
      <c r="L55" s="23">
        <v>10221</v>
      </c>
    </row>
    <row r="56" spans="1:12" x14ac:dyDescent="0.25">
      <c r="A56" s="18">
        <v>46680961</v>
      </c>
      <c r="B56" s="9">
        <v>7</v>
      </c>
      <c r="C56" s="19" t="s">
        <v>2301</v>
      </c>
      <c r="D56" s="19" t="s">
        <v>2409</v>
      </c>
      <c r="E56" s="19" t="s">
        <v>2503</v>
      </c>
      <c r="F56" s="19" t="s">
        <v>2630</v>
      </c>
      <c r="G56" s="21" t="s">
        <v>737</v>
      </c>
      <c r="H56" s="22">
        <f>VLOOKUP(A56,[1]RESUMEN!E:H,4,0)</f>
        <v>301</v>
      </c>
      <c r="I56" s="23">
        <v>1327000</v>
      </c>
      <c r="J56" s="20">
        <v>0</v>
      </c>
      <c r="K56" s="9">
        <v>0</v>
      </c>
      <c r="L56" s="23">
        <v>9484</v>
      </c>
    </row>
    <row r="57" spans="1:12" x14ac:dyDescent="0.25">
      <c r="A57" s="18">
        <v>46681060</v>
      </c>
      <c r="B57" s="9">
        <v>0</v>
      </c>
      <c r="C57" s="19" t="s">
        <v>2302</v>
      </c>
      <c r="D57" s="19" t="s">
        <v>2410</v>
      </c>
      <c r="E57" s="19" t="s">
        <v>2504</v>
      </c>
      <c r="F57" s="19" t="s">
        <v>2631</v>
      </c>
      <c r="G57" s="21" t="s">
        <v>737</v>
      </c>
      <c r="H57" s="22">
        <f>VLOOKUP(A57,[1]RESUMEN!E:H,4,0)</f>
        <v>301</v>
      </c>
      <c r="I57" s="23">
        <v>3804300</v>
      </c>
      <c r="J57" s="20">
        <v>0</v>
      </c>
      <c r="K57" s="9">
        <v>0</v>
      </c>
      <c r="L57" s="23">
        <v>27410</v>
      </c>
    </row>
    <row r="58" spans="1:12" ht="26.25" x14ac:dyDescent="0.25">
      <c r="A58" s="18">
        <v>46681169</v>
      </c>
      <c r="B58" s="9">
        <v>4</v>
      </c>
      <c r="C58" s="19" t="s">
        <v>2303</v>
      </c>
      <c r="D58" s="19" t="s">
        <v>2411</v>
      </c>
      <c r="E58" s="19" t="s">
        <v>2451</v>
      </c>
      <c r="F58" s="19" t="s">
        <v>2632</v>
      </c>
      <c r="G58" s="21" t="s">
        <v>737</v>
      </c>
      <c r="H58" s="22">
        <f>VLOOKUP(A58,[1]RESUMEN!E:H,4,0)</f>
        <v>334</v>
      </c>
      <c r="I58" s="23">
        <v>4123988</v>
      </c>
      <c r="J58" s="20">
        <v>0</v>
      </c>
      <c r="K58" s="9">
        <v>0</v>
      </c>
      <c r="L58" s="23">
        <v>41239</v>
      </c>
    </row>
    <row r="59" spans="1:12" x14ac:dyDescent="0.25">
      <c r="A59" s="18">
        <v>46682722</v>
      </c>
      <c r="B59" s="9">
        <v>2</v>
      </c>
      <c r="C59" s="19" t="s">
        <v>2304</v>
      </c>
      <c r="D59" s="19" t="s">
        <v>2390</v>
      </c>
      <c r="E59" s="19" t="s">
        <v>2505</v>
      </c>
      <c r="F59" s="19" t="s">
        <v>2633</v>
      </c>
      <c r="G59" s="21" t="s">
        <v>737</v>
      </c>
      <c r="H59" s="22">
        <f>VLOOKUP(A59,[1]RESUMEN!E:H,4,0)</f>
        <v>301</v>
      </c>
      <c r="I59" s="23">
        <v>4232000</v>
      </c>
      <c r="J59" s="20">
        <v>0</v>
      </c>
      <c r="K59" s="9">
        <v>0</v>
      </c>
      <c r="L59" s="23">
        <v>29624</v>
      </c>
    </row>
    <row r="60" spans="1:12" x14ac:dyDescent="0.25">
      <c r="A60" s="18">
        <v>46682737</v>
      </c>
      <c r="B60" s="9">
        <v>2</v>
      </c>
      <c r="C60" s="19" t="s">
        <v>2305</v>
      </c>
      <c r="D60" s="19" t="s">
        <v>2412</v>
      </c>
      <c r="E60" s="19" t="s">
        <v>2506</v>
      </c>
      <c r="F60" s="19" t="s">
        <v>2634</v>
      </c>
      <c r="G60" s="21" t="s">
        <v>737</v>
      </c>
      <c r="H60" s="22">
        <f>VLOOKUP(A60,[1]RESUMEN!E:H,4,0)</f>
        <v>301</v>
      </c>
      <c r="I60" s="23">
        <v>2513000</v>
      </c>
      <c r="J60" s="20">
        <v>0</v>
      </c>
      <c r="K60" s="9">
        <v>0</v>
      </c>
      <c r="L60" s="23">
        <v>17786</v>
      </c>
    </row>
    <row r="61" spans="1:12" x14ac:dyDescent="0.25">
      <c r="A61" s="18">
        <v>46683121</v>
      </c>
      <c r="B61" s="9">
        <v>0</v>
      </c>
      <c r="C61" s="19" t="s">
        <v>2306</v>
      </c>
      <c r="D61" s="19" t="s">
        <v>2390</v>
      </c>
      <c r="E61" s="19" t="s">
        <v>2507</v>
      </c>
      <c r="F61" s="19" t="s">
        <v>2635</v>
      </c>
      <c r="G61" s="21" t="s">
        <v>737</v>
      </c>
      <c r="H61" s="22">
        <f>VLOOKUP(A61,[1]RESUMEN!E:H,4,0)</f>
        <v>301</v>
      </c>
      <c r="I61" s="23">
        <v>2513000</v>
      </c>
      <c r="J61" s="20">
        <v>0</v>
      </c>
      <c r="K61" s="9">
        <v>0</v>
      </c>
      <c r="L61" s="23">
        <v>17786</v>
      </c>
    </row>
    <row r="62" spans="1:12" ht="26.25" x14ac:dyDescent="0.25">
      <c r="A62" s="18">
        <v>46683289</v>
      </c>
      <c r="B62" s="9">
        <v>9</v>
      </c>
      <c r="C62" s="19" t="s">
        <v>2307</v>
      </c>
      <c r="D62" s="19" t="s">
        <v>2390</v>
      </c>
      <c r="E62" s="19" t="s">
        <v>2508</v>
      </c>
      <c r="F62" s="19" t="s">
        <v>2636</v>
      </c>
      <c r="G62" s="21" t="s">
        <v>737</v>
      </c>
      <c r="H62" s="22">
        <f>VLOOKUP(A62,[1]RESUMEN!E:H,4,0)</f>
        <v>301</v>
      </c>
      <c r="I62" s="23">
        <v>2448000</v>
      </c>
      <c r="J62" s="20">
        <v>0</v>
      </c>
      <c r="K62" s="9">
        <v>0</v>
      </c>
      <c r="L62" s="23">
        <v>17136</v>
      </c>
    </row>
    <row r="63" spans="1:12" x14ac:dyDescent="0.25">
      <c r="A63" s="18">
        <v>51565690</v>
      </c>
      <c r="B63" s="9">
        <v>2</v>
      </c>
      <c r="C63" s="19" t="s">
        <v>2308</v>
      </c>
      <c r="D63" s="19" t="s">
        <v>2390</v>
      </c>
      <c r="E63" s="19" t="s">
        <v>2509</v>
      </c>
      <c r="F63" s="19" t="s">
        <v>2637</v>
      </c>
      <c r="G63" s="21" t="s">
        <v>737</v>
      </c>
      <c r="H63" s="22">
        <f>VLOOKUP(A63,[1]RESUMEN!E:H,4,0)</f>
        <v>301</v>
      </c>
      <c r="I63" s="23">
        <v>2578000</v>
      </c>
      <c r="J63" s="20">
        <v>0</v>
      </c>
      <c r="K63" s="9">
        <v>0</v>
      </c>
      <c r="L63" s="23">
        <v>18436</v>
      </c>
    </row>
    <row r="64" spans="1:12" x14ac:dyDescent="0.25">
      <c r="A64" s="18">
        <v>51905464</v>
      </c>
      <c r="B64" s="9">
        <v>4</v>
      </c>
      <c r="C64" s="19" t="s">
        <v>2309</v>
      </c>
      <c r="D64" s="19" t="s">
        <v>2390</v>
      </c>
      <c r="E64" s="19" t="s">
        <v>2510</v>
      </c>
      <c r="F64" s="19" t="s">
        <v>2638</v>
      </c>
      <c r="G64" s="21" t="s">
        <v>737</v>
      </c>
      <c r="H64" s="22">
        <f>VLOOKUP(A64,[1]RESUMEN!E:H,4,0)</f>
        <v>301</v>
      </c>
      <c r="I64" s="23">
        <v>2498000</v>
      </c>
      <c r="J64" s="20">
        <v>0</v>
      </c>
      <c r="K64" s="9">
        <v>0</v>
      </c>
      <c r="L64" s="23">
        <v>17636</v>
      </c>
    </row>
    <row r="65" spans="1:12" x14ac:dyDescent="0.25">
      <c r="A65" s="18">
        <v>52075870</v>
      </c>
      <c r="B65" s="9">
        <v>2</v>
      </c>
      <c r="C65" s="19" t="s">
        <v>2310</v>
      </c>
      <c r="D65" s="19" t="s">
        <v>2393</v>
      </c>
      <c r="E65" s="19" t="s">
        <v>2511</v>
      </c>
      <c r="F65" s="19" t="s">
        <v>2639</v>
      </c>
      <c r="G65" s="21" t="s">
        <v>737</v>
      </c>
      <c r="H65" s="22">
        <f>VLOOKUP(A65,[1]RESUMEN!E:H,4,0)</f>
        <v>301</v>
      </c>
      <c r="I65" s="23">
        <v>2448000</v>
      </c>
      <c r="J65" s="20">
        <v>0</v>
      </c>
      <c r="K65" s="9">
        <v>0</v>
      </c>
      <c r="L65" s="23">
        <v>17136</v>
      </c>
    </row>
    <row r="66" spans="1:12" x14ac:dyDescent="0.25">
      <c r="A66" s="18">
        <v>6749255</v>
      </c>
      <c r="B66" s="9">
        <v>9</v>
      </c>
      <c r="C66" s="19" t="s">
        <v>2311</v>
      </c>
      <c r="D66" s="19" t="s">
        <v>2390</v>
      </c>
      <c r="E66" s="19" t="s">
        <v>2512</v>
      </c>
      <c r="F66" s="19" t="s">
        <v>2640</v>
      </c>
      <c r="G66" s="21" t="s">
        <v>737</v>
      </c>
      <c r="H66" s="22">
        <f>VLOOKUP(A66,[1]RESUMEN!E:H,4,0)</f>
        <v>301</v>
      </c>
      <c r="I66" s="23">
        <v>1271500</v>
      </c>
      <c r="J66" s="20">
        <v>0</v>
      </c>
      <c r="K66" s="9">
        <v>0</v>
      </c>
      <c r="L66" s="23">
        <v>8805</v>
      </c>
    </row>
    <row r="67" spans="1:12" x14ac:dyDescent="0.25">
      <c r="A67" s="18">
        <v>6773008</v>
      </c>
      <c r="B67" s="9">
        <v>7</v>
      </c>
      <c r="C67" s="19" t="s">
        <v>2312</v>
      </c>
      <c r="D67" s="19" t="s">
        <v>2413</v>
      </c>
      <c r="E67" s="19" t="s">
        <v>2513</v>
      </c>
      <c r="F67" s="19" t="s">
        <v>2641</v>
      </c>
      <c r="G67" s="21" t="s">
        <v>737</v>
      </c>
      <c r="H67" s="22">
        <f>VLOOKUP(A67,[1]RESUMEN!E:H,4,0)</f>
        <v>301</v>
      </c>
      <c r="I67" s="23">
        <v>3116000</v>
      </c>
      <c r="J67" s="20">
        <v>0</v>
      </c>
      <c r="K67" s="9">
        <v>0</v>
      </c>
      <c r="L67" s="23">
        <v>22592</v>
      </c>
    </row>
    <row r="68" spans="1:12" x14ac:dyDescent="0.25">
      <c r="A68" s="18">
        <v>7183186</v>
      </c>
      <c r="B68" s="9">
        <v>1</v>
      </c>
      <c r="C68" s="19" t="s">
        <v>2313</v>
      </c>
      <c r="D68" s="19" t="s">
        <v>2390</v>
      </c>
      <c r="E68" s="19" t="s">
        <v>2514</v>
      </c>
      <c r="F68" s="19" t="s">
        <v>2642</v>
      </c>
      <c r="G68" s="21" t="s">
        <v>737</v>
      </c>
      <c r="H68" s="22">
        <f>VLOOKUP(A68,[1]RESUMEN!E:H,4,0)</f>
        <v>301</v>
      </c>
      <c r="I68" s="23">
        <v>1836000</v>
      </c>
      <c r="J68" s="20">
        <v>0</v>
      </c>
      <c r="K68" s="9">
        <v>0</v>
      </c>
      <c r="L68" s="23">
        <v>12852</v>
      </c>
    </row>
    <row r="69" spans="1:12" x14ac:dyDescent="0.25">
      <c r="A69" s="18">
        <v>7210076</v>
      </c>
      <c r="B69" s="9">
        <v>6</v>
      </c>
      <c r="C69" s="19" t="s">
        <v>2314</v>
      </c>
      <c r="D69" s="19" t="s">
        <v>2390</v>
      </c>
      <c r="E69" s="19" t="s">
        <v>2515</v>
      </c>
      <c r="F69" s="19" t="s">
        <v>2643</v>
      </c>
      <c r="G69" s="21" t="s">
        <v>737</v>
      </c>
      <c r="H69" s="22">
        <f>VLOOKUP(A69,[1]RESUMEN!E:H,4,0)</f>
        <v>301</v>
      </c>
      <c r="I69" s="23">
        <v>2513000</v>
      </c>
      <c r="J69" s="20">
        <v>0</v>
      </c>
      <c r="K69" s="9">
        <v>0</v>
      </c>
      <c r="L69" s="23">
        <v>17786</v>
      </c>
    </row>
    <row r="70" spans="1:12" ht="26.25" x14ac:dyDescent="0.25">
      <c r="A70" s="18">
        <v>7211039</v>
      </c>
      <c r="B70" s="9">
        <v>8</v>
      </c>
      <c r="C70" s="19" t="s">
        <v>2315</v>
      </c>
      <c r="D70" s="19" t="s">
        <v>2414</v>
      </c>
      <c r="E70" s="19" t="s">
        <v>2516</v>
      </c>
      <c r="F70" s="19" t="s">
        <v>2644</v>
      </c>
      <c r="G70" s="21" t="s">
        <v>737</v>
      </c>
      <c r="H70" s="22">
        <f>VLOOKUP(A70,[1]RESUMEN!E:H,4,0)</f>
        <v>301</v>
      </c>
      <c r="I70" s="23">
        <v>5327248</v>
      </c>
      <c r="J70" s="20">
        <v>0</v>
      </c>
      <c r="K70" s="9">
        <v>0</v>
      </c>
      <c r="L70" s="23">
        <v>38128</v>
      </c>
    </row>
    <row r="71" spans="1:12" x14ac:dyDescent="0.25">
      <c r="A71" s="18">
        <v>7215825</v>
      </c>
      <c r="B71" s="9">
        <v>9</v>
      </c>
      <c r="C71" s="19" t="s">
        <v>2316</v>
      </c>
      <c r="D71" s="19" t="s">
        <v>2415</v>
      </c>
      <c r="E71" s="19" t="s">
        <v>2517</v>
      </c>
      <c r="F71" s="19" t="s">
        <v>2645</v>
      </c>
      <c r="G71" s="21" t="s">
        <v>737</v>
      </c>
      <c r="H71" s="22">
        <f>VLOOKUP(A71,[1]RESUMEN!E:H,4,0)</f>
        <v>301</v>
      </c>
      <c r="I71" s="23">
        <v>816000</v>
      </c>
      <c r="J71" s="20">
        <v>0</v>
      </c>
      <c r="K71" s="9">
        <v>0</v>
      </c>
      <c r="L71" s="23">
        <v>5712</v>
      </c>
    </row>
    <row r="72" spans="1:12" x14ac:dyDescent="0.25">
      <c r="A72" s="18">
        <v>7216316</v>
      </c>
      <c r="B72" s="9">
        <v>6</v>
      </c>
      <c r="C72" s="19" t="s">
        <v>2317</v>
      </c>
      <c r="D72" s="19" t="s">
        <v>2390</v>
      </c>
      <c r="E72" s="19" t="s">
        <v>2518</v>
      </c>
      <c r="F72" s="19" t="s">
        <v>2646</v>
      </c>
      <c r="G72" s="21" t="s">
        <v>737</v>
      </c>
      <c r="H72" s="22">
        <f>VLOOKUP(A72,[1]RESUMEN!E:H,4,0)</f>
        <v>301</v>
      </c>
      <c r="I72" s="23">
        <v>4353517</v>
      </c>
      <c r="J72" s="20">
        <v>0</v>
      </c>
      <c r="K72" s="9">
        <v>0</v>
      </c>
      <c r="L72" s="23">
        <v>30768</v>
      </c>
    </row>
    <row r="73" spans="1:12" x14ac:dyDescent="0.25">
      <c r="A73" s="18">
        <v>7218176</v>
      </c>
      <c r="B73" s="9">
        <v>0</v>
      </c>
      <c r="C73" s="19" t="s">
        <v>2318</v>
      </c>
      <c r="D73" s="19" t="s">
        <v>2390</v>
      </c>
      <c r="E73" s="19" t="s">
        <v>2519</v>
      </c>
      <c r="F73" s="19" t="s">
        <v>2647</v>
      </c>
      <c r="G73" s="21" t="s">
        <v>737</v>
      </c>
      <c r="H73" s="22">
        <f>VLOOKUP(A73,[1]RESUMEN!E:H,4,0)</f>
        <v>301</v>
      </c>
      <c r="I73" s="23">
        <v>2538000</v>
      </c>
      <c r="J73" s="20">
        <v>0</v>
      </c>
      <c r="K73" s="9">
        <v>0</v>
      </c>
      <c r="L73" s="23">
        <v>18036</v>
      </c>
    </row>
    <row r="74" spans="1:12" x14ac:dyDescent="0.25">
      <c r="A74" s="18">
        <v>74130466</v>
      </c>
      <c r="B74" s="9">
        <v>5</v>
      </c>
      <c r="C74" s="19" t="s">
        <v>2319</v>
      </c>
      <c r="D74" s="19" t="s">
        <v>2390</v>
      </c>
      <c r="E74" s="19" t="s">
        <v>2520</v>
      </c>
      <c r="F74" s="19" t="s">
        <v>2648</v>
      </c>
      <c r="G74" s="21" t="s">
        <v>737</v>
      </c>
      <c r="H74" s="22">
        <f>VLOOKUP(A74,[1]RESUMEN!E:H,4,0)</f>
        <v>301</v>
      </c>
      <c r="I74" s="23">
        <v>2513000</v>
      </c>
      <c r="J74" s="20">
        <v>0</v>
      </c>
      <c r="K74" s="9">
        <v>0</v>
      </c>
      <c r="L74" s="23">
        <v>17786</v>
      </c>
    </row>
    <row r="75" spans="1:12" x14ac:dyDescent="0.25">
      <c r="A75" s="18">
        <v>74130839</v>
      </c>
      <c r="B75" s="9">
        <v>9</v>
      </c>
      <c r="C75" s="19" t="s">
        <v>2320</v>
      </c>
      <c r="D75" s="19" t="s">
        <v>2390</v>
      </c>
      <c r="E75" s="19" t="s">
        <v>2521</v>
      </c>
      <c r="F75" s="19" t="s">
        <v>2649</v>
      </c>
      <c r="G75" s="21" t="s">
        <v>737</v>
      </c>
      <c r="H75" s="22">
        <f>VLOOKUP(A75,[1]RESUMEN!E:H,4,0)</f>
        <v>301</v>
      </c>
      <c r="I75" s="23">
        <v>1861000</v>
      </c>
      <c r="J75" s="20">
        <v>0</v>
      </c>
      <c r="K75" s="9">
        <v>0</v>
      </c>
      <c r="L75" s="23">
        <v>12977</v>
      </c>
    </row>
    <row r="76" spans="1:12" x14ac:dyDescent="0.25">
      <c r="A76" s="18">
        <v>74130891</v>
      </c>
      <c r="B76" s="9">
        <v>2</v>
      </c>
      <c r="C76" s="19" t="s">
        <v>2321</v>
      </c>
      <c r="D76" s="19" t="s">
        <v>2416</v>
      </c>
      <c r="E76" s="19" t="s">
        <v>2522</v>
      </c>
      <c r="F76" s="19" t="s">
        <v>2650</v>
      </c>
      <c r="G76" s="21" t="s">
        <v>422</v>
      </c>
      <c r="H76" s="22">
        <f>VLOOKUP(A76,[1]RESUMEN!E:H,4,0)</f>
        <v>301</v>
      </c>
      <c r="I76" s="23">
        <v>2737500</v>
      </c>
      <c r="J76" s="20">
        <v>0</v>
      </c>
      <c r="K76" s="9">
        <v>0</v>
      </c>
      <c r="L76" s="23">
        <v>19843</v>
      </c>
    </row>
    <row r="77" spans="1:12" x14ac:dyDescent="0.25">
      <c r="A77" s="18">
        <v>74130931</v>
      </c>
      <c r="B77" s="9">
        <v>9</v>
      </c>
      <c r="C77" s="19" t="s">
        <v>2322</v>
      </c>
      <c r="D77" s="19" t="s">
        <v>2417</v>
      </c>
      <c r="E77" s="19" t="s">
        <v>2523</v>
      </c>
      <c r="F77" s="19" t="s">
        <v>2651</v>
      </c>
      <c r="G77" s="21" t="s">
        <v>737</v>
      </c>
      <c r="H77" s="22">
        <f>VLOOKUP(A77,[1]RESUMEN!E:H,4,0)</f>
        <v>301</v>
      </c>
      <c r="I77" s="23">
        <v>2751600</v>
      </c>
      <c r="J77" s="20">
        <v>0</v>
      </c>
      <c r="K77" s="9">
        <v>0</v>
      </c>
      <c r="L77" s="23">
        <v>19750</v>
      </c>
    </row>
    <row r="78" spans="1:12" x14ac:dyDescent="0.25">
      <c r="A78" s="18">
        <v>74322178</v>
      </c>
      <c r="B78" s="9">
        <v>3</v>
      </c>
      <c r="C78" s="19" t="s">
        <v>2323</v>
      </c>
      <c r="D78" s="19" t="s">
        <v>2418</v>
      </c>
      <c r="E78" s="19" t="s">
        <v>2524</v>
      </c>
      <c r="F78" s="19" t="s">
        <v>2652</v>
      </c>
      <c r="G78" s="21" t="s">
        <v>737</v>
      </c>
      <c r="H78" s="22">
        <f>VLOOKUP(A78,[1]RESUMEN!E:H,4,0)</f>
        <v>301</v>
      </c>
      <c r="I78" s="23">
        <v>2160000</v>
      </c>
      <c r="J78" s="20">
        <v>0</v>
      </c>
      <c r="K78" s="9">
        <v>0</v>
      </c>
      <c r="L78" s="23">
        <v>15480</v>
      </c>
    </row>
    <row r="79" spans="1:12" x14ac:dyDescent="0.25">
      <c r="A79" s="18">
        <v>74322240</v>
      </c>
      <c r="B79" s="9">
        <v>2</v>
      </c>
      <c r="C79" s="19" t="s">
        <v>2324</v>
      </c>
      <c r="D79" s="19" t="s">
        <v>2390</v>
      </c>
      <c r="E79" s="19" t="s">
        <v>2525</v>
      </c>
      <c r="F79" s="19" t="s">
        <v>2653</v>
      </c>
      <c r="G79" s="21" t="s">
        <v>737</v>
      </c>
      <c r="H79" s="22">
        <f>VLOOKUP(A79,[1]RESUMEN!E:H,4,0)</f>
        <v>301</v>
      </c>
      <c r="I79" s="23">
        <v>2513000</v>
      </c>
      <c r="J79" s="20">
        <v>0</v>
      </c>
      <c r="K79" s="9">
        <v>0</v>
      </c>
      <c r="L79" s="23">
        <v>17786</v>
      </c>
    </row>
    <row r="80" spans="1:12" x14ac:dyDescent="0.25">
      <c r="A80" s="18">
        <v>74322372</v>
      </c>
      <c r="B80" s="9">
        <v>6</v>
      </c>
      <c r="C80" s="19" t="s">
        <v>2325</v>
      </c>
      <c r="D80" s="19" t="s">
        <v>2419</v>
      </c>
      <c r="E80" s="19" t="s">
        <v>2526</v>
      </c>
      <c r="F80" s="19" t="s">
        <v>2654</v>
      </c>
      <c r="G80" s="21" t="s">
        <v>737</v>
      </c>
      <c r="H80" s="22">
        <f>VLOOKUP(A80,[1]RESUMEN!E:H,4,0)</f>
        <v>301</v>
      </c>
      <c r="I80" s="23">
        <v>4380600</v>
      </c>
      <c r="J80" s="20">
        <v>0</v>
      </c>
      <c r="K80" s="9">
        <v>0</v>
      </c>
      <c r="L80" s="23">
        <v>30639</v>
      </c>
    </row>
    <row r="81" spans="1:12" ht="26.25" x14ac:dyDescent="0.25">
      <c r="A81" s="18">
        <v>74322383</v>
      </c>
      <c r="B81" s="9">
        <v>7</v>
      </c>
      <c r="C81" s="19" t="s">
        <v>2326</v>
      </c>
      <c r="D81" s="19" t="s">
        <v>2390</v>
      </c>
      <c r="E81" s="19" t="s">
        <v>2527</v>
      </c>
      <c r="F81" s="19" t="s">
        <v>2655</v>
      </c>
      <c r="G81" s="21" t="s">
        <v>737</v>
      </c>
      <c r="H81" s="22">
        <f>VLOOKUP(A81,[1]RESUMEN!E:H,4,0)</f>
        <v>301</v>
      </c>
      <c r="I81" s="23">
        <v>2476000</v>
      </c>
      <c r="J81" s="20">
        <v>0</v>
      </c>
      <c r="K81" s="9">
        <v>0</v>
      </c>
      <c r="L81" s="23">
        <v>17276</v>
      </c>
    </row>
    <row r="82" spans="1:12" x14ac:dyDescent="0.25">
      <c r="A82" s="18">
        <v>74322428</v>
      </c>
      <c r="B82" s="9">
        <v>1</v>
      </c>
      <c r="C82" s="19" t="s">
        <v>2327</v>
      </c>
      <c r="D82" s="19" t="s">
        <v>2390</v>
      </c>
      <c r="E82" s="19" t="s">
        <v>2528</v>
      </c>
      <c r="F82" s="19" t="s">
        <v>2656</v>
      </c>
      <c r="G82" s="21" t="s">
        <v>737</v>
      </c>
      <c r="H82" s="22">
        <f>VLOOKUP(A82,[1]RESUMEN!E:H,4,0)</f>
        <v>301</v>
      </c>
      <c r="I82" s="23">
        <v>4960200</v>
      </c>
      <c r="J82" s="20">
        <v>0</v>
      </c>
      <c r="K82" s="9">
        <v>0</v>
      </c>
      <c r="L82" s="23">
        <v>35846</v>
      </c>
    </row>
    <row r="83" spans="1:12" ht="26.25" x14ac:dyDescent="0.25">
      <c r="A83" s="18">
        <v>74322471</v>
      </c>
      <c r="B83" s="9">
        <v>7</v>
      </c>
      <c r="C83" s="19" t="s">
        <v>2328</v>
      </c>
      <c r="D83" s="19" t="s">
        <v>2405</v>
      </c>
      <c r="E83" s="19" t="s">
        <v>2529</v>
      </c>
      <c r="F83" s="19" t="s">
        <v>2657</v>
      </c>
      <c r="G83" s="21" t="s">
        <v>737</v>
      </c>
      <c r="H83" s="22">
        <f>VLOOKUP(A83,[1]RESUMEN!E:H,4,0)</f>
        <v>301</v>
      </c>
      <c r="I83" s="23">
        <v>700000</v>
      </c>
      <c r="J83" s="20">
        <v>0</v>
      </c>
      <c r="K83" s="9">
        <v>0</v>
      </c>
      <c r="L83" s="23">
        <v>4900</v>
      </c>
    </row>
    <row r="84" spans="1:12" x14ac:dyDescent="0.25">
      <c r="A84" s="18">
        <v>74322479</v>
      </c>
      <c r="B84" s="9">
        <v>5</v>
      </c>
      <c r="C84" s="19" t="s">
        <v>2329</v>
      </c>
      <c r="D84" s="19" t="s">
        <v>2390</v>
      </c>
      <c r="E84" s="19" t="s">
        <v>2530</v>
      </c>
      <c r="F84" s="19" t="s">
        <v>2658</v>
      </c>
      <c r="G84" s="21" t="s">
        <v>737</v>
      </c>
      <c r="H84" s="22">
        <f>VLOOKUP(A84,[1]RESUMEN!E:H,4,0)</f>
        <v>301</v>
      </c>
      <c r="I84" s="23">
        <v>2448000</v>
      </c>
      <c r="J84" s="20">
        <v>0</v>
      </c>
      <c r="K84" s="9">
        <v>0</v>
      </c>
      <c r="L84" s="23">
        <v>17136</v>
      </c>
    </row>
    <row r="85" spans="1:12" ht="26.25" x14ac:dyDescent="0.25">
      <c r="A85" s="18">
        <v>74322524</v>
      </c>
      <c r="B85" s="9">
        <v>9</v>
      </c>
      <c r="C85" s="19" t="s">
        <v>2330</v>
      </c>
      <c r="D85" s="19" t="s">
        <v>2390</v>
      </c>
      <c r="E85" s="19" t="s">
        <v>2531</v>
      </c>
      <c r="F85" s="19" t="s">
        <v>2659</v>
      </c>
      <c r="G85" s="21" t="s">
        <v>737</v>
      </c>
      <c r="H85" s="22">
        <f>VLOOKUP(A85,[1]RESUMEN!E:H,4,0)</f>
        <v>301</v>
      </c>
      <c r="I85" s="23">
        <v>4488000</v>
      </c>
      <c r="J85" s="20">
        <v>0</v>
      </c>
      <c r="K85" s="9">
        <v>0</v>
      </c>
      <c r="L85" s="23">
        <v>31416</v>
      </c>
    </row>
    <row r="86" spans="1:12" ht="26.25" x14ac:dyDescent="0.25">
      <c r="A86" s="18">
        <v>74322541</v>
      </c>
      <c r="B86" s="9">
        <v>4</v>
      </c>
      <c r="C86" s="19" t="s">
        <v>2331</v>
      </c>
      <c r="D86" s="19" t="s">
        <v>2420</v>
      </c>
      <c r="E86" s="19" t="s">
        <v>2532</v>
      </c>
      <c r="F86" s="19" t="s">
        <v>2660</v>
      </c>
      <c r="G86" s="21" t="s">
        <v>737</v>
      </c>
      <c r="H86" s="22">
        <f>VLOOKUP(A86,[1]RESUMEN!E:H,4,0)</f>
        <v>301</v>
      </c>
      <c r="I86" s="23">
        <v>2040000</v>
      </c>
      <c r="J86" s="20">
        <v>0</v>
      </c>
      <c r="K86" s="9">
        <v>0</v>
      </c>
      <c r="L86" s="23">
        <v>14280</v>
      </c>
    </row>
    <row r="87" spans="1:12" x14ac:dyDescent="0.25">
      <c r="A87" s="18">
        <v>74322606</v>
      </c>
      <c r="B87" s="9">
        <v>4</v>
      </c>
      <c r="C87" s="19" t="s">
        <v>2332</v>
      </c>
      <c r="D87" s="19" t="s">
        <v>2390</v>
      </c>
      <c r="E87" s="19" t="s">
        <v>2533</v>
      </c>
      <c r="F87" s="19" t="s">
        <v>2661</v>
      </c>
      <c r="G87" s="21" t="s">
        <v>737</v>
      </c>
      <c r="H87" s="22">
        <f>VLOOKUP(A87,[1]RESUMEN!E:H,4,0)</f>
        <v>301</v>
      </c>
      <c r="I87" s="23">
        <v>2448000</v>
      </c>
      <c r="J87" s="20">
        <v>0</v>
      </c>
      <c r="K87" s="9">
        <v>0</v>
      </c>
      <c r="L87" s="23">
        <v>17136</v>
      </c>
    </row>
    <row r="88" spans="1:12" x14ac:dyDescent="0.25">
      <c r="A88" s="18">
        <v>74322848</v>
      </c>
      <c r="B88" s="9">
        <v>1</v>
      </c>
      <c r="C88" s="19" t="s">
        <v>2333</v>
      </c>
      <c r="D88" s="19" t="s">
        <v>2390</v>
      </c>
      <c r="E88" s="19" t="s">
        <v>2534</v>
      </c>
      <c r="F88" s="19" t="s">
        <v>2662</v>
      </c>
      <c r="G88" s="21" t="s">
        <v>737</v>
      </c>
      <c r="H88" s="22">
        <f>VLOOKUP(A88,[1]RESUMEN!E:H,4,0)</f>
        <v>301</v>
      </c>
      <c r="I88" s="23">
        <v>8523200</v>
      </c>
      <c r="J88" s="20">
        <v>0</v>
      </c>
      <c r="K88" s="9">
        <v>0</v>
      </c>
      <c r="L88" s="23">
        <v>60232</v>
      </c>
    </row>
    <row r="89" spans="1:12" ht="26.25" x14ac:dyDescent="0.25">
      <c r="A89" s="18">
        <v>74323061</v>
      </c>
      <c r="B89" s="9">
        <v>5</v>
      </c>
      <c r="C89" s="19" t="s">
        <v>2334</v>
      </c>
      <c r="D89" s="19" t="s">
        <v>2390</v>
      </c>
      <c r="E89" s="19" t="s">
        <v>2535</v>
      </c>
      <c r="F89" s="19" t="s">
        <v>2663</v>
      </c>
      <c r="G89" s="21" t="s">
        <v>737</v>
      </c>
      <c r="H89" s="22">
        <f>VLOOKUP(A89,[1]RESUMEN!E:H,4,0)</f>
        <v>301</v>
      </c>
      <c r="I89" s="23">
        <v>2448000</v>
      </c>
      <c r="J89" s="20">
        <v>0</v>
      </c>
      <c r="K89" s="9">
        <v>0</v>
      </c>
      <c r="L89" s="23">
        <v>17136</v>
      </c>
    </row>
    <row r="90" spans="1:12" x14ac:dyDescent="0.25">
      <c r="A90" s="18">
        <v>74323192</v>
      </c>
      <c r="B90" s="9">
        <v>1</v>
      </c>
      <c r="C90" s="19" t="s">
        <v>2335</v>
      </c>
      <c r="D90" s="19" t="s">
        <v>2421</v>
      </c>
      <c r="E90" s="19" t="s">
        <v>2536</v>
      </c>
      <c r="F90" s="19" t="s">
        <v>2664</v>
      </c>
      <c r="G90" s="21" t="s">
        <v>737</v>
      </c>
      <c r="H90" s="22">
        <f>VLOOKUP(A90,[1]RESUMEN!E:H,4,0)</f>
        <v>301</v>
      </c>
      <c r="I90" s="23">
        <v>1861000</v>
      </c>
      <c r="J90" s="20">
        <v>0</v>
      </c>
      <c r="K90" s="9">
        <v>0</v>
      </c>
      <c r="L90" s="23">
        <v>12977</v>
      </c>
    </row>
    <row r="91" spans="1:12" x14ac:dyDescent="0.25">
      <c r="A91" s="18">
        <v>74323213</v>
      </c>
      <c r="B91" s="9">
        <v>8</v>
      </c>
      <c r="C91" s="19" t="s">
        <v>2336</v>
      </c>
      <c r="D91" s="19" t="s">
        <v>2390</v>
      </c>
      <c r="E91" s="19" t="s">
        <v>2537</v>
      </c>
      <c r="F91" s="19" t="s">
        <v>2665</v>
      </c>
      <c r="G91" s="21" t="s">
        <v>737</v>
      </c>
      <c r="H91" s="22">
        <f>VLOOKUP(A91,[1]RESUMEN!E:H,4,0)</f>
        <v>301</v>
      </c>
      <c r="I91" s="23">
        <v>2448000</v>
      </c>
      <c r="J91" s="20">
        <v>0</v>
      </c>
      <c r="K91" s="9">
        <v>0</v>
      </c>
      <c r="L91" s="23">
        <v>17136</v>
      </c>
    </row>
    <row r="92" spans="1:12" ht="26.25" x14ac:dyDescent="0.25">
      <c r="A92" s="18">
        <v>74323435</v>
      </c>
      <c r="B92" s="9">
        <v>6</v>
      </c>
      <c r="C92" s="19" t="s">
        <v>2337</v>
      </c>
      <c r="D92" s="19" t="s">
        <v>2422</v>
      </c>
      <c r="E92" s="19" t="s">
        <v>2538</v>
      </c>
      <c r="F92" s="19" t="s">
        <v>2666</v>
      </c>
      <c r="G92" s="21" t="s">
        <v>737</v>
      </c>
      <c r="H92" s="22">
        <f>VLOOKUP(A92,[1]RESUMEN!E:H,4,0)</f>
        <v>301</v>
      </c>
      <c r="I92" s="23">
        <v>4585200</v>
      </c>
      <c r="J92" s="20">
        <v>0</v>
      </c>
      <c r="K92" s="9">
        <v>0</v>
      </c>
      <c r="L92" s="23">
        <v>32096</v>
      </c>
    </row>
    <row r="93" spans="1:12" x14ac:dyDescent="0.25">
      <c r="A93" s="18">
        <v>74323574</v>
      </c>
      <c r="B93" s="9">
        <v>1</v>
      </c>
      <c r="C93" s="19" t="s">
        <v>2338</v>
      </c>
      <c r="D93" s="19" t="s">
        <v>2390</v>
      </c>
      <c r="E93" s="19" t="s">
        <v>2539</v>
      </c>
      <c r="F93" s="19" t="s">
        <v>2667</v>
      </c>
      <c r="G93" s="21" t="s">
        <v>737</v>
      </c>
      <c r="H93" s="22">
        <f>VLOOKUP(A93,[1]RESUMEN!E:H,4,0)</f>
        <v>301</v>
      </c>
      <c r="I93" s="23">
        <v>2498000</v>
      </c>
      <c r="J93" s="20">
        <v>0</v>
      </c>
      <c r="K93" s="9">
        <v>0</v>
      </c>
      <c r="L93" s="23">
        <v>17386</v>
      </c>
    </row>
    <row r="94" spans="1:12" x14ac:dyDescent="0.25">
      <c r="A94" s="18">
        <v>74323778</v>
      </c>
      <c r="B94" s="9">
        <v>7</v>
      </c>
      <c r="C94" s="19" t="s">
        <v>2339</v>
      </c>
      <c r="D94" s="19" t="s">
        <v>2390</v>
      </c>
      <c r="E94" s="19" t="s">
        <v>2540</v>
      </c>
      <c r="F94" s="19" t="s">
        <v>2668</v>
      </c>
      <c r="G94" s="21" t="s">
        <v>737</v>
      </c>
      <c r="H94" s="22">
        <f>VLOOKUP(A94,[1]RESUMEN!E:H,4,0)</f>
        <v>301</v>
      </c>
      <c r="I94" s="23">
        <v>2553000</v>
      </c>
      <c r="J94" s="20">
        <v>0</v>
      </c>
      <c r="K94" s="9">
        <v>0</v>
      </c>
      <c r="L94" s="23">
        <v>18186</v>
      </c>
    </row>
    <row r="95" spans="1:12" x14ac:dyDescent="0.25">
      <c r="A95" s="18">
        <v>74323964</v>
      </c>
      <c r="B95" s="9">
        <v>0</v>
      </c>
      <c r="C95" s="19" t="s">
        <v>2340</v>
      </c>
      <c r="D95" s="19" t="s">
        <v>2423</v>
      </c>
      <c r="E95" s="19" t="s">
        <v>2541</v>
      </c>
      <c r="F95" s="19" t="s">
        <v>2669</v>
      </c>
      <c r="G95" s="21" t="s">
        <v>737</v>
      </c>
      <c r="H95" s="22">
        <f>VLOOKUP(A95,[1]RESUMEN!E:H,4,0)</f>
        <v>301</v>
      </c>
      <c r="I95" s="23">
        <v>2309000</v>
      </c>
      <c r="J95" s="20">
        <v>0</v>
      </c>
      <c r="K95" s="9">
        <v>0</v>
      </c>
      <c r="L95" s="23">
        <v>16358</v>
      </c>
    </row>
    <row r="96" spans="1:12" x14ac:dyDescent="0.25">
      <c r="A96" s="18">
        <v>74323989</v>
      </c>
      <c r="B96" s="9">
        <v>4</v>
      </c>
      <c r="C96" s="19" t="s">
        <v>2341</v>
      </c>
      <c r="D96" s="19" t="s">
        <v>2424</v>
      </c>
      <c r="E96" s="19" t="s">
        <v>2542</v>
      </c>
      <c r="F96" s="19" t="s">
        <v>2653</v>
      </c>
      <c r="G96" s="21" t="s">
        <v>737</v>
      </c>
      <c r="H96" s="22">
        <f>VLOOKUP(A96,[1]RESUMEN!E:H,4,0)</f>
        <v>301</v>
      </c>
      <c r="I96" s="23">
        <v>2551694</v>
      </c>
      <c r="J96" s="20">
        <v>0</v>
      </c>
      <c r="K96" s="9">
        <v>0</v>
      </c>
      <c r="L96" s="23">
        <v>18115</v>
      </c>
    </row>
    <row r="97" spans="1:12" x14ac:dyDescent="0.25">
      <c r="A97" s="18">
        <v>74324001</v>
      </c>
      <c r="B97" s="9">
        <v>8</v>
      </c>
      <c r="C97" s="19" t="s">
        <v>2342</v>
      </c>
      <c r="D97" s="19" t="s">
        <v>2425</v>
      </c>
      <c r="E97" s="19" t="s">
        <v>2543</v>
      </c>
      <c r="F97" s="19" t="s">
        <v>2670</v>
      </c>
      <c r="G97" s="21" t="s">
        <v>737</v>
      </c>
      <c r="H97" s="22">
        <f>VLOOKUP(A97,[1]RESUMEN!E:H,4,0)</f>
        <v>301</v>
      </c>
      <c r="I97" s="23">
        <v>9462700</v>
      </c>
      <c r="J97" s="20">
        <v>0</v>
      </c>
      <c r="K97" s="9">
        <v>0</v>
      </c>
      <c r="L97" s="23">
        <v>66238</v>
      </c>
    </row>
    <row r="98" spans="1:12" x14ac:dyDescent="0.25">
      <c r="A98" s="18">
        <v>74324199</v>
      </c>
      <c r="B98" s="9">
        <v>7</v>
      </c>
      <c r="C98" s="19" t="s">
        <v>2343</v>
      </c>
      <c r="D98" s="19" t="s">
        <v>2426</v>
      </c>
      <c r="E98" s="19" t="s">
        <v>2544</v>
      </c>
      <c r="F98" s="19" t="s">
        <v>2671</v>
      </c>
      <c r="G98" s="21" t="s">
        <v>737</v>
      </c>
      <c r="H98" s="22">
        <f>VLOOKUP(A98,[1]RESUMEN!E:H,4,0)</f>
        <v>301</v>
      </c>
      <c r="I98" s="23">
        <v>1085000</v>
      </c>
      <c r="J98" s="20">
        <v>0</v>
      </c>
      <c r="K98" s="9">
        <v>0</v>
      </c>
      <c r="L98" s="23">
        <v>7790</v>
      </c>
    </row>
    <row r="99" spans="1:12" x14ac:dyDescent="0.25">
      <c r="A99" s="18">
        <v>74324208</v>
      </c>
      <c r="B99" s="9">
        <v>5</v>
      </c>
      <c r="C99" s="19" t="s">
        <v>2344</v>
      </c>
      <c r="D99" s="19" t="s">
        <v>2390</v>
      </c>
      <c r="E99" s="19" t="s">
        <v>2545</v>
      </c>
      <c r="F99" s="19" t="s">
        <v>2672</v>
      </c>
      <c r="G99" s="21" t="s">
        <v>737</v>
      </c>
      <c r="H99" s="22">
        <f>VLOOKUP(A99,[1]RESUMEN!E:H,4,0)</f>
        <v>301</v>
      </c>
      <c r="I99" s="23">
        <v>2545500</v>
      </c>
      <c r="J99" s="20">
        <v>0</v>
      </c>
      <c r="K99" s="9">
        <v>0</v>
      </c>
      <c r="L99" s="23">
        <v>17623</v>
      </c>
    </row>
    <row r="100" spans="1:12" ht="26.25" x14ac:dyDescent="0.25">
      <c r="A100" s="18">
        <v>74324430</v>
      </c>
      <c r="B100" s="9">
        <v>4</v>
      </c>
      <c r="C100" s="19" t="s">
        <v>2345</v>
      </c>
      <c r="D100" s="19" t="s">
        <v>2427</v>
      </c>
      <c r="E100" s="19" t="s">
        <v>2546</v>
      </c>
      <c r="F100" s="19" t="s">
        <v>2673</v>
      </c>
      <c r="G100" s="21" t="s">
        <v>737</v>
      </c>
      <c r="H100" s="22">
        <f>VLOOKUP(A100,[1]RESUMEN!E:H,4,0)</f>
        <v>301</v>
      </c>
      <c r="I100" s="23">
        <v>4585200</v>
      </c>
      <c r="J100" s="20">
        <v>0</v>
      </c>
      <c r="K100" s="9">
        <v>0</v>
      </c>
      <c r="L100" s="23">
        <v>32096</v>
      </c>
    </row>
    <row r="101" spans="1:12" x14ac:dyDescent="0.25">
      <c r="A101" s="18">
        <v>74358638</v>
      </c>
      <c r="B101" s="9">
        <v>5</v>
      </c>
      <c r="C101" s="19" t="s">
        <v>2346</v>
      </c>
      <c r="D101" s="19" t="s">
        <v>2390</v>
      </c>
      <c r="E101" s="19" t="s">
        <v>2547</v>
      </c>
      <c r="F101" s="19" t="s">
        <v>2674</v>
      </c>
      <c r="G101" s="21" t="s">
        <v>737</v>
      </c>
      <c r="H101" s="22">
        <f>VLOOKUP(A101,[1]RESUMEN!E:H,4,0)</f>
        <v>301</v>
      </c>
      <c r="I101" s="23">
        <v>2584500</v>
      </c>
      <c r="J101" s="20">
        <v>0</v>
      </c>
      <c r="K101" s="9">
        <v>0</v>
      </c>
      <c r="L101" s="23">
        <v>18143</v>
      </c>
    </row>
    <row r="102" spans="1:12" x14ac:dyDescent="0.25">
      <c r="A102" s="18">
        <v>74358661</v>
      </c>
      <c r="B102" s="9">
        <v>5</v>
      </c>
      <c r="C102" s="19" t="s">
        <v>2347</v>
      </c>
      <c r="D102" s="19" t="s">
        <v>2390</v>
      </c>
      <c r="E102" s="19" t="s">
        <v>2548</v>
      </c>
      <c r="F102" s="19" t="s">
        <v>2675</v>
      </c>
      <c r="G102" s="21" t="s">
        <v>737</v>
      </c>
      <c r="H102" s="22">
        <f>VLOOKUP(A102,[1]RESUMEN!E:H,4,0)</f>
        <v>301</v>
      </c>
      <c r="I102" s="23">
        <v>2309000</v>
      </c>
      <c r="J102" s="20">
        <v>0</v>
      </c>
      <c r="K102" s="9">
        <v>0</v>
      </c>
      <c r="L102" s="23">
        <v>16358</v>
      </c>
    </row>
    <row r="103" spans="1:12" x14ac:dyDescent="0.25">
      <c r="A103" s="18">
        <v>74358774</v>
      </c>
      <c r="B103" s="9">
        <v>9</v>
      </c>
      <c r="C103" s="19" t="s">
        <v>2348</v>
      </c>
      <c r="D103" s="19" t="s">
        <v>2428</v>
      </c>
      <c r="E103" s="19" t="s">
        <v>2549</v>
      </c>
      <c r="F103" s="19" t="s">
        <v>2676</v>
      </c>
      <c r="G103" s="21" t="s">
        <v>737</v>
      </c>
      <c r="H103" s="22">
        <f>VLOOKUP(A103,[1]RESUMEN!E:H,4,0)</f>
        <v>301</v>
      </c>
      <c r="I103" s="23">
        <v>2599250</v>
      </c>
      <c r="J103" s="20">
        <v>0</v>
      </c>
      <c r="K103" s="9">
        <v>0</v>
      </c>
      <c r="L103" s="23">
        <v>18217</v>
      </c>
    </row>
    <row r="104" spans="1:12" x14ac:dyDescent="0.25">
      <c r="A104" s="18">
        <v>74358867</v>
      </c>
      <c r="B104" s="9">
        <v>5</v>
      </c>
      <c r="C104" s="19" t="s">
        <v>2349</v>
      </c>
      <c r="D104" s="19" t="s">
        <v>2429</v>
      </c>
      <c r="E104" s="19" t="s">
        <v>2550</v>
      </c>
      <c r="F104" s="19" t="s">
        <v>2677</v>
      </c>
      <c r="G104" s="21" t="s">
        <v>737</v>
      </c>
      <c r="H104" s="22">
        <v>301</v>
      </c>
      <c r="I104" s="23">
        <v>4585200</v>
      </c>
      <c r="J104" s="20">
        <v>0</v>
      </c>
      <c r="K104" s="9">
        <v>0</v>
      </c>
      <c r="L104" s="24">
        <v>32096</v>
      </c>
    </row>
    <row r="105" spans="1:12" x14ac:dyDescent="0.25">
      <c r="A105" s="18">
        <v>74358954</v>
      </c>
      <c r="B105" s="9">
        <v>8</v>
      </c>
      <c r="C105" s="19" t="s">
        <v>2350</v>
      </c>
      <c r="D105" s="19" t="s">
        <v>2430</v>
      </c>
      <c r="E105" s="19" t="s">
        <v>2551</v>
      </c>
      <c r="F105" s="19" t="s">
        <v>2678</v>
      </c>
      <c r="G105" s="21" t="s">
        <v>737</v>
      </c>
      <c r="H105" s="22">
        <f>VLOOKUP(A105,[1]RESUMEN!E:H,4,0)</f>
        <v>301</v>
      </c>
      <c r="I105" s="23">
        <v>2563000</v>
      </c>
      <c r="J105" s="20">
        <v>0</v>
      </c>
      <c r="K105" s="9">
        <v>0</v>
      </c>
      <c r="L105" s="23">
        <v>18286</v>
      </c>
    </row>
    <row r="106" spans="1:12" ht="26.25" x14ac:dyDescent="0.25">
      <c r="A106" s="18">
        <v>74358962</v>
      </c>
      <c r="B106" s="9">
        <v>7</v>
      </c>
      <c r="C106" s="19" t="s">
        <v>2351</v>
      </c>
      <c r="D106" s="19" t="s">
        <v>2431</v>
      </c>
      <c r="E106" s="19" t="s">
        <v>2552</v>
      </c>
      <c r="F106" s="19" t="s">
        <v>2679</v>
      </c>
      <c r="G106" s="21" t="s">
        <v>737</v>
      </c>
      <c r="H106" s="22">
        <f>VLOOKUP(A106,[1]RESUMEN!E:H,4,0)</f>
        <v>301</v>
      </c>
      <c r="I106" s="23">
        <v>4675200</v>
      </c>
      <c r="J106" s="20">
        <v>0</v>
      </c>
      <c r="K106" s="9">
        <v>0</v>
      </c>
      <c r="L106" s="23">
        <v>32996</v>
      </c>
    </row>
    <row r="107" spans="1:12" x14ac:dyDescent="0.25">
      <c r="A107" s="18">
        <v>74359072</v>
      </c>
      <c r="B107" s="9">
        <v>1</v>
      </c>
      <c r="C107" s="19" t="s">
        <v>2352</v>
      </c>
      <c r="D107" s="19" t="s">
        <v>2432</v>
      </c>
      <c r="E107" s="19" t="s">
        <v>2553</v>
      </c>
      <c r="F107" s="19" t="s">
        <v>2680</v>
      </c>
      <c r="G107" s="21" t="s">
        <v>737</v>
      </c>
      <c r="H107" s="22">
        <f>VLOOKUP(A107,[1]RESUMEN!E:H,4,0)</f>
        <v>301</v>
      </c>
      <c r="I107" s="23">
        <v>4650200</v>
      </c>
      <c r="J107" s="20">
        <v>0</v>
      </c>
      <c r="K107" s="9">
        <v>0</v>
      </c>
      <c r="L107" s="23">
        <v>32746</v>
      </c>
    </row>
    <row r="108" spans="1:12" x14ac:dyDescent="0.25">
      <c r="A108" s="18">
        <v>74359246</v>
      </c>
      <c r="B108" s="9">
        <v>6</v>
      </c>
      <c r="C108" s="19" t="s">
        <v>2353</v>
      </c>
      <c r="D108" s="19" t="s">
        <v>2433</v>
      </c>
      <c r="E108" s="19" t="s">
        <v>2554</v>
      </c>
      <c r="F108" s="19" t="s">
        <v>2681</v>
      </c>
      <c r="G108" s="21" t="s">
        <v>737</v>
      </c>
      <c r="H108" s="22">
        <f>VLOOKUP(A108,[1]RESUMEN!E:H,4,0)</f>
        <v>301</v>
      </c>
      <c r="I108" s="23">
        <v>3394000</v>
      </c>
      <c r="J108" s="20">
        <v>0</v>
      </c>
      <c r="K108" s="9">
        <v>0</v>
      </c>
      <c r="L108" s="23">
        <v>24148</v>
      </c>
    </row>
    <row r="109" spans="1:12" x14ac:dyDescent="0.25">
      <c r="A109" s="18">
        <v>74359345</v>
      </c>
      <c r="B109" s="9">
        <v>7</v>
      </c>
      <c r="C109" s="19" t="s">
        <v>2354</v>
      </c>
      <c r="D109" s="19" t="s">
        <v>2434</v>
      </c>
      <c r="E109" s="19" t="s">
        <v>2555</v>
      </c>
      <c r="F109" s="19" t="s">
        <v>2682</v>
      </c>
      <c r="G109" s="21" t="s">
        <v>737</v>
      </c>
      <c r="H109" s="22">
        <f>VLOOKUP(A109,[1]RESUMEN!E:H,4,0)</f>
        <v>301</v>
      </c>
      <c r="I109" s="23">
        <v>9202067</v>
      </c>
      <c r="J109" s="20">
        <v>0</v>
      </c>
      <c r="K109" s="9">
        <v>0</v>
      </c>
      <c r="L109" s="23">
        <v>64351</v>
      </c>
    </row>
    <row r="110" spans="1:12" x14ac:dyDescent="0.25">
      <c r="A110" s="18">
        <v>74359595</v>
      </c>
      <c r="B110" s="9">
        <v>1</v>
      </c>
      <c r="C110" s="19" t="s">
        <v>2355</v>
      </c>
      <c r="D110" s="19" t="s">
        <v>2435</v>
      </c>
      <c r="E110" s="19" t="s">
        <v>2556</v>
      </c>
      <c r="F110" s="19" t="s">
        <v>2683</v>
      </c>
      <c r="G110" s="21" t="s">
        <v>737</v>
      </c>
      <c r="H110" s="22">
        <f>VLOOKUP(A110,[1]RESUMEN!E:H,4,0)</f>
        <v>301</v>
      </c>
      <c r="I110" s="23">
        <v>2557000</v>
      </c>
      <c r="J110" s="20">
        <v>0</v>
      </c>
      <c r="K110" s="9">
        <v>0</v>
      </c>
      <c r="L110" s="23">
        <v>18226</v>
      </c>
    </row>
    <row r="111" spans="1:12" x14ac:dyDescent="0.25">
      <c r="A111" s="18">
        <v>74359612</v>
      </c>
      <c r="B111" s="9">
        <v>9</v>
      </c>
      <c r="C111" s="19" t="s">
        <v>2356</v>
      </c>
      <c r="D111" s="19" t="s">
        <v>2436</v>
      </c>
      <c r="E111" s="19" t="s">
        <v>2451</v>
      </c>
      <c r="F111" s="19" t="s">
        <v>2684</v>
      </c>
      <c r="G111" s="21" t="s">
        <v>737</v>
      </c>
      <c r="H111" s="22">
        <f>VLOOKUP(A111,[1]RESUMEN!E:H,4,0)</f>
        <v>334</v>
      </c>
      <c r="I111" s="23">
        <v>6415992</v>
      </c>
      <c r="J111" s="20">
        <v>0</v>
      </c>
      <c r="K111" s="9">
        <v>0</v>
      </c>
      <c r="L111" s="23">
        <v>64159</v>
      </c>
    </row>
    <row r="112" spans="1:12" ht="26.25" x14ac:dyDescent="0.25">
      <c r="A112" s="18">
        <v>74359647</v>
      </c>
      <c r="B112" s="9">
        <v>6</v>
      </c>
      <c r="C112" s="19" t="s">
        <v>2357</v>
      </c>
      <c r="D112" s="19" t="s">
        <v>2437</v>
      </c>
      <c r="E112" s="19" t="s">
        <v>2557</v>
      </c>
      <c r="F112" s="19" t="s">
        <v>2685</v>
      </c>
      <c r="G112" s="21" t="s">
        <v>737</v>
      </c>
      <c r="H112" s="22">
        <f>VLOOKUP(A112,[1]RESUMEN!E:H,4,0)</f>
        <v>301</v>
      </c>
      <c r="I112" s="23">
        <v>4650200</v>
      </c>
      <c r="J112" s="20">
        <v>0</v>
      </c>
      <c r="K112" s="9">
        <v>0</v>
      </c>
      <c r="L112" s="23">
        <v>32746</v>
      </c>
    </row>
    <row r="113" spans="1:12" x14ac:dyDescent="0.25">
      <c r="A113" s="18">
        <v>74359702</v>
      </c>
      <c r="B113" s="9">
        <v>3</v>
      </c>
      <c r="C113" s="19" t="s">
        <v>2358</v>
      </c>
      <c r="D113" s="19" t="s">
        <v>2390</v>
      </c>
      <c r="E113" s="19" t="s">
        <v>2558</v>
      </c>
      <c r="F113" s="19" t="s">
        <v>2686</v>
      </c>
      <c r="G113" s="21" t="s">
        <v>737</v>
      </c>
      <c r="H113" s="22">
        <f>VLOOKUP(A113,[1]RESUMEN!E:H,4,0)</f>
        <v>301</v>
      </c>
      <c r="I113" s="23">
        <v>2448000</v>
      </c>
      <c r="J113" s="20">
        <v>0</v>
      </c>
      <c r="K113" s="9">
        <v>0</v>
      </c>
      <c r="L113" s="23">
        <v>17136</v>
      </c>
    </row>
    <row r="114" spans="1:12" x14ac:dyDescent="0.25">
      <c r="A114" s="18">
        <v>74359875</v>
      </c>
      <c r="B114" s="9">
        <v>9</v>
      </c>
      <c r="C114" s="19" t="s">
        <v>2359</v>
      </c>
      <c r="D114" s="19" t="s">
        <v>2390</v>
      </c>
      <c r="E114" s="19" t="s">
        <v>2559</v>
      </c>
      <c r="F114" s="19" t="s">
        <v>2687</v>
      </c>
      <c r="G114" s="21" t="s">
        <v>737</v>
      </c>
      <c r="H114" s="22">
        <f>VLOOKUP(A114,[1]RESUMEN!E:H,4,0)</f>
        <v>301</v>
      </c>
      <c r="I114" s="23">
        <v>816000</v>
      </c>
      <c r="J114" s="20">
        <v>0</v>
      </c>
      <c r="K114" s="9">
        <v>0</v>
      </c>
      <c r="L114" s="23">
        <v>5712</v>
      </c>
    </row>
    <row r="115" spans="1:12" x14ac:dyDescent="0.25">
      <c r="A115" s="18">
        <v>74359982</v>
      </c>
      <c r="B115" s="9">
        <v>9</v>
      </c>
      <c r="C115" s="19" t="s">
        <v>2360</v>
      </c>
      <c r="D115" s="19" t="s">
        <v>2438</v>
      </c>
      <c r="E115" s="19" t="s">
        <v>2560</v>
      </c>
      <c r="F115" s="19" t="s">
        <v>2688</v>
      </c>
      <c r="G115" s="21" t="s">
        <v>737</v>
      </c>
      <c r="H115" s="22">
        <f>VLOOKUP(A115,[1]RESUMEN!E:H,4,0)</f>
        <v>301</v>
      </c>
      <c r="I115" s="23">
        <v>2628197</v>
      </c>
      <c r="J115" s="20">
        <v>0</v>
      </c>
      <c r="K115" s="9">
        <v>0</v>
      </c>
      <c r="L115" s="23">
        <v>18611</v>
      </c>
    </row>
    <row r="116" spans="1:12" x14ac:dyDescent="0.25">
      <c r="A116" s="18">
        <v>74360092</v>
      </c>
      <c r="B116" s="9">
        <v>0</v>
      </c>
      <c r="C116" s="19" t="s">
        <v>2361</v>
      </c>
      <c r="D116" s="19" t="s">
        <v>2390</v>
      </c>
      <c r="E116" s="19" t="s">
        <v>2561</v>
      </c>
      <c r="F116" s="19" t="s">
        <v>2689</v>
      </c>
      <c r="G116" s="21" t="s">
        <v>737</v>
      </c>
      <c r="H116" s="22">
        <f>VLOOKUP(A116,[1]RESUMEN!E:H,4,0)</f>
        <v>301</v>
      </c>
      <c r="I116" s="23">
        <v>2324000</v>
      </c>
      <c r="J116" s="20">
        <v>0</v>
      </c>
      <c r="K116" s="9">
        <v>0</v>
      </c>
      <c r="L116" s="23">
        <v>16358</v>
      </c>
    </row>
    <row r="117" spans="1:12" x14ac:dyDescent="0.25">
      <c r="A117" s="18">
        <v>74360338</v>
      </c>
      <c r="B117" s="9">
        <v>7</v>
      </c>
      <c r="C117" s="19" t="s">
        <v>2362</v>
      </c>
      <c r="D117" s="19" t="s">
        <v>2439</v>
      </c>
      <c r="E117" s="19" t="s">
        <v>2451</v>
      </c>
      <c r="F117" s="19" t="s">
        <v>2690</v>
      </c>
      <c r="G117" s="21" t="s">
        <v>737</v>
      </c>
      <c r="H117" s="22">
        <f>VLOOKUP(A117,[1]RESUMEN!E:H,4,0)</f>
        <v>334</v>
      </c>
      <c r="I117" s="23">
        <v>7691740</v>
      </c>
      <c r="J117" s="20">
        <v>0</v>
      </c>
      <c r="K117" s="9">
        <v>0</v>
      </c>
      <c r="L117" s="23">
        <v>76917</v>
      </c>
    </row>
    <row r="118" spans="1:12" x14ac:dyDescent="0.25">
      <c r="A118" s="18">
        <v>74360471</v>
      </c>
      <c r="B118" s="9">
        <v>9</v>
      </c>
      <c r="C118" s="19" t="s">
        <v>2363</v>
      </c>
      <c r="D118" s="19" t="s">
        <v>2440</v>
      </c>
      <c r="E118" s="19" t="s">
        <v>2562</v>
      </c>
      <c r="F118" s="19" t="s">
        <v>2691</v>
      </c>
      <c r="G118" s="21" t="s">
        <v>737</v>
      </c>
      <c r="H118" s="22">
        <f>VLOOKUP(A118,[1]RESUMEN!E:H,4,0)</f>
        <v>334</v>
      </c>
      <c r="I118" s="23">
        <v>518571</v>
      </c>
      <c r="J118" s="20">
        <v>0</v>
      </c>
      <c r="K118" s="9">
        <v>0</v>
      </c>
      <c r="L118" s="23">
        <v>3630</v>
      </c>
    </row>
    <row r="119" spans="1:12" x14ac:dyDescent="0.25">
      <c r="A119" s="18">
        <v>74360681</v>
      </c>
      <c r="B119" s="9">
        <v>9</v>
      </c>
      <c r="C119" s="19" t="s">
        <v>2364</v>
      </c>
      <c r="D119" s="19" t="s">
        <v>2390</v>
      </c>
      <c r="E119" s="19" t="s">
        <v>2563</v>
      </c>
      <c r="F119" s="19" t="s">
        <v>2692</v>
      </c>
      <c r="G119" s="21" t="s">
        <v>737</v>
      </c>
      <c r="H119" s="22">
        <f>VLOOKUP(A119,[1]RESUMEN!E:H,4,0)</f>
        <v>301</v>
      </c>
      <c r="I119" s="23">
        <v>2513000</v>
      </c>
      <c r="J119" s="20">
        <v>0</v>
      </c>
      <c r="K119" s="9">
        <v>0</v>
      </c>
      <c r="L119" s="23">
        <v>17786</v>
      </c>
    </row>
    <row r="120" spans="1:12" x14ac:dyDescent="0.25">
      <c r="A120" s="18">
        <v>74360719</v>
      </c>
      <c r="B120" s="9">
        <v>1</v>
      </c>
      <c r="C120" s="19" t="s">
        <v>2365</v>
      </c>
      <c r="D120" s="19" t="s">
        <v>2390</v>
      </c>
      <c r="E120" s="19" t="s">
        <v>2564</v>
      </c>
      <c r="F120" s="19" t="s">
        <v>2693</v>
      </c>
      <c r="G120" s="21" t="s">
        <v>737</v>
      </c>
      <c r="H120" s="22">
        <f>VLOOKUP(A120,[1]RESUMEN!E:H,4,0)</f>
        <v>301</v>
      </c>
      <c r="I120" s="23">
        <v>2448000</v>
      </c>
      <c r="J120" s="20">
        <v>0</v>
      </c>
      <c r="K120" s="9">
        <v>0</v>
      </c>
      <c r="L120" s="23">
        <v>17136</v>
      </c>
    </row>
    <row r="121" spans="1:12" x14ac:dyDescent="0.25">
      <c r="A121" s="18">
        <v>74360803</v>
      </c>
      <c r="B121" s="9">
        <v>0</v>
      </c>
      <c r="C121" s="19" t="s">
        <v>2366</v>
      </c>
      <c r="D121" s="19" t="s">
        <v>2441</v>
      </c>
      <c r="E121" s="19" t="s">
        <v>2565</v>
      </c>
      <c r="F121" s="19" t="s">
        <v>2694</v>
      </c>
      <c r="G121" s="21" t="s">
        <v>737</v>
      </c>
      <c r="H121" s="22">
        <f>VLOOKUP(A121,[1]RESUMEN!E:H,4,0)</f>
        <v>301</v>
      </c>
      <c r="I121" s="23">
        <v>150000000</v>
      </c>
      <c r="J121" s="20">
        <v>0</v>
      </c>
      <c r="K121" s="9">
        <v>0</v>
      </c>
      <c r="L121" s="23">
        <v>1500000</v>
      </c>
    </row>
    <row r="122" spans="1:12" ht="26.25" x14ac:dyDescent="0.25">
      <c r="A122" s="18">
        <v>74360925</v>
      </c>
      <c r="B122" s="9">
        <v>0</v>
      </c>
      <c r="C122" s="19" t="s">
        <v>2367</v>
      </c>
      <c r="D122" s="19" t="s">
        <v>2442</v>
      </c>
      <c r="E122" s="19" t="s">
        <v>2566</v>
      </c>
      <c r="F122" s="19" t="s">
        <v>2695</v>
      </c>
      <c r="G122" s="21" t="s">
        <v>737</v>
      </c>
      <c r="H122" s="22">
        <f>VLOOKUP(A122,[1]RESUMEN!E:H,4,0)</f>
        <v>301</v>
      </c>
      <c r="I122" s="23">
        <v>4585200</v>
      </c>
      <c r="J122" s="20">
        <v>0</v>
      </c>
      <c r="K122" s="9">
        <v>0</v>
      </c>
      <c r="L122" s="23">
        <v>32096</v>
      </c>
    </row>
    <row r="123" spans="1:12" x14ac:dyDescent="0.25">
      <c r="A123" s="18">
        <v>74360963</v>
      </c>
      <c r="B123" s="9">
        <v>0</v>
      </c>
      <c r="C123" s="19" t="s">
        <v>2368</v>
      </c>
      <c r="D123" s="19" t="s">
        <v>2443</v>
      </c>
      <c r="E123" s="19" t="s">
        <v>2567</v>
      </c>
      <c r="F123" s="19" t="s">
        <v>2696</v>
      </c>
      <c r="G123" s="21" t="s">
        <v>737</v>
      </c>
      <c r="H123" s="22">
        <f>VLOOKUP(A123,[1]RESUMEN!E:H,4,0)</f>
        <v>301</v>
      </c>
      <c r="I123" s="23">
        <v>612000</v>
      </c>
      <c r="J123" s="20">
        <v>0</v>
      </c>
      <c r="K123" s="9">
        <v>0</v>
      </c>
      <c r="L123" s="23">
        <v>4284</v>
      </c>
    </row>
    <row r="124" spans="1:12" x14ac:dyDescent="0.25">
      <c r="A124" s="18">
        <v>74375066</v>
      </c>
      <c r="B124" s="9">
        <v>4</v>
      </c>
      <c r="C124" s="19" t="s">
        <v>2369</v>
      </c>
      <c r="D124" s="19" t="s">
        <v>2413</v>
      </c>
      <c r="E124" s="19" t="s">
        <v>2568</v>
      </c>
      <c r="F124" s="19" t="s">
        <v>2598</v>
      </c>
      <c r="G124" s="21" t="s">
        <v>737</v>
      </c>
      <c r="H124" s="22">
        <f>VLOOKUP(A124,[1]RESUMEN!E:H,4,0)</f>
        <v>301</v>
      </c>
      <c r="I124" s="23">
        <v>1122000</v>
      </c>
      <c r="J124" s="20">
        <v>0</v>
      </c>
      <c r="K124" s="9">
        <v>0</v>
      </c>
      <c r="L124" s="23">
        <v>7854</v>
      </c>
    </row>
    <row r="125" spans="1:12" x14ac:dyDescent="0.25">
      <c r="A125" s="18">
        <v>79048501</v>
      </c>
      <c r="B125" s="9">
        <v>3</v>
      </c>
      <c r="C125" s="19" t="s">
        <v>2370</v>
      </c>
      <c r="D125" s="19" t="s">
        <v>2444</v>
      </c>
      <c r="E125" s="19" t="s">
        <v>2569</v>
      </c>
      <c r="F125" s="19" t="s">
        <v>2697</v>
      </c>
      <c r="G125" s="21" t="s">
        <v>737</v>
      </c>
      <c r="H125" s="22">
        <f>VLOOKUP(A125,[1]RESUMEN!E:H,4,0)</f>
        <v>301</v>
      </c>
      <c r="I125" s="23">
        <v>2513000</v>
      </c>
      <c r="J125" s="20">
        <v>0</v>
      </c>
      <c r="K125" s="9">
        <v>0</v>
      </c>
      <c r="L125" s="23">
        <v>17786</v>
      </c>
    </row>
    <row r="126" spans="1:12" x14ac:dyDescent="0.25">
      <c r="A126" s="18">
        <v>79344602</v>
      </c>
      <c r="B126" s="9">
        <v>8</v>
      </c>
      <c r="C126" s="19" t="s">
        <v>2371</v>
      </c>
      <c r="D126" s="19" t="s">
        <v>2445</v>
      </c>
      <c r="E126" s="19" t="s">
        <v>2570</v>
      </c>
      <c r="F126" s="19" t="s">
        <v>2698</v>
      </c>
      <c r="G126" s="21" t="s">
        <v>737</v>
      </c>
      <c r="H126" s="22">
        <f>VLOOKUP(A126,[1]RESUMEN!E:H,4,0)</f>
        <v>301</v>
      </c>
      <c r="I126" s="23">
        <v>1800000</v>
      </c>
      <c r="J126" s="20">
        <v>0</v>
      </c>
      <c r="K126" s="9">
        <v>0</v>
      </c>
      <c r="L126" s="23">
        <v>12990</v>
      </c>
    </row>
    <row r="127" spans="1:12" ht="26.25" x14ac:dyDescent="0.25">
      <c r="A127" s="18">
        <v>79394186</v>
      </c>
      <c r="B127" s="9">
        <v>9</v>
      </c>
      <c r="C127" s="19" t="s">
        <v>2372</v>
      </c>
      <c r="D127" s="19" t="s">
        <v>2446</v>
      </c>
      <c r="E127" s="19" t="s">
        <v>2571</v>
      </c>
      <c r="F127" s="19" t="s">
        <v>2699</v>
      </c>
      <c r="G127" s="21" t="s">
        <v>737</v>
      </c>
      <c r="H127" s="22">
        <f>VLOOKUP(A127,[1]RESUMEN!E:H,4,0)</f>
        <v>301</v>
      </c>
      <c r="I127" s="23">
        <v>4635200</v>
      </c>
      <c r="J127" s="20">
        <v>0</v>
      </c>
      <c r="K127" s="9">
        <v>0</v>
      </c>
      <c r="L127" s="23">
        <v>32596</v>
      </c>
    </row>
    <row r="128" spans="1:12" x14ac:dyDescent="0.25">
      <c r="A128" s="18">
        <v>79643325</v>
      </c>
      <c r="B128" s="9">
        <v>5</v>
      </c>
      <c r="C128" s="19" t="s">
        <v>2373</v>
      </c>
      <c r="D128" s="19" t="s">
        <v>2447</v>
      </c>
      <c r="E128" s="19" t="s">
        <v>2572</v>
      </c>
      <c r="F128" s="19" t="s">
        <v>2700</v>
      </c>
      <c r="G128" s="21" t="s">
        <v>737</v>
      </c>
      <c r="H128" s="22">
        <f>VLOOKUP(A128,[1]RESUMEN!E:H,4,0)</f>
        <v>301</v>
      </c>
      <c r="I128" s="23">
        <v>650000</v>
      </c>
      <c r="J128" s="20">
        <v>0</v>
      </c>
      <c r="K128" s="9">
        <v>0</v>
      </c>
      <c r="L128" s="23">
        <v>4550</v>
      </c>
    </row>
    <row r="129" spans="1:12" x14ac:dyDescent="0.25">
      <c r="A129" s="18">
        <v>79715491</v>
      </c>
      <c r="B129" s="9">
        <v>1</v>
      </c>
      <c r="C129" s="19" t="s">
        <v>2374</v>
      </c>
      <c r="D129" s="19" t="s">
        <v>2448</v>
      </c>
      <c r="E129" s="19" t="s">
        <v>2573</v>
      </c>
      <c r="F129" s="19" t="s">
        <v>2701</v>
      </c>
      <c r="G129" s="21" t="s">
        <v>737</v>
      </c>
      <c r="H129" s="22">
        <f>VLOOKUP(A129,[1]RESUMEN!E:H,4,0)</f>
        <v>301</v>
      </c>
      <c r="I129" s="23">
        <v>168162761</v>
      </c>
      <c r="J129" s="20">
        <v>0</v>
      </c>
      <c r="K129" s="9">
        <v>0</v>
      </c>
      <c r="L129" s="23">
        <v>1657482</v>
      </c>
    </row>
    <row r="130" spans="1:12" x14ac:dyDescent="0.25">
      <c r="A130" s="18">
        <v>80048587</v>
      </c>
      <c r="B130" s="9">
        <v>1</v>
      </c>
      <c r="C130" s="19" t="s">
        <v>2375</v>
      </c>
      <c r="D130" s="19" t="s">
        <v>2449</v>
      </c>
      <c r="E130" s="19" t="s">
        <v>2574</v>
      </c>
      <c r="F130" s="19" t="s">
        <v>2702</v>
      </c>
      <c r="G130" s="21" t="s">
        <v>737</v>
      </c>
      <c r="H130" s="22">
        <f>VLOOKUP(A130,[1]RESUMEN!E:H,4,0)</f>
        <v>301</v>
      </c>
      <c r="I130" s="23">
        <v>2564333</v>
      </c>
      <c r="J130" s="20">
        <v>0</v>
      </c>
      <c r="K130" s="9">
        <v>0</v>
      </c>
      <c r="L130" s="23">
        <v>18042</v>
      </c>
    </row>
    <row r="131" spans="1:12" x14ac:dyDescent="0.25">
      <c r="A131" s="18">
        <v>80061408</v>
      </c>
      <c r="B131" s="9">
        <v>3</v>
      </c>
      <c r="C131" s="19" t="s">
        <v>2376</v>
      </c>
      <c r="D131" s="19" t="s">
        <v>2390</v>
      </c>
      <c r="E131" s="19" t="s">
        <v>2451</v>
      </c>
      <c r="F131" s="19" t="s">
        <v>2703</v>
      </c>
      <c r="G131" s="21" t="s">
        <v>422</v>
      </c>
      <c r="H131" s="22">
        <f>VLOOKUP(A131,[1]RESUMEN!E:H,4,0)</f>
        <v>301</v>
      </c>
      <c r="I131" s="23">
        <v>4923200</v>
      </c>
      <c r="J131" s="20">
        <v>0</v>
      </c>
      <c r="K131" s="9">
        <v>0</v>
      </c>
      <c r="L131" s="23">
        <v>35476</v>
      </c>
    </row>
    <row r="132" spans="1:12" x14ac:dyDescent="0.25">
      <c r="A132" s="18">
        <v>222222222</v>
      </c>
      <c r="C132" s="19" t="s">
        <v>2714</v>
      </c>
      <c r="D132" s="19" t="s">
        <v>2450</v>
      </c>
      <c r="E132" s="19" t="s">
        <v>2575</v>
      </c>
      <c r="F132" s="19" t="s">
        <v>2704</v>
      </c>
      <c r="G132" s="21" t="s">
        <v>737</v>
      </c>
      <c r="H132" s="22">
        <v>212</v>
      </c>
      <c r="I132" s="23">
        <v>726962519</v>
      </c>
      <c r="J132" s="20">
        <v>0</v>
      </c>
      <c r="K132" s="9">
        <v>0</v>
      </c>
      <c r="L132" s="23">
        <v>6542662</v>
      </c>
    </row>
    <row r="133" spans="1:12" x14ac:dyDescent="0.25">
      <c r="A133" s="18">
        <v>830003564</v>
      </c>
      <c r="B133" s="9">
        <v>7</v>
      </c>
      <c r="C133" s="19" t="s">
        <v>2377</v>
      </c>
      <c r="D133" s="19" t="s">
        <v>2405</v>
      </c>
      <c r="E133" s="19" t="s">
        <v>2576</v>
      </c>
      <c r="F133" s="19" t="s">
        <v>2705</v>
      </c>
      <c r="G133" s="21" t="s">
        <v>422</v>
      </c>
      <c r="H133" s="22">
        <f>VLOOKUP(A133,[1]RESUMEN!E:H,4,0)</f>
        <v>334</v>
      </c>
      <c r="I133" s="23">
        <v>2750000</v>
      </c>
      <c r="J133" s="20">
        <v>0</v>
      </c>
      <c r="K133" s="9">
        <v>0</v>
      </c>
      <c r="L133" s="23">
        <v>27500</v>
      </c>
    </row>
    <row r="134" spans="1:12" x14ac:dyDescent="0.25">
      <c r="A134" s="18">
        <v>860007738</v>
      </c>
      <c r="B134" s="9">
        <v>9</v>
      </c>
      <c r="C134" s="19" t="s">
        <v>2378</v>
      </c>
      <c r="D134" s="19" t="s">
        <v>2405</v>
      </c>
      <c r="E134" s="19" t="s">
        <v>2577</v>
      </c>
      <c r="F134" s="19" t="s">
        <v>2706</v>
      </c>
      <c r="G134" s="21" t="s">
        <v>737</v>
      </c>
      <c r="H134" s="22">
        <f>VLOOKUP(A134,[1]RESUMEN!E:H,4,0)</f>
        <v>402</v>
      </c>
      <c r="I134" s="23">
        <v>2932922</v>
      </c>
      <c r="J134" s="20">
        <v>0</v>
      </c>
      <c r="K134" s="9">
        <v>0</v>
      </c>
      <c r="L134" s="23">
        <v>14664</v>
      </c>
    </row>
    <row r="135" spans="1:12" x14ac:dyDescent="0.25">
      <c r="A135" s="18">
        <v>860066942</v>
      </c>
      <c r="B135" s="9">
        <v>7</v>
      </c>
      <c r="C135" s="19" t="s">
        <v>2379</v>
      </c>
      <c r="D135" s="19" t="s">
        <v>2451</v>
      </c>
      <c r="E135" s="19" t="s">
        <v>2451</v>
      </c>
      <c r="F135" s="19" t="s">
        <v>2451</v>
      </c>
      <c r="G135" s="21" t="s">
        <v>2451</v>
      </c>
      <c r="H135" s="22">
        <f>VLOOKUP(A135,[1]RESUMEN!E:H,4,0)</f>
        <v>334</v>
      </c>
      <c r="I135" s="23">
        <v>260000</v>
      </c>
      <c r="J135" s="20">
        <v>0</v>
      </c>
      <c r="K135" s="9">
        <v>0</v>
      </c>
      <c r="L135" s="23">
        <v>2600</v>
      </c>
    </row>
    <row r="136" spans="1:12" x14ac:dyDescent="0.25">
      <c r="A136" s="18">
        <v>890903407</v>
      </c>
      <c r="B136" s="9">
        <v>9</v>
      </c>
      <c r="C136" s="19" t="s">
        <v>2380</v>
      </c>
      <c r="D136" s="19" t="s">
        <v>2405</v>
      </c>
      <c r="E136" s="19" t="s">
        <v>2451</v>
      </c>
      <c r="F136" s="19" t="s">
        <v>2707</v>
      </c>
      <c r="G136" s="21" t="s">
        <v>538</v>
      </c>
      <c r="H136" s="22">
        <f>VLOOKUP(A136,[1]RESUMEN!E:H,4,0)</f>
        <v>334</v>
      </c>
      <c r="I136" s="23">
        <v>365517</v>
      </c>
      <c r="J136" s="20">
        <v>0</v>
      </c>
      <c r="K136" s="9">
        <v>0</v>
      </c>
      <c r="L136" s="23">
        <v>3655</v>
      </c>
    </row>
    <row r="137" spans="1:12" x14ac:dyDescent="0.25">
      <c r="A137" s="18">
        <v>890903938</v>
      </c>
      <c r="B137" s="9">
        <v>8</v>
      </c>
      <c r="C137" s="19" t="s">
        <v>2381</v>
      </c>
      <c r="D137" s="19" t="s">
        <v>2390</v>
      </c>
      <c r="E137" s="19" t="s">
        <v>2578</v>
      </c>
      <c r="F137" s="19" t="s">
        <v>2708</v>
      </c>
      <c r="G137" s="21" t="s">
        <v>737</v>
      </c>
      <c r="H137" s="22">
        <f>VLOOKUP(A137,[1]RESUMEN!E:H,4,0)</f>
        <v>402</v>
      </c>
      <c r="I137" s="23">
        <v>179957</v>
      </c>
      <c r="J137" s="20">
        <v>0</v>
      </c>
      <c r="K137" s="9">
        <v>0</v>
      </c>
      <c r="L137" s="23">
        <v>1525</v>
      </c>
    </row>
    <row r="138" spans="1:12" x14ac:dyDescent="0.25">
      <c r="A138" s="18">
        <v>900156264</v>
      </c>
      <c r="B138" s="9">
        <v>2</v>
      </c>
      <c r="C138" s="19" t="s">
        <v>2382</v>
      </c>
      <c r="D138" s="19" t="s">
        <v>2405</v>
      </c>
      <c r="E138" s="19" t="s">
        <v>2451</v>
      </c>
      <c r="F138" s="19" t="s">
        <v>2709</v>
      </c>
      <c r="G138" s="21" t="s">
        <v>422</v>
      </c>
      <c r="H138" s="22">
        <f>VLOOKUP(A138,[1]RESUMEN!E:H,4,0)</f>
        <v>334</v>
      </c>
      <c r="I138" s="23">
        <v>1039999</v>
      </c>
      <c r="J138" s="20">
        <v>0</v>
      </c>
      <c r="K138" s="9">
        <v>0</v>
      </c>
      <c r="L138" s="23">
        <v>10399</v>
      </c>
    </row>
    <row r="139" spans="1:12" ht="26.25" x14ac:dyDescent="0.25">
      <c r="A139" s="18">
        <v>900955903</v>
      </c>
      <c r="B139" s="9">
        <v>9</v>
      </c>
      <c r="C139" s="19" t="s">
        <v>2383</v>
      </c>
      <c r="D139" s="19" t="s">
        <v>2452</v>
      </c>
      <c r="E139" s="19" t="s">
        <v>2451</v>
      </c>
      <c r="F139" s="19" t="s">
        <v>2710</v>
      </c>
      <c r="G139" s="21" t="s">
        <v>538</v>
      </c>
      <c r="H139" s="22">
        <f>VLOOKUP(A139,[1]RESUMEN!E:H,4,0)</f>
        <v>334</v>
      </c>
      <c r="I139" s="23">
        <v>262806</v>
      </c>
      <c r="J139" s="20">
        <v>0</v>
      </c>
      <c r="K139" s="9">
        <v>0</v>
      </c>
      <c r="L139" s="23">
        <v>2628</v>
      </c>
    </row>
    <row r="140" spans="1:12" x14ac:dyDescent="0.25">
      <c r="A140" s="18">
        <v>901097473</v>
      </c>
      <c r="B140" s="9">
        <v>5</v>
      </c>
      <c r="C140" s="19" t="s">
        <v>2384</v>
      </c>
      <c r="D140" s="19" t="s">
        <v>2405</v>
      </c>
      <c r="E140" s="19" t="s">
        <v>2579</v>
      </c>
      <c r="F140" s="19" t="s">
        <v>2711</v>
      </c>
      <c r="G140" s="21" t="s">
        <v>422</v>
      </c>
      <c r="H140" s="22">
        <f>VLOOKUP(A140,[1]RESUMEN!E:H,4,0)</f>
        <v>334</v>
      </c>
      <c r="I140" s="23">
        <v>499995</v>
      </c>
      <c r="J140" s="20">
        <v>0</v>
      </c>
      <c r="K140" s="9">
        <v>0</v>
      </c>
      <c r="L140" s="23">
        <v>4999</v>
      </c>
    </row>
    <row r="141" spans="1:12" x14ac:dyDescent="0.25">
      <c r="A141" s="18">
        <v>901189656</v>
      </c>
      <c r="B141" s="9">
        <v>1</v>
      </c>
      <c r="C141" s="19" t="s">
        <v>2385</v>
      </c>
      <c r="D141" s="19" t="s">
        <v>2453</v>
      </c>
      <c r="E141" s="19" t="s">
        <v>2580</v>
      </c>
      <c r="F141" s="19" t="s">
        <v>2712</v>
      </c>
      <c r="G141" s="21" t="s">
        <v>737</v>
      </c>
      <c r="H141" s="22">
        <f>VLOOKUP(A141,[1]RESUMEN!E:H,4,0)</f>
        <v>334</v>
      </c>
      <c r="I141" s="23">
        <v>336134</v>
      </c>
      <c r="J141" s="20">
        <v>0</v>
      </c>
      <c r="K141" s="9">
        <v>0</v>
      </c>
      <c r="L141" s="23">
        <v>2352</v>
      </c>
    </row>
    <row r="142" spans="1:12" x14ac:dyDescent="0.25">
      <c r="A142" s="18">
        <v>901580341</v>
      </c>
      <c r="B142" s="9">
        <v>2</v>
      </c>
      <c r="C142" s="19" t="s">
        <v>2386</v>
      </c>
      <c r="D142" s="19" t="s">
        <v>2454</v>
      </c>
      <c r="E142" s="19" t="s">
        <v>2581</v>
      </c>
      <c r="F142" s="19" t="s">
        <v>2713</v>
      </c>
      <c r="G142" s="21" t="s">
        <v>422</v>
      </c>
      <c r="H142" s="22">
        <f>VLOOKUP(A142,[1]RESUMEN!E:H,4,0)</f>
        <v>334</v>
      </c>
      <c r="I142" s="23">
        <v>168067</v>
      </c>
      <c r="J142" s="20">
        <v>0</v>
      </c>
      <c r="K142" s="9">
        <v>0</v>
      </c>
      <c r="L142" s="23">
        <v>1176</v>
      </c>
    </row>
    <row r="143" spans="1:12" x14ac:dyDescent="0.25">
      <c r="A143" s="18">
        <v>222222222</v>
      </c>
      <c r="C143" s="19" t="s">
        <v>2714</v>
      </c>
      <c r="D143" s="19" t="s">
        <v>2450</v>
      </c>
      <c r="E143" s="19" t="s">
        <v>2575</v>
      </c>
      <c r="F143" s="19" t="s">
        <v>2704</v>
      </c>
      <c r="G143" s="21" t="s">
        <v>737</v>
      </c>
      <c r="H143" s="22">
        <v>301</v>
      </c>
      <c r="I143" s="23">
        <v>42096489</v>
      </c>
      <c r="J143" s="20">
        <v>0</v>
      </c>
      <c r="K143" s="9">
        <v>0</v>
      </c>
      <c r="L143" s="23">
        <v>294675</v>
      </c>
    </row>
    <row r="144" spans="1:12" x14ac:dyDescent="0.25">
      <c r="A144" s="18">
        <v>222222222</v>
      </c>
      <c r="C144" s="19" t="s">
        <v>2714</v>
      </c>
      <c r="D144" s="19" t="s">
        <v>2450</v>
      </c>
      <c r="E144" s="19" t="s">
        <v>2575</v>
      </c>
      <c r="F144" s="19" t="s">
        <v>2704</v>
      </c>
      <c r="G144" s="21" t="s">
        <v>737</v>
      </c>
      <c r="H144" s="22">
        <v>334</v>
      </c>
      <c r="I144" s="23">
        <v>12489215</v>
      </c>
      <c r="J144" s="20">
        <v>0</v>
      </c>
      <c r="K144" s="9">
        <v>0</v>
      </c>
      <c r="L144" s="23">
        <v>122892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opLeftCell="A52"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LUZ MARINA AVELLA AVELLA</cp:lastModifiedBy>
  <dcterms:created xsi:type="dcterms:W3CDTF">2015-06-05T18:19:34Z</dcterms:created>
  <dcterms:modified xsi:type="dcterms:W3CDTF">2025-08-29T19:01:21Z</dcterms:modified>
</cp:coreProperties>
</file>