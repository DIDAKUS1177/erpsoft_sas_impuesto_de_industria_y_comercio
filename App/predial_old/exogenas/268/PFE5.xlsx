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D\DOS\EMPRESAS\RESTAURANTE EL COMERCIO 2024\EXOGENA\PAIPA\"/>
    </mc:Choice>
  </mc:AlternateContent>
  <bookViews>
    <workbookView xWindow="0" yWindow="0" windowWidth="19200" windowHeight="11295" tabRatio="601"/>
  </bookViews>
  <sheets>
    <sheet name="PFE5" sheetId="1" r:id="rId1"/>
    <sheet name="Actividades" sheetId="2" r:id="rId2"/>
    <sheet name="Municipios" sheetId="3" r:id="rId3"/>
  </sheets>
  <externalReferences>
    <externalReference r:id="rId4"/>
    <externalReference r:id="rId5"/>
  </externalReference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" i="1" l="1"/>
  <c r="I38" i="1"/>
  <c r="I37" i="1"/>
  <c r="I36" i="1"/>
  <c r="I34" i="1"/>
</calcChain>
</file>

<file path=xl/sharedStrings.xml><?xml version="1.0" encoding="utf-8"?>
<sst xmlns="http://schemas.openxmlformats.org/spreadsheetml/2006/main" count="2436" uniqueCount="2319">
  <si>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</si>
  <si>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</si>
  <si>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</si>
  <si>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</si>
  <si>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</si>
  <si>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</si>
  <si>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</si>
  <si>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</si>
  <si>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</si>
  <si>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</si>
  <si>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</si>
  <si>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</si>
  <si>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</si>
  <si>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</si>
  <si>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</si>
  <si>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</si>
  <si>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</si>
  <si>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</si>
  <si>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</si>
  <si>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</si>
  <si>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</si>
  <si>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</si>
  <si>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</si>
  <si>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</si>
  <si>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</si>
  <si>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</si>
  <si>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</si>
  <si>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</si>
  <si>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</si>
  <si>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</si>
  <si>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</si>
  <si>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</si>
  <si>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</si>
  <si>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</si>
  <si>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</si>
  <si>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</si>
  <si>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</si>
  <si>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</si>
  <si>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</si>
  <si>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</si>
  <si>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</si>
  <si>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</si>
  <si>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</si>
  <si>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</si>
  <si>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</si>
  <si>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</si>
  <si>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</si>
  <si>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</si>
  <si>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</si>
  <si>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</si>
  <si>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</si>
  <si>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</si>
  <si>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</si>
  <si>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</si>
  <si>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</si>
  <si>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</si>
  <si>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</si>
  <si>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</si>
  <si>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</si>
  <si>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</si>
  <si>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</si>
  <si>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</si>
  <si>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</si>
  <si>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</si>
  <si>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</si>
  <si>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</si>
  <si>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</si>
  <si>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</si>
  <si>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</si>
  <si>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</si>
  <si>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</si>
  <si>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</si>
  <si>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</si>
  <si>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</si>
  <si>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</si>
  <si>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</si>
  <si>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</si>
  <si>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</si>
  <si>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</si>
  <si>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</si>
  <si>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</si>
  <si>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</si>
  <si>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</si>
  <si>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</si>
  <si>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</si>
  <si>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</si>
  <si>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</si>
  <si>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</si>
  <si>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</si>
  <si>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</si>
  <si>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</si>
  <si>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</si>
  <si>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</si>
  <si>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</si>
  <si>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</si>
  <si>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</si>
  <si>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</si>
  <si>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</si>
  <si>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</si>
  <si>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</si>
  <si>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</si>
  <si>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</si>
  <si>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</si>
  <si>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</si>
  <si>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</si>
  <si>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</si>
  <si>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</si>
  <si>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</si>
  <si>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</si>
  <si>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</si>
  <si>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</si>
  <si>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</si>
  <si>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</si>
  <si>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</si>
  <si>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</si>
  <si>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</si>
  <si>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</si>
  <si>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</si>
  <si>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</si>
  <si>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</si>
  <si>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</si>
  <si>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</si>
  <si>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</si>
  <si>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</si>
  <si>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</si>
  <si>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</si>
  <si>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</si>
  <si>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</si>
  <si>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</si>
  <si>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</si>
  <si>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</si>
  <si>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</si>
  <si>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</si>
  <si>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</si>
  <si>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</si>
  <si>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</si>
  <si>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</si>
  <si>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</si>
  <si>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</si>
  <si>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</si>
  <si>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</si>
  <si>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</si>
  <si>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</si>
  <si>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</si>
  <si>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</si>
  <si>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</si>
  <si>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</si>
  <si>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</si>
  <si>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</si>
  <si>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</si>
  <si>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</si>
  <si>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</si>
  <si>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</si>
  <si>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</si>
  <si>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</si>
  <si>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</si>
  <si>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</si>
  <si>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</si>
  <si>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</si>
  <si>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</si>
  <si>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</si>
  <si>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</si>
  <si>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</si>
  <si>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</si>
  <si>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</si>
  <si>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</si>
  <si>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</si>
  <si>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</si>
  <si>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</si>
  <si>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</si>
  <si>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</si>
  <si>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</si>
  <si>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</si>
  <si>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</si>
  <si>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</si>
  <si>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</si>
  <si>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</si>
  <si>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</si>
  <si>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</si>
  <si>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</si>
  <si>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</si>
  <si>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</si>
  <si>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</si>
  <si>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</si>
  <si>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</si>
  <si>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</si>
  <si>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</si>
  <si>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</si>
  <si>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</si>
  <si>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</si>
  <si>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</si>
  <si>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</si>
  <si>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</si>
  <si>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</si>
  <si>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</si>
  <si>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</si>
  <si>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</si>
  <si>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</si>
  <si>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</si>
  <si>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</si>
  <si>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</si>
  <si>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</si>
  <si>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</si>
  <si>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</si>
  <si>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</si>
  <si>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</si>
  <si>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</si>
  <si>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</si>
  <si>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</si>
  <si>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</si>
  <si>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</si>
  <si>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</si>
  <si>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</si>
  <si>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</si>
  <si>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</si>
  <si>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</si>
  <si>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</si>
  <si>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</si>
  <si>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</si>
  <si>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</si>
  <si>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</si>
  <si>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</si>
  <si>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</si>
  <si>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</si>
  <si>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</si>
  <si>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</si>
  <si>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</si>
  <si>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</si>
  <si>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</si>
  <si>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</si>
  <si>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</si>
  <si>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</si>
  <si>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</si>
  <si>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</si>
  <si>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</si>
  <si>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</si>
  <si>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</si>
  <si>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</si>
  <si>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</si>
  <si>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</si>
  <si>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</si>
  <si>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</si>
  <si>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</si>
  <si>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</si>
  <si>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</si>
  <si>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</si>
  <si>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</si>
  <si>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</si>
  <si>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</si>
  <si>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</si>
  <si>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</si>
  <si>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</si>
  <si>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</si>
  <si>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</si>
  <si>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</si>
  <si>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</si>
  <si>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</si>
  <si>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</si>
  <si>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</si>
  <si>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</si>
  <si>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</si>
  <si>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</si>
  <si>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</si>
  <si>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</si>
  <si>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</si>
  <si>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</si>
  <si>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</si>
  <si>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</si>
  <si>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</si>
  <si>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</si>
  <si>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</si>
  <si>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</si>
  <si>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</si>
  <si>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</si>
  <si>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</si>
  <si>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</si>
  <si>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</si>
  <si>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</si>
  <si>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</si>
  <si>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</si>
  <si>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</si>
  <si>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</si>
  <si>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</si>
  <si>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</si>
  <si>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</si>
  <si>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</si>
  <si>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</si>
  <si>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</si>
  <si>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</si>
  <si>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</si>
  <si>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</si>
  <si>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</si>
  <si>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</si>
  <si>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</si>
  <si>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</si>
  <si>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</si>
  <si>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</si>
  <si>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</si>
  <si>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</si>
  <si>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</si>
  <si>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</si>
  <si>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</si>
  <si>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</si>
  <si>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</si>
  <si>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</si>
  <si>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</si>
  <si>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</si>
  <si>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</si>
  <si>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</si>
  <si>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</si>
  <si>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</si>
  <si>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</si>
  <si>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</si>
  <si>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</si>
  <si>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</si>
  <si>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</si>
  <si>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</si>
  <si>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</si>
  <si>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</si>
  <si>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</si>
  <si>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</si>
  <si>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</si>
  <si>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</si>
  <si>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</si>
  <si>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</si>
  <si>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</si>
  <si>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</si>
  <si>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</si>
  <si>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</si>
  <si>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</si>
  <si>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</si>
  <si>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</si>
  <si>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</si>
  <si>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</si>
  <si>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</si>
  <si>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</si>
  <si>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</si>
  <si>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</si>
  <si>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</si>
  <si>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</si>
  <si>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</si>
  <si>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</si>
  <si>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</si>
  <si>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</si>
  <si>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</si>
  <si>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</si>
  <si>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</si>
  <si>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</si>
  <si>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</si>
  <si>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</si>
  <si>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</si>
  <si>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</si>
  <si>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</si>
  <si>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</si>
  <si>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</si>
  <si>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</si>
  <si>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</si>
  <si>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</si>
  <si>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</si>
  <si>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</si>
  <si>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</si>
  <si>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</si>
  <si>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</si>
  <si>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</si>
  <si>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</si>
  <si>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</si>
  <si>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</si>
  <si>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</si>
  <si>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</si>
  <si>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</si>
  <si>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</si>
  <si>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</si>
  <si>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</si>
  <si>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</si>
  <si>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</si>
  <si>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</si>
  <si>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</si>
  <si>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</si>
  <si>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</si>
  <si>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</si>
  <si>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</si>
  <si>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</si>
  <si>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</si>
  <si>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</si>
  <si>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</si>
  <si>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</si>
  <si>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</si>
  <si>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</si>
  <si>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</si>
  <si>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</si>
  <si>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</si>
  <si>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</si>
  <si>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</si>
  <si>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</si>
  <si>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</si>
  <si>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</si>
  <si>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</si>
  <si>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</si>
  <si>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</si>
  <si>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</si>
  <si>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</si>
  <si>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</si>
  <si>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</si>
  <si>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</si>
  <si>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</si>
  <si>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</si>
  <si>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</si>
  <si>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</si>
  <si>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</si>
  <si>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</si>
  <si>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</si>
  <si>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</si>
  <si>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</si>
  <si>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</si>
  <si>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</si>
  <si>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</si>
  <si>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</si>
  <si>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</si>
  <si>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</si>
  <si>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</si>
  <si>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</si>
  <si>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</si>
  <si>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</si>
  <si>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</si>
  <si>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</si>
  <si>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</si>
  <si>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</si>
  <si>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</si>
  <si>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</si>
  <si>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</si>
  <si>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</si>
  <si>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</si>
  <si>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</si>
  <si>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</si>
  <si>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</si>
  <si>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</si>
  <si>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</si>
  <si>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</si>
  <si>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</si>
  <si>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</si>
  <si>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</si>
  <si>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</si>
  <si>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</si>
  <si>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</si>
  <si>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</si>
  <si>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</si>
  <si>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</si>
  <si>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</si>
  <si>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</si>
  <si>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</si>
  <si>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</si>
  <si>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</si>
  <si>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</si>
  <si>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</si>
  <si>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</si>
  <si>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</si>
  <si>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</si>
  <si>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</si>
  <si>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</si>
  <si>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</si>
  <si>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</si>
  <si>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</si>
  <si>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</si>
  <si>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</si>
  <si>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</si>
  <si>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</si>
  <si>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</si>
  <si>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</si>
  <si>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</si>
  <si>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</si>
  <si>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</si>
  <si>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</si>
  <si>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</si>
  <si>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</si>
  <si>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</si>
  <si>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</si>
  <si>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</si>
  <si>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</si>
  <si>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</si>
  <si>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</si>
  <si>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</si>
  <si>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</si>
  <si>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</si>
  <si>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</si>
  <si>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</si>
  <si>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</si>
  <si>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</si>
  <si>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</si>
  <si>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</si>
  <si>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</si>
  <si>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</si>
  <si>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</si>
  <si>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</si>
  <si>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</si>
  <si>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</si>
  <si>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</si>
  <si>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</si>
  <si>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</si>
  <si>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</si>
  <si>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</si>
  <si>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</si>
  <si>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</si>
  <si>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</si>
  <si>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</si>
  <si>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</si>
  <si>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</si>
  <si>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</si>
  <si>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</si>
  <si>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</si>
  <si>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</si>
  <si>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</si>
  <si>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</si>
  <si>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</si>
  <si>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</si>
  <si>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</si>
  <si>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</si>
  <si>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</si>
  <si>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</si>
  <si>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</si>
  <si>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</si>
  <si>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</si>
  <si>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</si>
  <si>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</si>
  <si>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</si>
  <si>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</si>
  <si>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</si>
  <si>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</si>
  <si>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</si>
  <si>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</si>
  <si>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</si>
  <si>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</si>
  <si>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</si>
  <si>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</si>
  <si>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</si>
  <si>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</si>
  <si>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</si>
  <si>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</si>
  <si>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</si>
  <si>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</si>
  <si>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</si>
  <si>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</si>
  <si>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</si>
  <si>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</si>
  <si>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</si>
  <si>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</si>
  <si>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</si>
  <si>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</si>
  <si>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</si>
  <si>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</si>
  <si>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</si>
  <si>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</si>
  <si>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</si>
  <si>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</si>
  <si>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</si>
  <si>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</si>
  <si>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</si>
  <si>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</si>
  <si>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</si>
  <si>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</si>
  <si>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</si>
  <si>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</si>
  <si>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</si>
  <si>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</si>
  <si>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</si>
  <si>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</si>
  <si>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</si>
  <si>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</si>
  <si>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</si>
  <si>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</si>
  <si>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</si>
  <si>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</si>
  <si>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</si>
  <si>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</si>
  <si>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</si>
  <si>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</si>
  <si>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</si>
  <si>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</si>
  <si>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</si>
  <si>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</si>
  <si>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</si>
  <si>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</si>
  <si>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</si>
  <si>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</si>
  <si>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</si>
  <si>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</si>
  <si>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</si>
  <si>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</si>
  <si>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</si>
  <si>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</si>
  <si>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</si>
  <si>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</si>
  <si>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</si>
  <si>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</si>
  <si>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</si>
  <si>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</si>
  <si>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</si>
  <si>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</si>
  <si>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</si>
  <si>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</si>
  <si>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</si>
  <si>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</si>
  <si>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</si>
  <si>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</si>
  <si>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</si>
  <si>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</si>
  <si>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</si>
  <si>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</si>
  <si>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</si>
  <si>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</si>
  <si>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</si>
  <si>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</si>
  <si>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</si>
  <si>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</si>
  <si>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</si>
  <si>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</si>
  <si>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</si>
  <si>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</si>
  <si>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</si>
  <si>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</si>
  <si>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</si>
  <si>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</si>
  <si>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</si>
  <si>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</si>
  <si>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</si>
  <si>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</si>
  <si>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</si>
  <si>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</si>
  <si>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</si>
  <si>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</si>
  <si>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</si>
  <si>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</si>
  <si>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</si>
  <si>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</si>
  <si>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</si>
  <si>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</si>
  <si>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</si>
  <si>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</si>
  <si>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</si>
  <si>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</si>
  <si>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</si>
  <si>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</si>
  <si>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</si>
  <si>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</si>
  <si>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</si>
  <si>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</si>
  <si>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</si>
  <si>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</si>
  <si>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</si>
  <si>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</si>
  <si>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</si>
  <si>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</si>
  <si>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</si>
  <si>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</si>
  <si>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</si>
  <si>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</si>
  <si>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</si>
  <si>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</si>
  <si>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</si>
  <si>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</si>
  <si>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</si>
  <si>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</si>
  <si>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</si>
  <si>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</si>
  <si>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</si>
  <si>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</si>
  <si>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</si>
  <si>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</si>
  <si>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</si>
  <si>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</si>
  <si>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</si>
  <si>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</si>
  <si>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</si>
  <si>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</si>
  <si>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</si>
  <si>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</si>
  <si>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</si>
  <si>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</si>
  <si>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</si>
  <si>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</si>
  <si>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</si>
  <si>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</si>
  <si>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</si>
  <si>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</si>
  <si>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</si>
  <si>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</si>
  <si>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</si>
  <si>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</si>
  <si>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</si>
  <si>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</si>
  <si>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</si>
  <si>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</si>
  <si>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</si>
  <si>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</si>
  <si>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</si>
  <si>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</si>
  <si>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</si>
  <si>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</si>
  <si>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</si>
  <si>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</si>
  <si>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</si>
  <si>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</si>
  <si>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</si>
  <si>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</si>
  <si>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</si>
  <si>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</si>
  <si>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</si>
  <si>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</si>
  <si>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</si>
  <si>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</si>
  <si>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</si>
  <si>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</si>
  <si>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</si>
  <si>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</si>
  <si>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</si>
  <si>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</si>
  <si>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</si>
  <si>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</si>
  <si>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</si>
  <si>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</si>
  <si>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</si>
  <si>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</si>
  <si>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</si>
  <si>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</si>
  <si>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</si>
  <si>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</si>
  <si>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</si>
  <si>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</si>
  <si>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</si>
  <si>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</si>
  <si>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</si>
  <si>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</si>
  <si>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</si>
  <si>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</si>
  <si>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</si>
  <si>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</si>
  <si>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</si>
  <si>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</si>
  <si>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</si>
  <si>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</si>
  <si>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</si>
  <si>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</si>
  <si>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</si>
  <si>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</si>
  <si>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</si>
  <si>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</si>
  <si>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</si>
  <si>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</si>
  <si>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</si>
  <si>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</si>
  <si>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</si>
  <si>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</si>
  <si>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</si>
  <si>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</si>
  <si>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</si>
  <si>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</si>
  <si>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</si>
  <si>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</si>
  <si>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</si>
  <si>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</si>
  <si>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</si>
  <si>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</si>
  <si>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</si>
  <si>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</si>
  <si>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</si>
  <si>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</si>
  <si>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</si>
  <si>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</si>
  <si>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</si>
  <si>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</si>
  <si>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</si>
  <si>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</si>
  <si>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</si>
  <si>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</si>
  <si>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</si>
  <si>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</si>
  <si>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</si>
  <si>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</si>
  <si>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</si>
  <si>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</si>
  <si>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</si>
  <si>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</si>
  <si>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</si>
  <si>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</si>
  <si>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</si>
  <si>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</si>
  <si>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</si>
  <si>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</si>
  <si>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</si>
  <si>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</si>
  <si>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</si>
  <si>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</si>
  <si>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</si>
  <si>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</si>
  <si>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</si>
  <si>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</si>
  <si>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</si>
  <si>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</si>
  <si>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</si>
  <si>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</si>
  <si>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</si>
  <si>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</si>
  <si>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</si>
  <si>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</si>
  <si>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</si>
  <si>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</si>
  <si>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</si>
  <si>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</si>
  <si>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</si>
  <si>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</si>
  <si>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</si>
  <si>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</si>
  <si>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</si>
  <si>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</si>
  <si>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</si>
  <si>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</si>
  <si>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</si>
  <si>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</si>
  <si>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</si>
  <si>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</si>
  <si>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</si>
  <si>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</si>
  <si>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</si>
  <si>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</si>
  <si>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</si>
  <si>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</si>
  <si>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</si>
  <si>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</si>
  <si>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</si>
  <si>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</si>
  <si>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</si>
  <si>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</si>
  <si>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</si>
  <si>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</si>
  <si>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</si>
  <si>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</si>
  <si>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</si>
  <si>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</si>
  <si>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</si>
  <si>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</si>
  <si>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</si>
  <si>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</si>
  <si>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</si>
  <si>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</si>
  <si>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</si>
  <si>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</si>
  <si>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</si>
  <si>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</si>
  <si>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</si>
  <si>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</si>
  <si>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</si>
  <si>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</si>
  <si>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</si>
  <si>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</si>
  <si>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</si>
  <si>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</si>
  <si>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</si>
  <si>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</si>
  <si>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</si>
  <si>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</si>
  <si>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</si>
  <si>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</si>
  <si>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</si>
  <si>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</si>
  <si>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</si>
  <si>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</si>
  <si>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</si>
  <si>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</si>
  <si>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</si>
  <si>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</si>
  <si>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</si>
  <si>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</si>
  <si>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</si>
  <si>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</si>
  <si>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</si>
  <si>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</si>
  <si>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</si>
  <si>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</si>
  <si>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</si>
  <si>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</si>
  <si>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</si>
  <si>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</si>
  <si>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</si>
  <si>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</si>
  <si>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</si>
  <si>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</si>
  <si>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</si>
  <si>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</si>
  <si>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</si>
  <si>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</si>
  <si>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</si>
  <si>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</si>
  <si>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</si>
  <si>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</si>
  <si>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</si>
  <si>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</si>
  <si>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</si>
  <si>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</si>
  <si>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</si>
  <si>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</si>
  <si>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</si>
  <si>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</si>
  <si>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</si>
  <si>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</si>
  <si>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</si>
  <si>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</si>
  <si>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</si>
  <si>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</si>
  <si>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</si>
  <si>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</si>
  <si>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</si>
  <si>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</si>
  <si>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</si>
  <si>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</si>
  <si>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</si>
  <si>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</si>
  <si>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</si>
  <si>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</si>
  <si>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</si>
  <si>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</si>
  <si>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</si>
  <si>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</si>
  <si>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</si>
  <si>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</si>
  <si>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</si>
  <si>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</si>
  <si>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</si>
  <si>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</si>
  <si>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</si>
  <si>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</si>
  <si>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</si>
  <si>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</si>
  <si>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</si>
  <si>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</si>
  <si>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</si>
  <si>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</si>
  <si>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</si>
  <si>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</si>
  <si>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</si>
  <si>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</si>
  <si>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</si>
  <si>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</si>
  <si>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</si>
  <si>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</si>
  <si>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</si>
  <si>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</si>
  <si>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</si>
  <si>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</si>
  <si>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</si>
  <si>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</si>
  <si>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</si>
  <si>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</si>
  <si>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</si>
  <si>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</si>
  <si>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</si>
  <si>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</si>
  <si>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</si>
  <si>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</si>
  <si>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</si>
  <si>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</si>
  <si>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</si>
  <si>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</si>
  <si>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</si>
  <si>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</si>
  <si>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</si>
  <si>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</si>
  <si>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</si>
  <si>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</si>
  <si>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</si>
  <si>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</si>
  <si>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</si>
  <si>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</si>
  <si>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</si>
  <si>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</si>
  <si>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</si>
  <si>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</si>
  <si>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</si>
  <si>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</si>
  <si>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</si>
  <si>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</si>
  <si>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</si>
  <si>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</si>
  <si>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</si>
  <si>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</si>
  <si>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</si>
  <si>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</si>
  <si>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</si>
  <si>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</si>
  <si>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</si>
  <si>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</si>
  <si>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</si>
  <si>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</si>
  <si>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</si>
  <si>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</si>
  <si>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</si>
  <si>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</si>
  <si>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</si>
  <si>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</si>
  <si>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</si>
  <si>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</si>
  <si>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</si>
  <si>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</si>
  <si>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</si>
  <si>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</si>
  <si>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</si>
  <si>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</si>
  <si>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</si>
  <si>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</si>
  <si>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</si>
  <si>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</si>
  <si>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</si>
  <si>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</si>
  <si>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</si>
  <si>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</si>
  <si>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</si>
  <si>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</si>
  <si>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</si>
  <si>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</si>
  <si>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</si>
  <si>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</si>
  <si>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</si>
  <si>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</si>
  <si>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</si>
  <si>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</si>
  <si>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</si>
  <si>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</si>
  <si>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</si>
  <si>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</si>
  <si>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</si>
  <si>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</si>
  <si>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</si>
  <si>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</si>
  <si>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</si>
  <si>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</si>
  <si>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</si>
  <si>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</si>
  <si>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</si>
  <si>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</si>
  <si>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</si>
  <si>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</si>
  <si>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</si>
  <si>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</si>
  <si>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</si>
  <si>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</si>
  <si>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</si>
  <si>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</si>
  <si>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</si>
  <si>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</si>
  <si>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</si>
  <si>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</si>
  <si>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</si>
  <si>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</si>
  <si>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</si>
  <si>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</si>
  <si>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</si>
  <si>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</si>
  <si>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</si>
  <si>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</si>
  <si>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</si>
  <si>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</si>
  <si>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</si>
  <si>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</si>
  <si>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</si>
  <si>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</si>
  <si>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</si>
  <si>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</si>
  <si>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</si>
  <si>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</si>
  <si>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</si>
  <si>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</si>
  <si>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</si>
  <si>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</si>
  <si>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</si>
  <si>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</si>
  <si>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</si>
  <si>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</si>
  <si>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</si>
  <si>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</si>
  <si>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</si>
  <si>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</si>
  <si>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</si>
  <si>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</si>
  <si>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</si>
  <si>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</si>
  <si>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</si>
  <si>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</si>
  <si>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</si>
  <si>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</si>
  <si>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</si>
  <si>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</si>
  <si>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</si>
  <si>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</si>
  <si>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</si>
  <si>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</si>
  <si>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</si>
  <si>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</si>
  <si>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</si>
  <si>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</si>
  <si>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</si>
  <si>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</si>
  <si>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</si>
  <si>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</si>
  <si>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</si>
  <si>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</si>
  <si>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</si>
  <si>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</si>
  <si>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</si>
  <si>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</si>
  <si>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</si>
  <si>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</si>
  <si>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</si>
  <si>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</si>
  <si>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</si>
  <si>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</si>
  <si>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</si>
  <si>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</si>
  <si>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</si>
  <si>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</si>
  <si>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</si>
  <si>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</si>
  <si>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</si>
  <si>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</si>
  <si>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</si>
  <si>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</si>
  <si>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</si>
  <si>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</si>
  <si>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</si>
  <si>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</si>
  <si>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</si>
  <si>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</si>
  <si>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</si>
  <si>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</si>
  <si>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</si>
  <si>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</si>
  <si>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</si>
  <si>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</si>
  <si>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</si>
  <si>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</si>
  <si>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</si>
  <si>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</si>
  <si>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</si>
  <si>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</si>
  <si>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</si>
  <si>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</si>
  <si>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</si>
  <si>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</si>
  <si>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</si>
  <si>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</si>
  <si>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</si>
  <si>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</si>
  <si>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</si>
  <si>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</si>
  <si>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</si>
  <si>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</si>
  <si>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</si>
  <si>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</si>
  <si>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</si>
  <si>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</si>
  <si>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</si>
  <si>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</si>
  <si>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</si>
  <si>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</si>
  <si>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</si>
  <si>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</si>
  <si>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</si>
  <si>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</si>
  <si>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</si>
  <si>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</si>
  <si>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</si>
  <si>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</si>
  <si>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</si>
  <si>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</si>
  <si>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</si>
  <si>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</si>
  <si>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</si>
  <si>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</si>
  <si>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</si>
  <si>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</si>
  <si>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</si>
  <si>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</si>
  <si>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</si>
  <si>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</si>
  <si>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</si>
  <si>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</si>
  <si>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</si>
  <si>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</si>
  <si>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</si>
  <si>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</si>
  <si>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</si>
  <si>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</si>
  <si>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</si>
  <si>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</si>
  <si>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</si>
  <si>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</si>
  <si>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</si>
  <si>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</si>
  <si>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</si>
  <si>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</si>
  <si>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</si>
  <si>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</si>
  <si>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</si>
  <si>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</si>
  <si>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</si>
  <si>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</si>
  <si>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</si>
  <si>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</si>
  <si>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</si>
  <si>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</si>
  <si>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</si>
  <si>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</si>
  <si>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</si>
  <si>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</si>
  <si>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</si>
  <si>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</si>
  <si>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</si>
  <si>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</si>
  <si>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</si>
  <si>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</si>
  <si>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</si>
  <si>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</si>
  <si>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</si>
  <si>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</si>
  <si>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</si>
  <si>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</si>
  <si>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</si>
  <si>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</si>
  <si>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</si>
  <si>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</si>
  <si>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</si>
  <si>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</si>
  <si>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</si>
  <si>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</si>
  <si>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</si>
  <si>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</si>
  <si>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</si>
  <si>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</si>
  <si>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</si>
  <si>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</si>
  <si>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</si>
  <si>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</si>
  <si>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</si>
  <si>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</si>
  <si>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</si>
  <si>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</si>
  <si>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</si>
  <si>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</si>
  <si>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</si>
  <si>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</si>
  <si>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</si>
  <si>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</si>
  <si>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</si>
  <si>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</si>
  <si>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</si>
  <si>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</si>
  <si>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</si>
  <si>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</si>
  <si>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</si>
  <si>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</si>
  <si>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</si>
  <si>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</si>
  <si>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</si>
  <si>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</si>
  <si>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</si>
  <si>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</si>
  <si>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</si>
  <si>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</si>
  <si>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</si>
  <si>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</si>
  <si>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</si>
  <si>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</si>
  <si>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</si>
  <si>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</si>
  <si>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</si>
  <si>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</si>
  <si>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</si>
  <si>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</si>
  <si>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</si>
  <si>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</si>
  <si>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</si>
  <si>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</si>
  <si>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</si>
  <si>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</si>
  <si>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</si>
  <si>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</si>
  <si>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</si>
  <si>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</si>
  <si>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</si>
  <si>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</si>
  <si>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</si>
  <si>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</si>
  <si>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</si>
  <si>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</si>
  <si>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</si>
  <si>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</si>
  <si>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</si>
  <si>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</si>
  <si>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</si>
  <si>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</si>
  <si>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</si>
  <si>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</si>
  <si>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</si>
  <si>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</si>
  <si>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</si>
  <si>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</si>
  <si>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</si>
  <si>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</si>
  <si>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</si>
  <si>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</si>
  <si>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</si>
  <si>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</si>
  <si>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</si>
  <si>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</si>
  <si>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</si>
  <si>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</si>
  <si>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</si>
  <si>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</si>
  <si>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</si>
  <si>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</si>
  <si>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</si>
  <si>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</si>
  <si>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</si>
  <si>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</si>
  <si>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</si>
  <si>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</si>
  <si>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</si>
  <si>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</si>
  <si>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</si>
  <si>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</si>
  <si>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</si>
  <si>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</si>
  <si>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</si>
  <si>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</si>
  <si>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</si>
  <si>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</si>
  <si>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</si>
  <si>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</si>
  <si>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</si>
  <si>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</si>
  <si>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</si>
  <si>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</si>
  <si>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</si>
  <si>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</si>
  <si>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</si>
  <si>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</si>
  <si>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</si>
  <si>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</si>
  <si>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</si>
  <si>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</si>
  <si>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</si>
  <si>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</si>
  <si>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</si>
  <si>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</si>
  <si>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</si>
  <si>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</si>
  <si>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</si>
  <si>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</si>
  <si>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</si>
  <si>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</si>
  <si>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</si>
  <si>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</si>
  <si>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</si>
  <si>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</si>
  <si>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</si>
  <si>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</si>
  <si>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</si>
  <si>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</si>
  <si>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</si>
  <si>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</si>
  <si>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</si>
  <si>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</si>
  <si>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</si>
  <si>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</si>
  <si>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</si>
  <si>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</si>
  <si>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</si>
  <si>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</si>
  <si>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</si>
  <si>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</si>
  <si>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</si>
  <si>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</si>
  <si>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</si>
  <si>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</si>
  <si>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</si>
  <si>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</si>
  <si>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</si>
  <si>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</si>
  <si>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</si>
  <si>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</si>
  <si>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</si>
  <si>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</si>
  <si>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</si>
  <si>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</si>
  <si>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</si>
  <si>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</si>
  <si>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</si>
  <si>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</si>
  <si>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</si>
  <si>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</si>
  <si>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</si>
  <si>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</si>
  <si>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</si>
  <si>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</si>
  <si>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</si>
  <si>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</si>
  <si>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</si>
  <si>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</si>
  <si>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</si>
  <si>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</si>
  <si>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</si>
  <si>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</si>
  <si>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</si>
  <si>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</si>
  <si>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</si>
  <si>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</si>
  <si>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</si>
  <si>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</si>
  <si>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</si>
  <si>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</si>
  <si>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</si>
  <si>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</si>
  <si>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</si>
  <si>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</si>
  <si>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</si>
  <si>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</si>
  <si>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</si>
  <si>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</si>
  <si>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</si>
  <si>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</si>
  <si>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</si>
  <si>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</si>
  <si>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</si>
  <si>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</si>
  <si>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</si>
  <si>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</si>
  <si>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</si>
  <si>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</si>
  <si>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</si>
  <si>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</si>
  <si>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</si>
  <si>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</si>
  <si>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</si>
  <si>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</si>
  <si>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</si>
  <si>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</si>
  <si>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</si>
  <si>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</si>
  <si>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</si>
  <si>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</si>
  <si>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</si>
  <si>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</si>
  <si>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</si>
  <si>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</si>
  <si>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</si>
  <si>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</si>
  <si>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</si>
  <si>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</si>
  <si>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</si>
  <si>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</si>
  <si>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</si>
  <si>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</si>
  <si>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</si>
  <si>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</si>
  <si>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</si>
  <si>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</si>
  <si>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</si>
  <si>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</si>
  <si>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</si>
  <si>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</si>
  <si>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</si>
  <si>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</si>
  <si>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</si>
  <si>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</si>
  <si>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</si>
  <si>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</si>
  <si>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</si>
  <si>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</si>
  <si>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</si>
  <si>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</si>
  <si>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</si>
  <si>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</si>
  <si>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</si>
  <si>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</si>
  <si>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</si>
  <si>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</si>
  <si>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</si>
  <si>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</si>
  <si>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</si>
  <si>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</si>
  <si>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</si>
  <si>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</si>
  <si>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</si>
  <si>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</si>
  <si>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</si>
  <si>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</si>
  <si>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</si>
  <si>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</si>
  <si>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</si>
  <si>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</si>
  <si>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</si>
  <si>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</si>
  <si>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</si>
  <si>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</si>
  <si>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</si>
  <si>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</si>
  <si>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</si>
  <si>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</si>
  <si>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</si>
  <si>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</si>
  <si>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</si>
  <si>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</si>
  <si>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</si>
  <si>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</si>
  <si>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</si>
  <si>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</si>
  <si>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</si>
  <si>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</si>
  <si>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</si>
  <si>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</si>
  <si>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</si>
  <si>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</si>
  <si>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</si>
  <si>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</si>
  <si>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</si>
  <si>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</si>
  <si>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</si>
  <si>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</si>
  <si>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</si>
  <si>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</si>
  <si>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</si>
  <si>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</si>
  <si>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</si>
  <si>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</si>
  <si>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</si>
  <si>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</si>
  <si>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</si>
  <si>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</si>
  <si>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</si>
  <si>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</si>
  <si>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</si>
  <si>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</si>
  <si>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</si>
  <si>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</si>
  <si>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</si>
  <si>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</si>
  <si>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</si>
  <si>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</si>
  <si>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</si>
  <si>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</si>
  <si>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</si>
  <si>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</si>
  <si>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</si>
  <si>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</si>
  <si>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</si>
  <si>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</si>
  <si>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</si>
  <si>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</si>
  <si>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</si>
  <si>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</si>
  <si>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</si>
  <si>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</si>
  <si>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</si>
  <si>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</si>
  <si>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</si>
  <si>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</si>
  <si>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</si>
  <si>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</si>
  <si>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</si>
  <si>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</si>
  <si>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</si>
  <si>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</si>
  <si>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</si>
  <si>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</si>
  <si>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</si>
  <si>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</si>
  <si>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</si>
  <si>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</si>
  <si>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</si>
  <si>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</si>
  <si>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</si>
  <si>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</si>
  <si>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</si>
  <si>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</si>
  <si>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</si>
  <si>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</si>
  <si>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</si>
  <si>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</si>
  <si>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</si>
  <si>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</si>
  <si>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</si>
  <si>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</si>
  <si>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</si>
  <si>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</si>
  <si>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</si>
  <si>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</si>
  <si>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</si>
  <si>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</si>
  <si>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</si>
  <si>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</si>
  <si>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</si>
  <si>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</si>
  <si>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</si>
  <si>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</si>
  <si>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</si>
  <si>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</si>
  <si>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</si>
  <si>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</si>
  <si>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</si>
  <si>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</si>
  <si>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</si>
  <si>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</si>
  <si>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</si>
  <si>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</si>
  <si>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</si>
  <si>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</si>
  <si>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</si>
  <si>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</si>
  <si>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</si>
  <si>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</si>
  <si>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</si>
  <si>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</si>
  <si>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</si>
  <si>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</si>
  <si>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</si>
  <si>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</si>
  <si>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</si>
  <si>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</si>
  <si>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</si>
  <si>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</si>
  <si>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</si>
  <si>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</si>
  <si>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</si>
  <si>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</si>
  <si>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</si>
  <si>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</si>
  <si>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</si>
  <si>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</si>
  <si>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</si>
  <si>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</si>
  <si>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</si>
  <si>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</si>
  <si>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</si>
  <si>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</si>
  <si>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</si>
  <si>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</si>
  <si>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</si>
  <si>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</si>
  <si>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</si>
  <si>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</si>
  <si>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</si>
  <si>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</si>
  <si>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</si>
  <si>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</si>
  <si>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</si>
  <si>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</si>
  <si>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</si>
  <si>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</si>
  <si>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</si>
  <si>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</si>
  <si>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</si>
  <si>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</si>
  <si>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</si>
  <si>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</si>
  <si>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</si>
  <si>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</si>
  <si>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</si>
  <si>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</si>
  <si>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</si>
  <si>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</si>
  <si>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</si>
  <si>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</si>
  <si>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</si>
  <si>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</si>
  <si>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</si>
  <si>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</si>
  <si>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</si>
  <si>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</si>
  <si>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</si>
  <si>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</si>
  <si>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</si>
  <si>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</si>
  <si>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</si>
  <si>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</si>
  <si>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</si>
  <si>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</si>
  <si>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</si>
  <si>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</si>
  <si>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</si>
  <si>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</si>
  <si>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</si>
  <si>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</si>
  <si>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</si>
  <si>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</si>
  <si>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</si>
  <si>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</si>
  <si>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</si>
  <si>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</si>
  <si>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</si>
  <si>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</si>
  <si>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</si>
  <si>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</si>
  <si>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</si>
  <si>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</si>
  <si>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</si>
  <si>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</si>
  <si>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</si>
  <si>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</si>
  <si>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</si>
  <si>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</si>
  <si>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</si>
  <si>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</si>
  <si>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</si>
  <si>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</si>
  <si>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</si>
  <si>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</si>
  <si>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</si>
  <si>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</si>
  <si>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</si>
  <si>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</si>
  <si>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</si>
  <si>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</si>
  <si>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</si>
  <si>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</si>
  <si>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</si>
  <si>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</si>
  <si>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</si>
  <si>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</si>
  <si>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</si>
  <si>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</si>
  <si>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</si>
  <si>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</si>
  <si>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</si>
  <si>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</si>
  <si>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</si>
  <si>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</si>
  <si>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</si>
  <si>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</si>
  <si>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</si>
  <si>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</si>
  <si>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</si>
  <si>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</si>
  <si>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</si>
  <si>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</si>
  <si>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</si>
  <si>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</si>
  <si>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</si>
  <si>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</si>
  <si>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</si>
  <si>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</si>
  <si>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</si>
  <si>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</si>
  <si>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</si>
  <si>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</si>
  <si>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</si>
  <si>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</si>
  <si>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</si>
  <si>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</si>
  <si>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</si>
  <si>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</si>
  <si>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</si>
  <si>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</si>
  <si>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</si>
  <si>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</si>
  <si>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</si>
  <si>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</si>
  <si>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</si>
  <si>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</si>
  <si>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</si>
  <si>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</si>
  <si>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</si>
  <si>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</si>
  <si>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</si>
  <si>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</si>
  <si>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</si>
  <si>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</si>
  <si>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</si>
  <si>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</si>
  <si>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</si>
  <si>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</si>
  <si>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</si>
  <si>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</si>
  <si>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</si>
  <si>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</si>
  <si>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</si>
  <si>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</si>
  <si>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</si>
  <si>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</si>
  <si>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</si>
  <si>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</si>
  <si>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</si>
  <si>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</si>
  <si>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</si>
  <si>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</si>
  <si>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</si>
  <si>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</si>
  <si>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</si>
  <si>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</si>
  <si>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</si>
  <si>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</si>
  <si>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</si>
  <si>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</si>
  <si>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</si>
  <si>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</si>
  <si>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</si>
  <si>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</si>
  <si>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</si>
  <si>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</si>
  <si>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</si>
  <si>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</si>
  <si>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</si>
  <si>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</si>
  <si>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</si>
  <si>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</si>
  <si>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</si>
  <si>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</si>
  <si>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</si>
  <si>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</si>
  <si>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</si>
  <si>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</si>
  <si>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</si>
  <si>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</si>
  <si>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</si>
  <si>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</si>
  <si>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</si>
  <si>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</si>
  <si>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</si>
  <si>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</si>
  <si>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</si>
  <si>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</si>
  <si>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</si>
  <si>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</si>
  <si>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</si>
  <si>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</si>
  <si>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</si>
  <si>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</si>
  <si>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</si>
  <si>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</si>
  <si>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</si>
  <si>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</si>
  <si>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</si>
  <si>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</si>
  <si>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</si>
  <si>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</si>
  <si>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</si>
  <si>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</si>
  <si>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</si>
  <si>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</si>
  <si>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</si>
  <si>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</si>
  <si>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</si>
  <si>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</si>
  <si>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</si>
  <si>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</si>
  <si>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</si>
  <si>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</si>
  <si>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</si>
  <si>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</si>
  <si>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</si>
  <si>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</si>
  <si>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</si>
  <si>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</si>
  <si>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</si>
  <si>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</si>
  <si>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</si>
  <si>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</si>
  <si>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</si>
  <si>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</si>
  <si>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</si>
  <si>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</si>
  <si>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</si>
  <si>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</si>
  <si>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</si>
  <si>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</si>
  <si>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</si>
  <si>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</si>
  <si>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</si>
  <si>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</si>
  <si>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</si>
  <si>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</si>
  <si>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</si>
  <si>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</si>
  <si>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</si>
  <si>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</si>
  <si>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</si>
  <si>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</si>
  <si>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</si>
  <si>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</si>
  <si>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</si>
  <si>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</si>
  <si>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</si>
  <si>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</si>
  <si>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</si>
  <si>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</si>
  <si>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</si>
  <si>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</si>
  <si>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</si>
  <si>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</si>
  <si>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</si>
  <si>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</si>
  <si>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</si>
  <si>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</si>
  <si>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</si>
  <si>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</si>
  <si>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</si>
  <si>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</si>
  <si>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</si>
  <si>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</si>
  <si>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</si>
  <si>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</si>
  <si>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</si>
  <si>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</si>
  <si>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</si>
  <si>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</si>
  <si>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</si>
  <si>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</si>
  <si>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</si>
  <si>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</si>
  <si>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</si>
  <si>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</si>
  <si>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</si>
  <si>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</si>
  <si>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</si>
  <si>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</si>
  <si>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</si>
  <si>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</si>
  <si>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</si>
  <si>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</si>
  <si>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</si>
  <si>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</si>
  <si>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</si>
  <si>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</si>
  <si>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</si>
  <si>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</si>
  <si>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</si>
  <si>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</si>
  <si>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</si>
  <si>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</si>
  <si>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</si>
  <si>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</si>
  <si>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</si>
  <si>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</si>
  <si>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</si>
  <si>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</si>
  <si>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</si>
  <si>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</si>
  <si>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</si>
  <si>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</si>
  <si>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</si>
  <si>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</si>
  <si>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</si>
  <si>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</si>
  <si>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</si>
  <si>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</si>
  <si>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</si>
  <si>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</si>
  <si>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</si>
  <si>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</si>
  <si>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</si>
  <si>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</si>
  <si>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</si>
  <si>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</si>
  <si>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</si>
  <si>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</si>
  <si>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</si>
  <si>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</si>
  <si>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</si>
  <si>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</si>
  <si>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</si>
  <si>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</si>
  <si>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</si>
  <si>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</si>
  <si>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</si>
  <si>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</si>
  <si>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</si>
  <si>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</si>
  <si>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</si>
  <si>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</si>
  <si>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</si>
  <si>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</si>
  <si>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</si>
  <si>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</si>
  <si>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</si>
  <si>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</si>
  <si>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</si>
  <si>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</si>
  <si>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</si>
  <si>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</si>
  <si>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</si>
  <si>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</si>
  <si>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</si>
  <si>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</si>
  <si>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</si>
  <si>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</si>
  <si>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</si>
  <si>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</si>
  <si>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</si>
  <si>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</si>
  <si>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</si>
  <si>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</si>
  <si>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</si>
  <si>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</si>
  <si>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</si>
  <si>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</si>
  <si>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</si>
  <si>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</si>
  <si>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</si>
  <si>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</si>
  <si>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</si>
  <si>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</si>
  <si>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</si>
  <si>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</si>
  <si>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</si>
  <si>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</si>
  <si>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</si>
  <si>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</si>
  <si>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</si>
  <si>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</si>
  <si>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</si>
  <si>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</si>
  <si>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</si>
  <si>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</si>
  <si>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</si>
  <si>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</si>
  <si>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</si>
  <si>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</si>
  <si>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</si>
  <si>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</si>
  <si>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</si>
  <si>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</si>
  <si>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</si>
  <si>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</si>
  <si>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</si>
  <si>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</si>
  <si>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</si>
  <si>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</si>
  <si>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</si>
  <si>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</si>
  <si>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</si>
  <si>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</si>
  <si>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</si>
  <si>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</si>
  <si>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</si>
  <si>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</si>
  <si>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</si>
  <si>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</si>
  <si>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</si>
  <si>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</si>
  <si>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</si>
  <si>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</si>
  <si>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</si>
  <si>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</si>
  <si>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</si>
  <si>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</si>
  <si>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</si>
  <si>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</si>
  <si>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</si>
  <si>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</si>
  <si>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</si>
  <si>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</si>
  <si>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</si>
  <si>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</si>
  <si>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</si>
  <si>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</si>
  <si>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</si>
  <si>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</si>
  <si>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</si>
  <si>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</si>
  <si>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</si>
  <si>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</si>
  <si>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</si>
  <si>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</si>
  <si>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</si>
  <si>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</si>
  <si>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</si>
  <si>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</si>
  <si>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</si>
  <si>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</si>
  <si>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</si>
  <si>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</si>
  <si>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</si>
  <si>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</si>
  <si>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</si>
  <si>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</si>
  <si>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</si>
  <si>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</si>
  <si>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</si>
  <si>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</si>
  <si>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</si>
  <si>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</si>
  <si>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</si>
  <si>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</si>
  <si>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</si>
  <si>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</si>
  <si>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</si>
  <si>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</si>
  <si>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</si>
  <si>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</si>
  <si>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</si>
  <si>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</si>
  <si>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</si>
  <si>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</si>
  <si>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</si>
  <si>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</si>
  <si>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</si>
  <si>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</si>
  <si>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</si>
  <si>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</si>
  <si>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</si>
  <si>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</si>
  <si>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</si>
  <si>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</si>
  <si>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</si>
  <si>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</si>
  <si>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</si>
  <si>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</si>
  <si>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</si>
  <si>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</si>
  <si>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</si>
  <si>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</si>
  <si>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</si>
  <si>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</si>
  <si>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</si>
  <si>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</si>
  <si>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</si>
  <si>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</si>
  <si>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</si>
  <si>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</si>
  <si>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</si>
  <si>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</si>
  <si>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</si>
  <si>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</si>
  <si>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</si>
  <si>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</si>
  <si>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</si>
  <si>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</si>
  <si>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</si>
  <si>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</si>
  <si>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</si>
  <si>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</si>
  <si>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</si>
  <si>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</si>
  <si>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</si>
  <si>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</si>
  <si>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</si>
  <si>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</si>
  <si>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</si>
  <si>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</si>
  <si>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</si>
  <si>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</si>
  <si>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</si>
  <si>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</si>
  <si>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</si>
  <si>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</si>
  <si>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</si>
  <si>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</si>
  <si>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</si>
  <si>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</si>
  <si>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</si>
  <si>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</si>
  <si>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</si>
  <si>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</si>
  <si>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</si>
  <si>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</si>
  <si>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</si>
  <si>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</si>
  <si>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</si>
  <si>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</si>
  <si>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</si>
  <si>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</si>
  <si>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</si>
  <si>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</si>
  <si>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</si>
  <si>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</si>
  <si>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</si>
  <si>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</si>
  <si>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</si>
  <si>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</si>
  <si>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</si>
  <si>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</si>
  <si>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</si>
  <si>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</si>
  <si>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</si>
  <si>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</si>
  <si>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</si>
  <si>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</si>
  <si>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</si>
  <si>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</si>
  <si>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</si>
  <si>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</si>
  <si>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</si>
  <si>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</si>
  <si>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</si>
  <si>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</si>
  <si>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</si>
  <si>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</si>
  <si>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</si>
  <si>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</si>
  <si>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</si>
  <si>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</si>
  <si>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</si>
  <si>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</si>
  <si>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</si>
  <si>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</si>
  <si>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</si>
  <si>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</si>
  <si>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</si>
  <si>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</si>
  <si>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</si>
  <si>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</si>
  <si>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</si>
  <si>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</si>
  <si>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</si>
  <si>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</si>
  <si>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</si>
  <si>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</si>
  <si>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</si>
  <si>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</si>
  <si>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</si>
  <si>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</si>
  <si>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</si>
  <si>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</si>
  <si>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</si>
  <si>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</si>
  <si>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</si>
  <si>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</si>
  <si>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</si>
  <si>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</si>
  <si>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</si>
  <si>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</si>
  <si>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</si>
  <si>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</si>
  <si>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</si>
  <si>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</si>
  <si>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</si>
  <si>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</si>
  <si>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</si>
  <si>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</si>
  <si>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</si>
  <si>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</si>
  <si>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</si>
  <si>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</si>
  <si>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</si>
  <si>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</si>
  <si>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</si>
  <si>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</si>
  <si>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</si>
  <si>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</si>
  <si>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</si>
  <si>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</si>
  <si>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</si>
  <si>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891855025</t>
  </si>
  <si>
    <t>891800462</t>
  </si>
  <si>
    <t>ARAMAR SUPERMERCADOS S.A.S</t>
  </si>
  <si>
    <t>ASEGURADORA SOLIDARIA DE COLOMBIA ENTIDAD COOPERATIVA</t>
  </si>
  <si>
    <t>AVSA S.A</t>
  </si>
  <si>
    <t>BÚHOS EDITORES LTDA.</t>
  </si>
  <si>
    <t>CAMARA DE COMERCIO DE DUITAMA</t>
  </si>
  <si>
    <t>CAMARA DE COMERCIO DE TUNJA</t>
  </si>
  <si>
    <t>CHAM DISTRIBUCIONES S.A.S</t>
  </si>
  <si>
    <t>COLOMBIA CHEF SAS</t>
  </si>
  <si>
    <t>COMPAÑIA DE ALIMENTOS BIFF S.A.S.</t>
  </si>
  <si>
    <t>DIEGO Y COMPAÑIA S.A.S.</t>
  </si>
  <si>
    <t>DISTRIBUIDORA DE VINOS Y LICORES S.A.S</t>
  </si>
  <si>
    <t>DISTRIBUIDORA EL CARMEN BADIZ SOCIEDAD POR ACCIONES SIMPLIFICADA</t>
  </si>
  <si>
    <t>INDUSTRIA NACIONAL DE GASEOSAS S A</t>
  </si>
  <si>
    <t>INSTITUTO DE FOMENTO Y DESARROLLO DE BOYACA</t>
  </si>
  <si>
    <t>INVERSIONES BOGA LTDA.</t>
  </si>
  <si>
    <t>INVERSIONES SANTA ELISA LTDA</t>
  </si>
  <si>
    <t>KOPPS COMMERCIAL S A S</t>
  </si>
  <si>
    <t>PESCADERIA SURTIPEZ S.A.S</t>
  </si>
  <si>
    <t>SEGUROS COMERCIALES BOLIVAR SA</t>
  </si>
  <si>
    <t>SIIGO S.A.S</t>
  </si>
  <si>
    <t>SITEXA SAS</t>
  </si>
  <si>
    <t>SQUADRA SEGURIDAD LTDA</t>
  </si>
  <si>
    <t>DAVIVIENDA</t>
  </si>
  <si>
    <t>EMPRESA DE ENERGIA DE BOYACA</t>
  </si>
  <si>
    <t>VEOLIA AGUAS DE TUNJA</t>
  </si>
  <si>
    <t>VANTI</t>
  </si>
  <si>
    <t>COMCEL</t>
  </si>
  <si>
    <t>CUANTIAS MENORES</t>
  </si>
  <si>
    <t>RED VITAL PAIPA</t>
  </si>
  <si>
    <t>MARTINEZ AVILA JHON ALEJANDRO</t>
  </si>
  <si>
    <t>GALINDO PUERTO JORGE LEONARDO</t>
  </si>
  <si>
    <t>MIGUEZ CASTELLANO ELISABETH</t>
  </si>
  <si>
    <t>ARISTIDES PINEDA GACHARNA</t>
  </si>
  <si>
    <t>SOLANO CARREÑO JENNY</t>
  </si>
  <si>
    <t>OCHOA MIGEL</t>
  </si>
  <si>
    <t>incomyasas@GMAIL.COM</t>
  </si>
  <si>
    <t>Cra. 23 #22 - 51</t>
  </si>
  <si>
    <t>Cra. 22 #25-47</t>
  </si>
  <si>
    <t>KM 5 ANIllO VIAL GIRON - FLORIDABLANCA, VEREDA RIO FRIO A 600 METROS,</t>
  </si>
  <si>
    <t>Cl. 57 #9 - 36</t>
  </si>
  <si>
    <t>Transversal 19 No 23 – 141</t>
  </si>
  <si>
    <t>Cl. 21 #10-52</t>
  </si>
  <si>
    <t>Cra. 13 #21 84</t>
  </si>
  <si>
    <t>Cra. 14 #97-05</t>
  </si>
  <si>
    <t>Cra. 20 #5 - 91</t>
  </si>
  <si>
    <t>Cra. 13 #9-57</t>
  </si>
  <si>
    <t>CARRERA 43 A 25 A 45</t>
  </si>
  <si>
    <t>CALLE 25 19 75</t>
  </si>
  <si>
    <t>l. 25d #95 A 85</t>
  </si>
  <si>
    <t>Calle 19 No. 9 – 35</t>
  </si>
  <si>
    <t>Cra. 4 #58-54</t>
  </si>
  <si>
    <t>Cl. 69 #6-48</t>
  </si>
  <si>
    <t>Cl. 19 #15-25</t>
  </si>
  <si>
    <t>Carrera 19 # 23 - 43</t>
  </si>
  <si>
    <t>CARRERA 53 A 127 31</t>
  </si>
  <si>
    <t>Cra. 11 # 15-81</t>
  </si>
  <si>
    <t>CRA 16 15-62 OFC 301</t>
  </si>
  <si>
    <t>Avenida El Dorado No. 68B-31 Piso 10</t>
  </si>
  <si>
    <t>Cra. 18 #79A - 42</t>
  </si>
  <si>
    <t>CL 144 # 17 - 62</t>
  </si>
  <si>
    <t>Cl. 32 #2A-23</t>
  </si>
  <si>
    <t>PLAZA DE LAS NIEVES</t>
  </si>
  <si>
    <t>AV EL DORADO N 68C-61 PS 1</t>
  </si>
  <si>
    <t>Cra. 10 #No 15 – 87</t>
  </si>
  <si>
    <t>Cl. 20 #1284</t>
  </si>
  <si>
    <t>Centro Comercial Centro Norte, local 80</t>
  </si>
  <si>
    <t>Carrera 68 A No. 24 B - 10</t>
  </si>
  <si>
    <t>CLL 71 6 75</t>
  </si>
  <si>
    <t>Vía El Carbón, Paipa, Boyacá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</si>
</sst>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</font>
    <font>
      <sz val="11"/>
      <color rgb="FF5E5E5E"/>
      <name val="Arial"/>
      <family val="2"/>
    </font>
    <font>
      <b/>
      <sz val="11"/>
      <color rgb="FF767676"/>
      <name val="Arial"/>
      <family val="2"/>
    </font>
    <font>
      <sz val="11"/>
      <color rgb="FF737373"/>
      <name val="Segoe UI"/>
      <family val="2"/>
    </font>
    <font>
      <sz val="15"/>
      <color rgb="FF040C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3" fillId="0" borderId="1" xfId="0" applyNumberFormat="1" applyFont="1" applyBorder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4" fillId="0" borderId="1" xfId="2" applyBorder="1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8" fillId="0" borderId="1" xfId="0" applyFont="1" applyBorder="1" applyProtection="1">
      <protection locked="0"/>
    </xf>
    <xf numFmtId="49" fontId="0" fillId="0" borderId="1" xfId="1" applyNumberFormat="1" applyFont="1" applyBorder="1" applyProtection="1">
      <protection locked="0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D/DOS/EMPRESAS/RESTAURANTE%20EL%20COMERCIO%202024/ESTADO%20DE%20RESULTADOS%20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D/DOS/EMPRESAS/RESTAURANTE%20EL%20COMERCIO%202024/EXOGEN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>
        <row r="10">
          <cell r="E10">
            <v>325150000</v>
          </cell>
        </row>
        <row r="22">
          <cell r="D22">
            <v>18880897</v>
          </cell>
        </row>
        <row r="24">
          <cell r="D24">
            <v>7233198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1"/>
      <sheetName val="1003"/>
      <sheetName val="1006-1007"/>
      <sheetName val="1009"/>
      <sheetName val="1010"/>
      <sheetName val="1011"/>
      <sheetName val="1012"/>
      <sheetName val="2276"/>
      <sheetName val="Hoja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42"/>
  <sheetViews>
    <sheetView tabSelected="1" zoomScale="85" zoomScaleNormal="85" workbookViewId="0">
      <pane ySplit="6" topLeftCell="A7" activePane="bottomLeft" state="frozen"/>
      <selection pane="bottomLeft" activeCell="A12" sqref="A12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901465361</v>
      </c>
      <c r="B7" s="25">
        <v>8</v>
      </c>
      <c r="C7" s="24" t="s">
        <v>2250</v>
      </c>
      <c r="D7" s="27" t="s">
        <v>2285</v>
      </c>
      <c r="E7" s="26">
        <v>3103417558</v>
      </c>
      <c r="F7" s="26" t="s">
        <v>2286</v>
      </c>
      <c r="G7" s="26">
        <v>15516</v>
      </c>
      <c r="H7" s="9">
        <v>302</v>
      </c>
      <c r="I7" s="32">
        <v>839479</v>
      </c>
      <c r="J7" s="9">
        <v>0</v>
      </c>
      <c r="K7" s="9">
        <v>0</v>
      </c>
    </row>
    <row r="8" spans="1:11" x14ac:dyDescent="0.25">
      <c r="A8" s="24">
        <v>860524654</v>
      </c>
      <c r="B8" s="25">
        <v>6</v>
      </c>
      <c r="C8" s="24" t="s">
        <v>2251</v>
      </c>
      <c r="D8" s="27" t="s">
        <v>2285</v>
      </c>
      <c r="E8" s="26">
        <v>3103417558</v>
      </c>
      <c r="F8" s="26" t="s">
        <v>2287</v>
      </c>
      <c r="G8" s="26">
        <v>15516</v>
      </c>
      <c r="H8" s="9">
        <v>302</v>
      </c>
      <c r="I8" s="32">
        <v>1676814</v>
      </c>
      <c r="J8" s="9">
        <v>0</v>
      </c>
      <c r="K8" s="9">
        <v>0</v>
      </c>
    </row>
    <row r="9" spans="1:11" x14ac:dyDescent="0.25">
      <c r="A9" s="24">
        <v>890201881</v>
      </c>
      <c r="B9" s="25">
        <v>4</v>
      </c>
      <c r="C9" s="24" t="s">
        <v>2252</v>
      </c>
      <c r="D9" s="27" t="s">
        <v>2285</v>
      </c>
      <c r="E9" s="26">
        <v>3103417558</v>
      </c>
      <c r="F9" s="26" t="s">
        <v>2288</v>
      </c>
      <c r="G9" s="26">
        <v>68001</v>
      </c>
      <c r="H9" s="9">
        <v>302</v>
      </c>
      <c r="I9" s="32">
        <v>7029518</v>
      </c>
      <c r="J9" s="9">
        <v>0</v>
      </c>
      <c r="K9" s="9">
        <v>0</v>
      </c>
    </row>
    <row r="10" spans="1:11" x14ac:dyDescent="0.25">
      <c r="A10" s="26">
        <v>900344848</v>
      </c>
      <c r="B10" s="25">
        <v>1</v>
      </c>
      <c r="C10" s="24" t="s">
        <v>2253</v>
      </c>
      <c r="D10" s="27" t="s">
        <v>2285</v>
      </c>
      <c r="E10" s="26">
        <v>3103417558</v>
      </c>
      <c r="F10" s="26" t="s">
        <v>2289</v>
      </c>
      <c r="G10" s="26">
        <v>15001</v>
      </c>
      <c r="H10" s="9">
        <v>302</v>
      </c>
      <c r="I10" s="32">
        <v>1298290</v>
      </c>
      <c r="J10" s="9">
        <v>0</v>
      </c>
      <c r="K10" s="9">
        <v>0</v>
      </c>
    </row>
    <row r="11" spans="1:11" x14ac:dyDescent="0.25">
      <c r="A11" s="24" t="s">
        <v>2248</v>
      </c>
      <c r="B11" s="25">
        <v>6</v>
      </c>
      <c r="C11" s="24" t="s">
        <v>2254</v>
      </c>
      <c r="D11" s="27" t="s">
        <v>2285</v>
      </c>
      <c r="E11" s="26">
        <v>3103417558</v>
      </c>
      <c r="F11" s="26" t="s">
        <v>2290</v>
      </c>
      <c r="G11" s="26">
        <v>15238</v>
      </c>
      <c r="H11" s="9">
        <v>302</v>
      </c>
      <c r="I11" s="32">
        <v>141300</v>
      </c>
      <c r="J11" s="9">
        <v>0</v>
      </c>
      <c r="K11" s="9">
        <v>0</v>
      </c>
    </row>
    <row r="12" spans="1:11" x14ac:dyDescent="0.25">
      <c r="A12" s="26">
        <v>891800238</v>
      </c>
      <c r="B12" s="25">
        <v>1</v>
      </c>
      <c r="C12" s="26" t="s">
        <v>2255</v>
      </c>
      <c r="D12" s="27" t="s">
        <v>2285</v>
      </c>
      <c r="E12" s="26">
        <v>3103417558</v>
      </c>
      <c r="F12" s="28" t="s">
        <v>2291</v>
      </c>
      <c r="G12" s="26">
        <v>15001</v>
      </c>
      <c r="H12" s="9">
        <v>302</v>
      </c>
      <c r="I12" s="32">
        <v>242000</v>
      </c>
      <c r="J12" s="9">
        <v>0</v>
      </c>
      <c r="K12" s="9">
        <v>0</v>
      </c>
    </row>
    <row r="13" spans="1:11" x14ac:dyDescent="0.25">
      <c r="A13" s="26">
        <v>900824281</v>
      </c>
      <c r="B13" s="25">
        <v>4</v>
      </c>
      <c r="C13" s="24" t="s">
        <v>2256</v>
      </c>
      <c r="D13" s="27" t="s">
        <v>2285</v>
      </c>
      <c r="E13" s="26">
        <v>3103417558</v>
      </c>
      <c r="F13" s="26" t="s">
        <v>2292</v>
      </c>
      <c r="G13" s="26">
        <v>15001</v>
      </c>
      <c r="H13" s="9">
        <v>302</v>
      </c>
      <c r="I13" s="32">
        <v>8697497</v>
      </c>
      <c r="J13" s="9">
        <v>0</v>
      </c>
      <c r="K13" s="9">
        <v>0</v>
      </c>
    </row>
    <row r="14" spans="1:11" x14ac:dyDescent="0.25">
      <c r="A14" s="26">
        <v>900015588</v>
      </c>
      <c r="B14" s="25">
        <v>9</v>
      </c>
      <c r="C14" s="24" t="s">
        <v>2257</v>
      </c>
      <c r="D14" s="27" t="s">
        <v>2285</v>
      </c>
      <c r="E14" s="26">
        <v>3103417558</v>
      </c>
      <c r="F14" s="26" t="s">
        <v>2293</v>
      </c>
      <c r="G14" s="26">
        <v>11001</v>
      </c>
      <c r="H14" s="9">
        <v>302</v>
      </c>
      <c r="I14" s="32">
        <v>330010</v>
      </c>
      <c r="J14" s="9">
        <v>0</v>
      </c>
      <c r="K14" s="9">
        <v>0</v>
      </c>
    </row>
    <row r="15" spans="1:11" x14ac:dyDescent="0.25">
      <c r="A15" s="26">
        <v>901314598</v>
      </c>
      <c r="B15" s="25">
        <v>9</v>
      </c>
      <c r="C15" s="24" t="s">
        <v>2258</v>
      </c>
      <c r="D15" s="27" t="s">
        <v>2285</v>
      </c>
      <c r="E15" s="26">
        <v>3103417558</v>
      </c>
      <c r="F15" s="26" t="s">
        <v>2294</v>
      </c>
      <c r="G15" s="26">
        <v>15948</v>
      </c>
      <c r="H15" s="9">
        <v>302</v>
      </c>
      <c r="I15" s="32">
        <v>135150</v>
      </c>
      <c r="J15" s="9">
        <v>0</v>
      </c>
      <c r="K15" s="9">
        <v>0</v>
      </c>
    </row>
    <row r="16" spans="1:11" x14ac:dyDescent="0.25">
      <c r="A16" s="24">
        <v>890309454</v>
      </c>
      <c r="B16" s="25">
        <v>8</v>
      </c>
      <c r="C16" s="24" t="s">
        <v>2259</v>
      </c>
      <c r="D16" s="27" t="s">
        <v>2285</v>
      </c>
      <c r="E16" s="26">
        <v>3103417558</v>
      </c>
      <c r="F16" s="26" t="s">
        <v>2295</v>
      </c>
      <c r="G16" s="26">
        <v>11001</v>
      </c>
      <c r="H16" s="9">
        <v>302</v>
      </c>
      <c r="I16" s="32">
        <v>710000</v>
      </c>
      <c r="J16" s="9">
        <v>0</v>
      </c>
      <c r="K16" s="9">
        <v>0</v>
      </c>
    </row>
    <row r="17" spans="1:11" x14ac:dyDescent="0.25">
      <c r="A17" s="26">
        <v>890916575</v>
      </c>
      <c r="B17" s="25">
        <v>4</v>
      </c>
      <c r="C17" s="24" t="s">
        <v>2260</v>
      </c>
      <c r="D17" s="27" t="s">
        <v>2285</v>
      </c>
      <c r="E17" s="26">
        <v>3103417558</v>
      </c>
      <c r="F17" s="29" t="s">
        <v>2296</v>
      </c>
      <c r="G17" s="26">
        <v>5001</v>
      </c>
      <c r="H17" s="9">
        <v>302</v>
      </c>
      <c r="I17" s="32">
        <v>820839</v>
      </c>
      <c r="J17" s="9">
        <v>0</v>
      </c>
      <c r="K17" s="9">
        <v>0</v>
      </c>
    </row>
    <row r="18" spans="1:11" x14ac:dyDescent="0.25">
      <c r="A18" s="26">
        <v>901395372</v>
      </c>
      <c r="B18" s="25">
        <v>8</v>
      </c>
      <c r="C18" s="24" t="s">
        <v>2261</v>
      </c>
      <c r="D18" s="27" t="s">
        <v>2285</v>
      </c>
      <c r="E18" s="26">
        <v>3103417558</v>
      </c>
      <c r="F18" s="29" t="s">
        <v>2297</v>
      </c>
      <c r="G18" s="26">
        <v>15516</v>
      </c>
      <c r="H18" s="9">
        <v>302</v>
      </c>
      <c r="I18" s="32">
        <v>64100</v>
      </c>
      <c r="J18" s="9">
        <v>0</v>
      </c>
      <c r="K18" s="9">
        <v>0</v>
      </c>
    </row>
    <row r="19" spans="1:11" x14ac:dyDescent="0.25">
      <c r="A19" s="26">
        <v>890903858</v>
      </c>
      <c r="B19" s="25">
        <v>7</v>
      </c>
      <c r="C19" s="24" t="s">
        <v>2262</v>
      </c>
      <c r="D19" s="27" t="s">
        <v>2285</v>
      </c>
      <c r="E19" s="26">
        <v>3103417558</v>
      </c>
      <c r="F19" s="26" t="s">
        <v>2298</v>
      </c>
      <c r="G19" s="26">
        <v>11001</v>
      </c>
      <c r="H19" s="9">
        <v>302</v>
      </c>
      <c r="I19" s="32">
        <v>911049</v>
      </c>
      <c r="J19" s="9">
        <v>0</v>
      </c>
      <c r="K19" s="9">
        <v>0</v>
      </c>
    </row>
    <row r="20" spans="1:11" x14ac:dyDescent="0.25">
      <c r="A20" s="24" t="s">
        <v>2249</v>
      </c>
      <c r="B20" s="25">
        <v>1</v>
      </c>
      <c r="C20" s="24" t="s">
        <v>2263</v>
      </c>
      <c r="D20" s="27" t="s">
        <v>2285</v>
      </c>
      <c r="E20" s="26">
        <v>3103417558</v>
      </c>
      <c r="F20" s="26" t="s">
        <v>2299</v>
      </c>
      <c r="G20" s="26">
        <v>15001</v>
      </c>
      <c r="H20" s="9">
        <v>302</v>
      </c>
      <c r="I20" s="32">
        <v>18000000</v>
      </c>
      <c r="J20" s="9">
        <v>0</v>
      </c>
      <c r="K20" s="9">
        <v>0</v>
      </c>
    </row>
    <row r="21" spans="1:11" x14ac:dyDescent="0.25">
      <c r="A21" s="24">
        <v>860509926</v>
      </c>
      <c r="B21" s="25">
        <v>1</v>
      </c>
      <c r="C21" s="26" t="s">
        <v>2264</v>
      </c>
      <c r="D21" s="27" t="s">
        <v>2285</v>
      </c>
      <c r="E21" s="26">
        <v>3103417558</v>
      </c>
      <c r="F21" s="26" t="s">
        <v>2300</v>
      </c>
      <c r="G21" s="26">
        <v>15001</v>
      </c>
      <c r="H21" s="9">
        <v>302</v>
      </c>
      <c r="I21" s="32">
        <v>475416</v>
      </c>
      <c r="J21" s="9">
        <v>0</v>
      </c>
      <c r="K21" s="9">
        <v>0</v>
      </c>
    </row>
    <row r="22" spans="1:11" x14ac:dyDescent="0.25">
      <c r="A22" s="24">
        <v>820005297</v>
      </c>
      <c r="B22" s="25">
        <v>8</v>
      </c>
      <c r="C22" s="24" t="s">
        <v>2265</v>
      </c>
      <c r="D22" s="27" t="s">
        <v>2285</v>
      </c>
      <c r="E22" s="26">
        <v>3103417558</v>
      </c>
      <c r="F22" s="26" t="s">
        <v>2301</v>
      </c>
      <c r="G22" s="26">
        <v>15001</v>
      </c>
      <c r="H22" s="9">
        <v>302</v>
      </c>
      <c r="I22" s="32">
        <v>5893801</v>
      </c>
      <c r="J22" s="9">
        <v>0</v>
      </c>
      <c r="K22" s="9">
        <v>0</v>
      </c>
    </row>
    <row r="23" spans="1:11" x14ac:dyDescent="0.25">
      <c r="A23" s="26">
        <v>9735348</v>
      </c>
      <c r="B23" s="25">
        <v>5</v>
      </c>
      <c r="C23" s="26" t="s">
        <v>2279</v>
      </c>
      <c r="D23" s="27" t="s">
        <v>2285</v>
      </c>
      <c r="E23" s="26">
        <v>3103417558</v>
      </c>
      <c r="F23" s="28" t="s">
        <v>2302</v>
      </c>
      <c r="G23" s="26">
        <v>15238</v>
      </c>
      <c r="H23" s="9">
        <v>302</v>
      </c>
      <c r="I23" s="32">
        <v>595000</v>
      </c>
      <c r="J23" s="9">
        <v>0</v>
      </c>
      <c r="K23" s="9">
        <v>0</v>
      </c>
    </row>
    <row r="24" spans="1:11" ht="33" x14ac:dyDescent="0.25">
      <c r="A24" s="24">
        <v>1052388252</v>
      </c>
      <c r="B24" s="25">
        <v>5</v>
      </c>
      <c r="C24" s="26" t="s">
        <v>2280</v>
      </c>
      <c r="D24" s="27" t="s">
        <v>2285</v>
      </c>
      <c r="E24" s="26">
        <v>3103417558</v>
      </c>
      <c r="F24" s="30" t="s">
        <v>2303</v>
      </c>
      <c r="G24" s="26">
        <v>15238</v>
      </c>
      <c r="H24" s="9">
        <v>302</v>
      </c>
      <c r="I24" s="32">
        <v>705800</v>
      </c>
      <c r="J24" s="9">
        <v>0</v>
      </c>
      <c r="K24" s="9">
        <v>0</v>
      </c>
    </row>
    <row r="25" spans="1:11" x14ac:dyDescent="0.25">
      <c r="A25" s="26">
        <v>900818921</v>
      </c>
      <c r="B25" s="25">
        <v>5</v>
      </c>
      <c r="C25" s="24" t="s">
        <v>2266</v>
      </c>
      <c r="D25" s="27" t="s">
        <v>2285</v>
      </c>
      <c r="E25" s="26">
        <v>3103417558</v>
      </c>
      <c r="F25" s="26" t="s">
        <v>2304</v>
      </c>
      <c r="G25" s="26">
        <v>11001</v>
      </c>
      <c r="H25" s="9">
        <v>302</v>
      </c>
      <c r="I25" s="32">
        <v>2319629</v>
      </c>
      <c r="J25" s="9">
        <v>0</v>
      </c>
      <c r="K25" s="9">
        <v>0</v>
      </c>
    </row>
    <row r="26" spans="1:11" x14ac:dyDescent="0.25">
      <c r="A26" s="24">
        <v>24018330</v>
      </c>
      <c r="B26" s="25">
        <v>2</v>
      </c>
      <c r="C26" s="26" t="s">
        <v>2281</v>
      </c>
      <c r="D26" s="27" t="s">
        <v>2285</v>
      </c>
      <c r="E26" s="26">
        <v>3103417558</v>
      </c>
      <c r="F26" s="26" t="s">
        <v>2305</v>
      </c>
      <c r="G26" s="26">
        <v>11001</v>
      </c>
      <c r="H26" s="9">
        <v>302</v>
      </c>
      <c r="I26" s="32">
        <v>20996410</v>
      </c>
      <c r="J26" s="9">
        <v>0</v>
      </c>
      <c r="K26" s="9">
        <v>0</v>
      </c>
    </row>
    <row r="27" spans="1:11" x14ac:dyDescent="0.25">
      <c r="A27" s="24">
        <v>901888965</v>
      </c>
      <c r="B27" s="25">
        <v>1</v>
      </c>
      <c r="C27" s="24" t="s">
        <v>2267</v>
      </c>
      <c r="D27" s="27" t="s">
        <v>2285</v>
      </c>
      <c r="E27" s="26">
        <v>3103417558</v>
      </c>
      <c r="F27" s="26" t="s">
        <v>2305</v>
      </c>
      <c r="G27" s="26">
        <v>11001</v>
      </c>
      <c r="H27" s="9">
        <v>302</v>
      </c>
      <c r="I27" s="32">
        <v>3609240</v>
      </c>
      <c r="J27" s="9">
        <v>0</v>
      </c>
      <c r="K27" s="9">
        <v>0</v>
      </c>
    </row>
    <row r="28" spans="1:11" x14ac:dyDescent="0.25">
      <c r="A28" s="24">
        <v>7217671</v>
      </c>
      <c r="B28" s="25"/>
      <c r="C28" s="26" t="s">
        <v>2282</v>
      </c>
      <c r="D28" s="27" t="s">
        <v>2285</v>
      </c>
      <c r="E28" s="26">
        <v>3103417558</v>
      </c>
      <c r="F28" s="26" t="s">
        <v>2306</v>
      </c>
      <c r="G28" s="26">
        <v>15238</v>
      </c>
      <c r="H28" s="9">
        <v>302</v>
      </c>
      <c r="I28" s="32">
        <v>9100000</v>
      </c>
      <c r="J28" s="9">
        <v>0</v>
      </c>
      <c r="K28" s="9">
        <v>0</v>
      </c>
    </row>
    <row r="29" spans="1:11" x14ac:dyDescent="0.25">
      <c r="A29" s="26">
        <v>860002180</v>
      </c>
      <c r="B29" s="25">
        <v>7</v>
      </c>
      <c r="C29" s="24" t="s">
        <v>2268</v>
      </c>
      <c r="D29" s="27" t="s">
        <v>2285</v>
      </c>
      <c r="E29" s="26">
        <v>3103417558</v>
      </c>
      <c r="F29" s="26" t="s">
        <v>2307</v>
      </c>
      <c r="G29" s="26">
        <v>11001</v>
      </c>
      <c r="H29" s="9">
        <v>302</v>
      </c>
      <c r="I29" s="32">
        <v>2610974</v>
      </c>
      <c r="J29" s="9">
        <v>0</v>
      </c>
      <c r="K29" s="9">
        <v>0</v>
      </c>
    </row>
    <row r="30" spans="1:11" x14ac:dyDescent="0.25">
      <c r="A30" s="26">
        <v>830048145</v>
      </c>
      <c r="B30" s="25">
        <v>8</v>
      </c>
      <c r="C30" s="24" t="s">
        <v>2269</v>
      </c>
      <c r="D30" s="27" t="s">
        <v>2285</v>
      </c>
      <c r="E30" s="26">
        <v>3103417558</v>
      </c>
      <c r="F30" s="26" t="s">
        <v>2308</v>
      </c>
      <c r="G30" s="26">
        <v>11001</v>
      </c>
      <c r="H30" s="9">
        <v>302</v>
      </c>
      <c r="I30" s="32">
        <v>2762242</v>
      </c>
      <c r="J30" s="9">
        <v>0</v>
      </c>
      <c r="K30" s="9">
        <v>0</v>
      </c>
    </row>
    <row r="31" spans="1:11" ht="18.75" x14ac:dyDescent="0.25">
      <c r="A31" s="26">
        <v>900809226</v>
      </c>
      <c r="B31" s="25">
        <v>6</v>
      </c>
      <c r="C31" s="24" t="s">
        <v>2270</v>
      </c>
      <c r="D31" s="27" t="s">
        <v>2285</v>
      </c>
      <c r="E31" s="26">
        <v>3103417558</v>
      </c>
      <c r="F31" s="31" t="s">
        <v>2309</v>
      </c>
      <c r="G31" s="26">
        <v>11001</v>
      </c>
      <c r="H31" s="9">
        <v>302</v>
      </c>
      <c r="I31" s="32">
        <v>969362</v>
      </c>
      <c r="J31" s="9">
        <v>0</v>
      </c>
      <c r="K31" s="9">
        <v>0</v>
      </c>
    </row>
    <row r="32" spans="1:11" x14ac:dyDescent="0.25">
      <c r="A32" s="26">
        <v>900431565</v>
      </c>
      <c r="B32" s="25">
        <v>3</v>
      </c>
      <c r="C32" s="24" t="s">
        <v>2271</v>
      </c>
      <c r="D32" s="27" t="s">
        <v>2285</v>
      </c>
      <c r="E32" s="26">
        <v>3103417558</v>
      </c>
      <c r="F32" s="26" t="s">
        <v>2310</v>
      </c>
      <c r="G32" s="26">
        <v>15001</v>
      </c>
      <c r="H32" s="9">
        <v>302</v>
      </c>
      <c r="I32" s="32">
        <v>1023998</v>
      </c>
      <c r="J32" s="9">
        <v>0</v>
      </c>
      <c r="K32" s="9">
        <v>0</v>
      </c>
    </row>
    <row r="33" spans="1:11" x14ac:dyDescent="0.25">
      <c r="A33" s="24">
        <v>1052381940</v>
      </c>
      <c r="B33" s="25">
        <v>2</v>
      </c>
      <c r="C33" s="26" t="s">
        <v>2283</v>
      </c>
      <c r="D33" s="27" t="s">
        <v>2285</v>
      </c>
      <c r="E33" s="26">
        <v>3103417558</v>
      </c>
      <c r="F33" s="26" t="s">
        <v>2311</v>
      </c>
      <c r="G33" s="26">
        <v>15001</v>
      </c>
      <c r="H33" s="9">
        <v>302</v>
      </c>
      <c r="I33" s="32">
        <v>1407000</v>
      </c>
      <c r="J33" s="9">
        <v>0</v>
      </c>
      <c r="K33" s="9">
        <v>0</v>
      </c>
    </row>
    <row r="34" spans="1:11" x14ac:dyDescent="0.25">
      <c r="A34" s="26">
        <v>860034313</v>
      </c>
      <c r="B34" s="25">
        <v>7</v>
      </c>
      <c r="C34" s="26" t="s">
        <v>2272</v>
      </c>
      <c r="D34" s="27" t="s">
        <v>2285</v>
      </c>
      <c r="E34" s="26">
        <v>3103417558</v>
      </c>
      <c r="F34" s="26" t="s">
        <v>2312</v>
      </c>
      <c r="G34" s="26">
        <v>11001</v>
      </c>
      <c r="H34" s="9">
        <v>302</v>
      </c>
      <c r="I34" s="32">
        <f>866726/2</f>
        <v>433363</v>
      </c>
      <c r="J34" s="9">
        <v>0</v>
      </c>
      <c r="K34" s="9">
        <v>0</v>
      </c>
    </row>
    <row r="35" spans="1:11" x14ac:dyDescent="0.25">
      <c r="A35" s="26">
        <v>860034313</v>
      </c>
      <c r="B35" s="25">
        <v>7</v>
      </c>
      <c r="C35" s="26" t="s">
        <v>2272</v>
      </c>
      <c r="D35" s="27" t="s">
        <v>2285</v>
      </c>
      <c r="E35" s="26">
        <v>3103417558</v>
      </c>
      <c r="F35" s="26" t="s">
        <v>2312</v>
      </c>
      <c r="G35" s="26">
        <v>11001</v>
      </c>
      <c r="H35" s="9">
        <v>302</v>
      </c>
      <c r="I35" s="32">
        <v>160846</v>
      </c>
      <c r="J35" s="9">
        <v>0</v>
      </c>
      <c r="K35" s="9">
        <v>0</v>
      </c>
    </row>
    <row r="36" spans="1:11" x14ac:dyDescent="0.25">
      <c r="A36" s="26">
        <v>891800219</v>
      </c>
      <c r="B36" s="25">
        <v>1</v>
      </c>
      <c r="C36" s="26" t="s">
        <v>2273</v>
      </c>
      <c r="D36" s="27" t="s">
        <v>2285</v>
      </c>
      <c r="E36" s="26">
        <v>3103417558</v>
      </c>
      <c r="F36" s="26" t="s">
        <v>2313</v>
      </c>
      <c r="G36" s="26">
        <v>15001</v>
      </c>
      <c r="H36" s="9">
        <v>302</v>
      </c>
      <c r="I36" s="32">
        <f>+[1]Hoja1!$D$22</f>
        <v>18880897</v>
      </c>
      <c r="J36" s="9">
        <v>0</v>
      </c>
      <c r="K36" s="9">
        <v>0</v>
      </c>
    </row>
    <row r="37" spans="1:11" x14ac:dyDescent="0.25">
      <c r="A37" s="26">
        <v>900159283</v>
      </c>
      <c r="B37" s="25">
        <v>6</v>
      </c>
      <c r="C37" s="26" t="s">
        <v>2274</v>
      </c>
      <c r="D37" s="27" t="s">
        <v>2285</v>
      </c>
      <c r="E37" s="26">
        <v>3103417558</v>
      </c>
      <c r="F37" s="26" t="s">
        <v>2314</v>
      </c>
      <c r="G37" s="26">
        <v>15001</v>
      </c>
      <c r="H37" s="9">
        <v>302</v>
      </c>
      <c r="I37" s="32">
        <f>+[2]Hoja7!E22</f>
        <v>0</v>
      </c>
      <c r="J37" s="9">
        <v>0</v>
      </c>
      <c r="K37" s="9">
        <v>0</v>
      </c>
    </row>
    <row r="38" spans="1:11" x14ac:dyDescent="0.25">
      <c r="A38" s="26">
        <v>830045472</v>
      </c>
      <c r="B38" s="25">
        <v>8</v>
      </c>
      <c r="C38" s="26" t="s">
        <v>2275</v>
      </c>
      <c r="D38" s="27" t="s">
        <v>2285</v>
      </c>
      <c r="E38" s="26">
        <v>3103417558</v>
      </c>
      <c r="F38" s="26" t="s">
        <v>2315</v>
      </c>
      <c r="G38" s="26">
        <v>15001</v>
      </c>
      <c r="H38" s="9">
        <v>302</v>
      </c>
      <c r="I38" s="32">
        <f>+[1]Hoja1!$D$24</f>
        <v>7233198</v>
      </c>
      <c r="J38" s="9">
        <v>0</v>
      </c>
      <c r="K38" s="9">
        <v>0</v>
      </c>
    </row>
    <row r="39" spans="1:11" x14ac:dyDescent="0.25">
      <c r="A39" s="26">
        <v>800153993</v>
      </c>
      <c r="B39" s="25">
        <v>7</v>
      </c>
      <c r="C39" s="26" t="s">
        <v>2276</v>
      </c>
      <c r="D39" s="27" t="s">
        <v>2285</v>
      </c>
      <c r="E39" s="26">
        <v>3103417558</v>
      </c>
      <c r="F39" s="26" t="s">
        <v>2316</v>
      </c>
      <c r="G39" s="26">
        <v>11001</v>
      </c>
      <c r="H39" s="9">
        <v>302</v>
      </c>
      <c r="I39" s="32">
        <v>2024346</v>
      </c>
      <c r="J39" s="9">
        <v>0</v>
      </c>
      <c r="K39" s="9">
        <v>0</v>
      </c>
    </row>
    <row r="40" spans="1:11" x14ac:dyDescent="0.25">
      <c r="A40" s="26">
        <v>222222222</v>
      </c>
      <c r="B40" s="25"/>
      <c r="C40" s="26" t="s">
        <v>2277</v>
      </c>
      <c r="D40" s="27" t="s">
        <v>2285</v>
      </c>
      <c r="E40" s="26">
        <v>3103417558</v>
      </c>
      <c r="F40" s="26" t="s">
        <v>2317</v>
      </c>
      <c r="G40" s="26">
        <v>15001</v>
      </c>
      <c r="H40" s="9">
        <v>302</v>
      </c>
      <c r="I40" s="32">
        <v>46593501</v>
      </c>
      <c r="J40" s="9">
        <v>0</v>
      </c>
      <c r="K40" s="9">
        <v>0</v>
      </c>
    </row>
    <row r="41" spans="1:11" x14ac:dyDescent="0.25">
      <c r="A41" s="26">
        <v>6754657</v>
      </c>
      <c r="B41" s="25"/>
      <c r="C41" s="26" t="s">
        <v>2284</v>
      </c>
      <c r="D41" s="27" t="s">
        <v>2285</v>
      </c>
      <c r="E41" s="26">
        <v>3103417558</v>
      </c>
      <c r="F41" s="26" t="s">
        <v>2317</v>
      </c>
      <c r="G41" s="26">
        <v>15001</v>
      </c>
      <c r="H41" s="9">
        <v>302</v>
      </c>
      <c r="I41" s="32">
        <v>60000000</v>
      </c>
      <c r="J41" s="9">
        <v>0</v>
      </c>
      <c r="K41" s="9">
        <v>0</v>
      </c>
    </row>
    <row r="42" spans="1:11" x14ac:dyDescent="0.25">
      <c r="A42" s="26">
        <v>900259348</v>
      </c>
      <c r="B42" s="25">
        <v>5</v>
      </c>
      <c r="C42" s="26" t="s">
        <v>2278</v>
      </c>
      <c r="D42" s="27" t="s">
        <v>2285</v>
      </c>
      <c r="E42" s="26">
        <v>3103417558</v>
      </c>
      <c r="F42" s="26" t="s">
        <v>2318</v>
      </c>
      <c r="G42" s="26">
        <v>15516</v>
      </c>
      <c r="H42" s="9">
        <v>302</v>
      </c>
      <c r="I42" s="32">
        <f>289550+238050+203550</f>
        <v>731150</v>
      </c>
      <c r="J42" s="9">
        <v>0</v>
      </c>
      <c r="K42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DOS</cp:lastModifiedBy>
  <dcterms:created xsi:type="dcterms:W3CDTF">2015-06-05T18:19:34Z</dcterms:created>
  <dcterms:modified xsi:type="dcterms:W3CDTF">2025-08-27T16:31:34Z</dcterms:modified>
</cp:coreProperties>
</file>