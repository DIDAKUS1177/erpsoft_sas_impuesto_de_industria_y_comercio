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ORTATIL\Documents\EXOGENA PAIPA\"/>
    </mc:Choice>
  </mc:AlternateContent>
  <xr:revisionPtr revIDLastSave="0" documentId="13_ncr:1_{6E0DF2DE-56E2-4CC0-AE57-05209A698762}" xr6:coauthVersionLast="47" xr6:coauthVersionMax="47" xr10:uidLastSave="{00000000-0000-0000-0000-000000000000}"/>
  <bookViews>
    <workbookView xWindow="-110" yWindow="-110" windowWidth="19420" windowHeight="10300" tabRatio="601" xr2:uid="{00000000-000D-0000-FFFF-FFFF00000000}"/>
  </bookViews>
  <sheets>
    <sheet name="PFE5" sheetId="1" r:id="rId1"/>
    <sheet name="Hoja1" sheetId="4" r:id="rId2"/>
    <sheet name="Actividades" sheetId="2" r:id="rId3"/>
    <sheet name="Municipios" sheetId="3" r:id="rId4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G11" i="4"/>
  <c r="G12" i="4"/>
  <c r="G13" i="4"/>
  <c r="G14" i="4"/>
  <c r="G9" i="4"/>
</calcChain>
</file>

<file path=xl/sharedStrings.xml><?xml version="1.0" encoding="utf-8"?>
<sst xmlns="http://schemas.openxmlformats.org/spreadsheetml/2006/main" count="2493" uniqueCount="2379">
  <si>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</si>
  <si>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</si>
  <si>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</si>
  <si>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</si>
  <si>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</si>
  <si>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</si>
  <si>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</si>
  <si>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</si>
  <si>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</si>
  <si>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</si>
  <si>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</si>
  <si>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</si>
  <si>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</si>
  <si>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</si>
  <si>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</si>
  <si>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</si>
  <si>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</si>
  <si>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</si>
  <si>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</si>
  <si>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</si>
  <si>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</si>
  <si>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</si>
  <si>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</si>
  <si>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</si>
  <si>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</si>
  <si>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</si>
  <si>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</si>
  <si>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</si>
  <si>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</si>
  <si>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</si>
  <si>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</si>
  <si>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</si>
  <si>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</si>
  <si>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</si>
  <si>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</si>
  <si>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</si>
  <si>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</si>
  <si>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</si>
  <si>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</si>
  <si>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</si>
  <si>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</si>
  <si>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</si>
  <si>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</si>
  <si>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</si>
  <si>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</si>
  <si>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</si>
  <si>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</si>
  <si>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</si>
  <si>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</si>
  <si>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</si>
  <si>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</si>
  <si>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</si>
  <si>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</si>
  <si>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</si>
  <si>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</si>
  <si>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</si>
  <si>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</si>
  <si>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</si>
  <si>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</si>
  <si>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</si>
  <si>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</si>
  <si>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</si>
  <si>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</si>
  <si>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</si>
  <si>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</si>
  <si>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</si>
  <si>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</si>
  <si>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</si>
  <si>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</si>
  <si>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</si>
  <si>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</si>
  <si>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</si>
  <si>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</si>
  <si>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</si>
  <si>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</si>
  <si>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</si>
  <si>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</si>
  <si>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</si>
  <si>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</si>
  <si>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</si>
  <si>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</si>
  <si>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</si>
  <si>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</si>
  <si>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</si>
  <si>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</si>
  <si>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</si>
  <si>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</si>
  <si>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</si>
  <si>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</si>
  <si>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</si>
  <si>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</si>
  <si>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</si>
  <si>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</si>
  <si>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</si>
  <si>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</si>
  <si>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</si>
  <si>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</si>
  <si>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</si>
  <si>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</si>
  <si>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</si>
  <si>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</si>
  <si>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</si>
  <si>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</si>
  <si>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</si>
  <si>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</si>
  <si>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</si>
  <si>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</si>
  <si>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</si>
  <si>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</si>
  <si>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</si>
  <si>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</si>
  <si>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</si>
  <si>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</si>
  <si>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</si>
  <si>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</si>
  <si>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</si>
  <si>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</si>
  <si>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</si>
  <si>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</si>
  <si>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</si>
  <si>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</si>
  <si>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</si>
  <si>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</si>
  <si>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</si>
  <si>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</si>
  <si>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</si>
  <si>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</si>
  <si>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</si>
  <si>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</si>
  <si>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</si>
  <si>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</si>
  <si>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</si>
  <si>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</si>
  <si>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</si>
  <si>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</si>
  <si>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</si>
  <si>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</si>
  <si>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</si>
  <si>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</si>
  <si>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</si>
  <si>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</si>
  <si>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</si>
  <si>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</si>
  <si>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</si>
  <si>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</si>
  <si>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</si>
  <si>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</si>
  <si>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</si>
  <si>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</si>
  <si>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</si>
  <si>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</si>
  <si>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</si>
  <si>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</si>
  <si>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</si>
  <si>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</si>
  <si>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</si>
  <si>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</si>
  <si>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</si>
  <si>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</si>
  <si>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</si>
  <si>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</si>
  <si>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</si>
  <si>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</si>
  <si>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</si>
  <si>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</si>
  <si>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</si>
  <si>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</si>
  <si>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</si>
  <si>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</si>
  <si>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</si>
  <si>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</si>
  <si>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</si>
  <si>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</si>
  <si>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</si>
  <si>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</si>
  <si>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</si>
  <si>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</si>
  <si>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</si>
  <si>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</si>
  <si>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</si>
  <si>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</si>
  <si>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</si>
  <si>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</si>
  <si>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</si>
  <si>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</si>
  <si>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</si>
  <si>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</si>
  <si>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</si>
  <si>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</si>
  <si>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</si>
  <si>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</si>
  <si>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</si>
  <si>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</si>
  <si>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</si>
  <si>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</si>
  <si>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</si>
  <si>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</si>
  <si>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</si>
  <si>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</si>
  <si>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</si>
  <si>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</si>
  <si>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</si>
  <si>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</si>
  <si>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</si>
  <si>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</si>
  <si>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</si>
  <si>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</si>
  <si>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</si>
  <si>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</si>
  <si>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</si>
  <si>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</si>
  <si>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</si>
  <si>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</si>
  <si>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</si>
  <si>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</si>
  <si>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</si>
  <si>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</si>
  <si>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</si>
  <si>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</si>
  <si>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</si>
  <si>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</si>
  <si>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</si>
  <si>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</si>
  <si>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</si>
  <si>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</si>
  <si>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</si>
  <si>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</si>
  <si>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</si>
  <si>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</si>
  <si>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</si>
  <si>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</si>
  <si>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</si>
  <si>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</si>
  <si>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</si>
  <si>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</si>
  <si>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</si>
  <si>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</si>
  <si>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</si>
  <si>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</si>
  <si>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</si>
  <si>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</si>
  <si>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</si>
  <si>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</si>
  <si>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</si>
  <si>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</si>
  <si>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</si>
  <si>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</si>
  <si>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</si>
  <si>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</si>
  <si>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</si>
  <si>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</si>
  <si>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</si>
  <si>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</si>
  <si>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</si>
  <si>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</si>
  <si>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</si>
  <si>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</si>
  <si>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</si>
  <si>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</si>
  <si>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</si>
  <si>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</si>
  <si>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</si>
  <si>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</si>
  <si>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</si>
  <si>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</si>
  <si>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</si>
  <si>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</si>
  <si>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</si>
  <si>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</si>
  <si>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</si>
  <si>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</si>
  <si>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</si>
  <si>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</si>
  <si>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</si>
  <si>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</si>
  <si>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</si>
  <si>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</si>
  <si>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</si>
  <si>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</si>
  <si>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</si>
  <si>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</si>
  <si>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</si>
  <si>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</si>
  <si>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</si>
  <si>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</si>
  <si>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</si>
  <si>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</si>
  <si>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</si>
  <si>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</si>
  <si>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</si>
  <si>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</si>
  <si>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</si>
  <si>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</si>
  <si>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</si>
  <si>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</si>
  <si>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</si>
  <si>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</si>
  <si>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</si>
  <si>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</si>
  <si>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</si>
  <si>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</si>
  <si>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</si>
  <si>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</si>
  <si>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</si>
  <si>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</si>
  <si>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</si>
  <si>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</si>
  <si>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</si>
  <si>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</si>
  <si>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</si>
  <si>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</si>
  <si>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</si>
  <si>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</si>
  <si>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</si>
  <si>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</si>
  <si>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</si>
  <si>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</si>
  <si>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</si>
  <si>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</si>
  <si>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</si>
  <si>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</si>
  <si>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</si>
  <si>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</si>
  <si>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</si>
  <si>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</si>
  <si>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</si>
  <si>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</si>
  <si>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</si>
  <si>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</si>
  <si>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</si>
  <si>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</si>
  <si>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</si>
  <si>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</si>
  <si>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</si>
  <si>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</si>
  <si>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</si>
  <si>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</si>
  <si>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</si>
  <si>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</si>
  <si>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</si>
  <si>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</si>
  <si>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</si>
  <si>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</si>
  <si>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</si>
  <si>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</si>
  <si>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</si>
  <si>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</si>
  <si>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</si>
  <si>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</si>
  <si>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</si>
  <si>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</si>
  <si>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</si>
  <si>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</si>
  <si>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</si>
  <si>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</si>
  <si>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</si>
  <si>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</si>
  <si>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</si>
  <si>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</si>
  <si>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</si>
  <si>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</si>
  <si>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</si>
  <si>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</si>
  <si>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</si>
  <si>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</si>
  <si>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</si>
  <si>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</si>
  <si>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</si>
  <si>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</si>
  <si>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</si>
  <si>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</si>
  <si>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</si>
  <si>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</si>
  <si>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</si>
  <si>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</si>
  <si>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</si>
  <si>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</si>
  <si>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</si>
  <si>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</si>
  <si>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</si>
  <si>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</si>
  <si>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</si>
  <si>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</si>
  <si>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</si>
  <si>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</si>
  <si>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</si>
  <si>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</si>
  <si>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</si>
  <si>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</si>
  <si>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</si>
  <si>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</si>
  <si>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</si>
  <si>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</si>
  <si>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</si>
  <si>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</si>
  <si>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</si>
  <si>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</si>
  <si>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</si>
  <si>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</si>
  <si>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</si>
  <si>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</si>
  <si>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</si>
  <si>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</si>
  <si>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</si>
  <si>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</si>
  <si>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</si>
  <si>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</si>
  <si>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</si>
  <si>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</si>
  <si>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</si>
  <si>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</si>
  <si>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</si>
  <si>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</si>
  <si>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</si>
  <si>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</si>
  <si>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</si>
  <si>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</si>
  <si>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</si>
  <si>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</si>
  <si>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</si>
  <si>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</si>
  <si>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</si>
  <si>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</si>
  <si>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</si>
  <si>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</si>
  <si>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</si>
  <si>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</si>
  <si>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</si>
  <si>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</si>
  <si>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</si>
  <si>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</si>
  <si>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</si>
  <si>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</si>
  <si>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</si>
  <si>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</si>
  <si>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</si>
  <si>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</si>
  <si>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</si>
  <si>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</si>
  <si>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</si>
  <si>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</si>
  <si>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</si>
  <si>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</si>
  <si>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</si>
  <si>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</si>
  <si>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</si>
  <si>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</si>
  <si>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</si>
  <si>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</si>
  <si>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</si>
  <si>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</si>
  <si>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</si>
  <si>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</si>
  <si>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</si>
  <si>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</si>
  <si>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</si>
  <si>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</si>
  <si>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</si>
  <si>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</si>
  <si>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</si>
  <si>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</si>
  <si>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</si>
  <si>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</si>
  <si>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</si>
  <si>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</si>
  <si>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</si>
  <si>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</si>
  <si>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</si>
  <si>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</si>
  <si>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</si>
  <si>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</si>
  <si>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</si>
  <si>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</si>
  <si>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</si>
  <si>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</si>
  <si>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</si>
  <si>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</si>
  <si>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</si>
  <si>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</si>
  <si>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</si>
  <si>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</si>
  <si>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</si>
  <si>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</si>
  <si>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</si>
  <si>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</si>
  <si>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</si>
  <si>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</si>
  <si>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</si>
  <si>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</si>
  <si>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</si>
  <si>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</si>
  <si>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</si>
  <si>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</si>
  <si>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</si>
  <si>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</si>
  <si>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</si>
  <si>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</si>
  <si>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</si>
  <si>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</si>
  <si>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</si>
  <si>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</si>
  <si>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</si>
  <si>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</si>
  <si>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</si>
  <si>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</si>
  <si>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</si>
  <si>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</si>
  <si>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</si>
  <si>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</si>
  <si>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</si>
  <si>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</si>
  <si>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</si>
  <si>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</si>
  <si>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</si>
  <si>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</si>
  <si>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</si>
  <si>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</si>
  <si>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</si>
  <si>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</si>
  <si>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</si>
  <si>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</si>
  <si>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</si>
  <si>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</si>
  <si>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</si>
  <si>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</si>
  <si>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</si>
  <si>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</si>
  <si>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</si>
  <si>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</si>
  <si>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</si>
  <si>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</si>
  <si>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</si>
  <si>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</si>
  <si>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</si>
  <si>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</si>
  <si>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</si>
  <si>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</si>
  <si>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</si>
  <si>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</si>
  <si>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</si>
  <si>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</si>
  <si>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</si>
  <si>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</si>
  <si>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</si>
  <si>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</si>
  <si>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</si>
  <si>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</si>
  <si>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</si>
  <si>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</si>
  <si>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</si>
  <si>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</si>
  <si>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</si>
  <si>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</si>
  <si>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</si>
  <si>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</si>
  <si>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</si>
  <si>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</si>
  <si>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</si>
  <si>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</si>
  <si>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</si>
  <si>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</si>
  <si>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</si>
  <si>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</si>
  <si>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</si>
  <si>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</si>
  <si>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</si>
  <si>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</si>
  <si>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</si>
  <si>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</si>
  <si>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</si>
  <si>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</si>
  <si>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</si>
  <si>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</si>
  <si>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</si>
  <si>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</si>
  <si>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</si>
  <si>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</si>
  <si>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</si>
  <si>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</si>
  <si>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</si>
  <si>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</si>
  <si>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</si>
  <si>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</si>
  <si>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</si>
  <si>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</si>
  <si>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</si>
  <si>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</si>
  <si>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</si>
  <si>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</si>
  <si>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</si>
  <si>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</si>
  <si>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</si>
  <si>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</si>
  <si>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</si>
  <si>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</si>
  <si>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</si>
  <si>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</si>
  <si>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</si>
  <si>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</si>
  <si>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</si>
  <si>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</si>
  <si>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</si>
  <si>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</si>
  <si>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</si>
  <si>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</si>
  <si>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</si>
  <si>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</si>
  <si>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</si>
  <si>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</si>
  <si>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</si>
  <si>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</si>
  <si>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</si>
  <si>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</si>
  <si>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</si>
  <si>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</si>
  <si>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</si>
  <si>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</si>
  <si>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</si>
  <si>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</si>
  <si>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</si>
  <si>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</si>
  <si>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</si>
  <si>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</si>
  <si>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</si>
  <si>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</si>
  <si>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</si>
  <si>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</si>
  <si>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</si>
  <si>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</si>
  <si>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</si>
  <si>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</si>
  <si>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</si>
  <si>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</si>
  <si>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</si>
  <si>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</si>
  <si>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</si>
  <si>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</si>
  <si>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</si>
  <si>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</si>
  <si>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</si>
  <si>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</si>
  <si>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</si>
  <si>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</si>
  <si>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</si>
  <si>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</si>
  <si>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</si>
  <si>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</si>
  <si>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</si>
  <si>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</si>
  <si>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</si>
  <si>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</si>
  <si>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</si>
  <si>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</si>
  <si>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</si>
  <si>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</si>
  <si>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</si>
  <si>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</si>
  <si>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</si>
  <si>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</si>
  <si>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</si>
  <si>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</si>
  <si>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</si>
  <si>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</si>
  <si>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</si>
  <si>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</si>
  <si>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</si>
  <si>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</si>
  <si>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</si>
  <si>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</si>
  <si>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</si>
  <si>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</si>
  <si>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</si>
  <si>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</si>
  <si>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</si>
  <si>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</si>
  <si>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</si>
  <si>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</si>
  <si>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</si>
  <si>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</si>
  <si>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</si>
  <si>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</si>
  <si>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</si>
  <si>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</si>
  <si>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</si>
  <si>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</si>
  <si>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</si>
  <si>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</si>
  <si>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</si>
  <si>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</si>
  <si>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</si>
  <si>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</si>
  <si>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</si>
  <si>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</si>
  <si>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</si>
  <si>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</si>
  <si>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</si>
  <si>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</si>
  <si>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</si>
  <si>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</si>
  <si>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</si>
  <si>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</si>
  <si>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</si>
  <si>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</si>
  <si>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</si>
  <si>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</si>
  <si>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</si>
  <si>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</si>
  <si>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</si>
  <si>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</si>
  <si>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</si>
  <si>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</si>
  <si>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</si>
  <si>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</si>
  <si>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</si>
  <si>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</si>
  <si>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</si>
  <si>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</si>
  <si>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</si>
  <si>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</si>
  <si>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</si>
  <si>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</si>
  <si>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</si>
  <si>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</si>
  <si>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</si>
  <si>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</si>
  <si>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</si>
  <si>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</si>
  <si>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</si>
  <si>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</si>
  <si>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</si>
  <si>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</si>
  <si>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</si>
  <si>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</si>
  <si>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</si>
  <si>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</si>
  <si>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</si>
  <si>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</si>
  <si>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</si>
  <si>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</si>
  <si>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</si>
  <si>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</si>
  <si>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</si>
  <si>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</si>
  <si>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</si>
  <si>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</si>
  <si>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</si>
  <si>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</si>
  <si>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</si>
  <si>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</si>
  <si>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</si>
  <si>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</si>
  <si>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</si>
  <si>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</si>
  <si>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</si>
  <si>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</si>
  <si>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</si>
  <si>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</si>
  <si>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</si>
  <si>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</si>
  <si>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</si>
  <si>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</si>
  <si>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</si>
  <si>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</si>
  <si>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</si>
  <si>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</si>
  <si>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</si>
  <si>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</si>
  <si>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</si>
  <si>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</si>
  <si>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</si>
  <si>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</si>
  <si>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</si>
  <si>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</si>
  <si>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</si>
  <si>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</si>
  <si>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</si>
  <si>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</si>
  <si>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</si>
  <si>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</si>
  <si>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</si>
  <si>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</si>
  <si>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</si>
  <si>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</si>
  <si>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</si>
  <si>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</si>
  <si>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</si>
  <si>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</si>
  <si>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</si>
  <si>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</si>
  <si>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</si>
  <si>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</si>
  <si>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</si>
  <si>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</si>
  <si>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</si>
  <si>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</si>
  <si>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</si>
  <si>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</si>
  <si>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</si>
  <si>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</si>
  <si>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</si>
  <si>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</si>
  <si>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</si>
  <si>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</si>
  <si>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</si>
  <si>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</si>
  <si>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</si>
  <si>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</si>
  <si>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</si>
  <si>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</si>
  <si>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</si>
  <si>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</si>
  <si>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</si>
  <si>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</si>
  <si>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</si>
  <si>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</si>
  <si>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</si>
  <si>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</si>
  <si>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</si>
  <si>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</si>
  <si>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</si>
  <si>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</si>
  <si>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</si>
  <si>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</si>
  <si>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</si>
  <si>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</si>
  <si>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</si>
  <si>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</si>
  <si>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</si>
  <si>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</si>
  <si>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</si>
  <si>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</si>
  <si>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</si>
  <si>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</si>
  <si>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</si>
  <si>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</si>
  <si>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</si>
  <si>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</si>
  <si>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</si>
  <si>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</si>
  <si>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</si>
  <si>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</si>
  <si>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</si>
  <si>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</si>
  <si>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</si>
  <si>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</si>
  <si>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</si>
  <si>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</si>
  <si>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</si>
  <si>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</si>
  <si>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</si>
  <si>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</si>
  <si>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</si>
  <si>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</si>
  <si>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</si>
  <si>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</si>
  <si>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</si>
  <si>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</si>
  <si>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</si>
  <si>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</si>
  <si>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</si>
  <si>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</si>
  <si>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</si>
  <si>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</si>
  <si>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</si>
  <si>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</si>
  <si>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</si>
  <si>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</si>
  <si>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</si>
  <si>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</si>
  <si>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</si>
  <si>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</si>
  <si>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</si>
  <si>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</si>
  <si>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</si>
  <si>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</si>
  <si>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</si>
  <si>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</si>
  <si>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</si>
  <si>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</si>
  <si>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</si>
  <si>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</si>
  <si>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</si>
  <si>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</si>
  <si>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</si>
  <si>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</si>
  <si>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</si>
  <si>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</si>
  <si>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</si>
  <si>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</si>
  <si>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</si>
  <si>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</si>
  <si>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</si>
  <si>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</si>
  <si>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</si>
  <si>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</si>
  <si>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</si>
  <si>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</si>
  <si>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</si>
  <si>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</si>
  <si>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</si>
  <si>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</si>
  <si>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</si>
  <si>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</si>
  <si>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</si>
  <si>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</si>
  <si>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</si>
  <si>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</si>
  <si>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</si>
  <si>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</si>
  <si>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</si>
  <si>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</si>
  <si>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</si>
  <si>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</si>
  <si>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</si>
  <si>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</si>
  <si>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</si>
  <si>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</si>
  <si>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</si>
  <si>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</si>
  <si>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</si>
  <si>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</si>
  <si>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</si>
  <si>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</si>
  <si>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</si>
  <si>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</si>
  <si>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</si>
  <si>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</si>
  <si>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</si>
  <si>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</si>
  <si>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</si>
  <si>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</si>
  <si>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</si>
  <si>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</si>
  <si>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</si>
  <si>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</si>
  <si>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</si>
  <si>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</si>
  <si>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</si>
  <si>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</si>
  <si>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</si>
  <si>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</si>
  <si>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</si>
  <si>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</si>
  <si>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</si>
  <si>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</si>
  <si>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</si>
  <si>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</si>
  <si>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</si>
  <si>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</si>
  <si>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</si>
  <si>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</si>
  <si>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</si>
  <si>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</si>
  <si>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</si>
  <si>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</si>
  <si>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</si>
  <si>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</si>
  <si>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</si>
  <si>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</si>
  <si>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</si>
  <si>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</si>
  <si>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</si>
  <si>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</si>
  <si>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</si>
  <si>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</si>
  <si>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</si>
  <si>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</si>
  <si>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</si>
  <si>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</si>
  <si>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</si>
  <si>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</si>
  <si>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</si>
  <si>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</si>
  <si>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</si>
  <si>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</si>
  <si>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</si>
  <si>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</si>
  <si>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</si>
  <si>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</si>
  <si>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</si>
  <si>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</si>
  <si>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</si>
  <si>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</si>
  <si>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</si>
  <si>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</si>
  <si>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</si>
  <si>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</si>
  <si>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</si>
  <si>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</si>
  <si>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</si>
  <si>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</si>
  <si>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</si>
  <si>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</si>
  <si>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</si>
  <si>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</si>
  <si>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</si>
  <si>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</si>
  <si>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</si>
  <si>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</si>
  <si>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</si>
  <si>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</si>
  <si>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</si>
  <si>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</si>
  <si>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</si>
  <si>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</si>
  <si>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</si>
  <si>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</si>
  <si>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</si>
  <si>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</si>
  <si>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</si>
  <si>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</si>
  <si>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</si>
  <si>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</si>
  <si>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</si>
  <si>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</si>
  <si>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</si>
  <si>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</si>
  <si>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</si>
  <si>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</si>
  <si>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</si>
  <si>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</si>
  <si>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</si>
  <si>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</si>
  <si>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</si>
  <si>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</si>
  <si>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</si>
  <si>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</si>
  <si>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</si>
  <si>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</si>
  <si>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</si>
  <si>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</si>
  <si>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</si>
  <si>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</si>
  <si>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</si>
  <si>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</si>
  <si>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</si>
  <si>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</si>
  <si>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</si>
  <si>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</si>
  <si>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</si>
  <si>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</si>
  <si>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</si>
  <si>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</si>
  <si>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</si>
  <si>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</si>
  <si>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</si>
  <si>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</si>
  <si>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</si>
  <si>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</si>
  <si>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</si>
  <si>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</si>
  <si>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</si>
  <si>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</si>
  <si>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</si>
  <si>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</si>
  <si>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</si>
  <si>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</si>
  <si>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</si>
  <si>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</si>
  <si>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</si>
  <si>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</si>
  <si>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</si>
  <si>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</si>
  <si>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</si>
  <si>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</si>
  <si>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</si>
  <si>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</si>
  <si>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</si>
  <si>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</si>
  <si>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</si>
  <si>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</si>
  <si>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</si>
  <si>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</si>
  <si>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</si>
  <si>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</si>
  <si>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</si>
  <si>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</si>
  <si>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</si>
  <si>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</si>
  <si>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</si>
  <si>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</si>
  <si>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</si>
  <si>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</si>
  <si>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</si>
  <si>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</si>
  <si>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</si>
  <si>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</si>
  <si>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</si>
  <si>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</si>
  <si>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</si>
  <si>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</si>
  <si>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</si>
  <si>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</si>
  <si>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</si>
  <si>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</si>
  <si>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</si>
  <si>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</si>
  <si>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</si>
  <si>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</si>
  <si>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</si>
  <si>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</si>
  <si>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</si>
  <si>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</si>
  <si>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</si>
  <si>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</si>
  <si>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</si>
  <si>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</si>
  <si>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</si>
  <si>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</si>
  <si>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</si>
  <si>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</si>
  <si>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</si>
  <si>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</si>
  <si>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</si>
  <si>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</si>
  <si>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</si>
  <si>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</si>
  <si>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</si>
  <si>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</si>
  <si>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</si>
  <si>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</si>
  <si>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</si>
  <si>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</si>
  <si>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</si>
  <si>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</si>
  <si>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</si>
  <si>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</si>
  <si>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</si>
  <si>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</si>
  <si>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</si>
  <si>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</si>
  <si>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</si>
  <si>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</si>
  <si>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</si>
  <si>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</si>
  <si>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</si>
  <si>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</si>
  <si>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</si>
  <si>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</si>
  <si>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</si>
  <si>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</si>
  <si>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</si>
  <si>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</si>
  <si>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</si>
  <si>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</si>
  <si>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</si>
  <si>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</si>
  <si>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</si>
  <si>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</si>
  <si>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</si>
  <si>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</si>
  <si>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</si>
  <si>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</si>
  <si>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</si>
  <si>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</si>
  <si>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</si>
  <si>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</si>
  <si>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</si>
  <si>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</si>
  <si>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</si>
  <si>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</si>
  <si>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</si>
  <si>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</si>
  <si>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</si>
  <si>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</si>
  <si>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</si>
  <si>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</si>
  <si>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</si>
  <si>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</si>
  <si>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</si>
  <si>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</si>
  <si>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</si>
  <si>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</si>
  <si>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</si>
  <si>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</si>
  <si>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</si>
  <si>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</si>
  <si>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</si>
  <si>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</si>
  <si>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</si>
  <si>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</si>
  <si>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</si>
  <si>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</si>
  <si>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</si>
  <si>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</si>
  <si>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</si>
  <si>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</si>
  <si>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</si>
  <si>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</si>
  <si>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</si>
  <si>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</si>
  <si>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</si>
  <si>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</si>
  <si>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</si>
  <si>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</si>
  <si>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</si>
  <si>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</si>
  <si>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</si>
  <si>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</si>
  <si>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</si>
  <si>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</si>
  <si>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</si>
  <si>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</si>
  <si>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</si>
  <si>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</si>
  <si>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</si>
  <si>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</si>
  <si>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</si>
  <si>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</si>
  <si>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</si>
  <si>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</si>
  <si>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</si>
  <si>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</si>
  <si>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</si>
  <si>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</si>
  <si>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</si>
  <si>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</si>
  <si>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</si>
  <si>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</si>
  <si>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</si>
  <si>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</si>
  <si>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</si>
  <si>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</si>
  <si>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</si>
  <si>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</si>
  <si>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</si>
  <si>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</si>
  <si>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</si>
  <si>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</si>
  <si>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</si>
  <si>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</si>
  <si>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</si>
  <si>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</si>
  <si>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</si>
  <si>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</si>
  <si>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</si>
  <si>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</si>
  <si>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</si>
  <si>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</si>
  <si>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</si>
  <si>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</si>
  <si>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</si>
  <si>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</si>
  <si>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</si>
  <si>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</si>
  <si>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</si>
  <si>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</si>
  <si>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</si>
  <si>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</si>
  <si>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</si>
  <si>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</si>
  <si>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</si>
  <si>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</si>
  <si>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</si>
  <si>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</si>
  <si>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</si>
  <si>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</si>
  <si>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</si>
  <si>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</si>
  <si>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</si>
  <si>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</si>
  <si>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</si>
  <si>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</si>
  <si>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</si>
  <si>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</si>
  <si>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</si>
  <si>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</si>
  <si>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</si>
  <si>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</si>
  <si>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</si>
  <si>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</si>
  <si>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</si>
  <si>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</si>
  <si>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</si>
  <si>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</si>
  <si>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</si>
  <si>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</si>
  <si>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</si>
  <si>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</si>
  <si>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</si>
  <si>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</si>
  <si>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</si>
  <si>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</si>
  <si>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</si>
  <si>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</si>
  <si>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</si>
  <si>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</si>
  <si>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</si>
  <si>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</si>
  <si>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</si>
  <si>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</si>
  <si>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</si>
  <si>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</si>
  <si>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</si>
  <si>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</si>
  <si>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</si>
  <si>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</si>
  <si>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</si>
  <si>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</si>
  <si>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</si>
  <si>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</si>
  <si>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</si>
  <si>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</si>
  <si>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</si>
  <si>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</si>
  <si>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</si>
  <si>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</si>
  <si>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</si>
  <si>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</si>
  <si>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</si>
  <si>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</si>
  <si>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</si>
  <si>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</si>
  <si>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</si>
  <si>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</si>
  <si>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</si>
  <si>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</si>
  <si>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</si>
  <si>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</si>
  <si>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</si>
  <si>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</si>
  <si>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</si>
  <si>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</si>
  <si>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</si>
  <si>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</si>
  <si>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</si>
  <si>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</si>
  <si>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</si>
  <si>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</si>
  <si>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</si>
  <si>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</si>
  <si>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</si>
  <si>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</si>
  <si>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</si>
  <si>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</si>
  <si>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</si>
  <si>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</si>
  <si>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</si>
  <si>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</si>
  <si>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</si>
  <si>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</si>
  <si>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</si>
  <si>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</si>
  <si>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</si>
  <si>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</si>
  <si>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</si>
  <si>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</si>
  <si>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</si>
  <si>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</si>
  <si>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</si>
  <si>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</si>
  <si>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</si>
  <si>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</si>
  <si>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</si>
  <si>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</si>
  <si>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</si>
  <si>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</si>
  <si>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</si>
  <si>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</si>
  <si>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</si>
  <si>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</si>
  <si>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</si>
  <si>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</si>
  <si>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</si>
  <si>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</si>
  <si>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</si>
  <si>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</si>
  <si>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</si>
  <si>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</si>
  <si>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</si>
  <si>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</si>
  <si>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</si>
  <si>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</si>
  <si>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</si>
  <si>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</si>
  <si>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</si>
  <si>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</si>
  <si>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</si>
  <si>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</si>
  <si>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</si>
  <si>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</si>
  <si>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</si>
  <si>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</si>
  <si>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</si>
  <si>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</si>
  <si>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</si>
  <si>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</si>
  <si>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</si>
  <si>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</si>
  <si>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</si>
  <si>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</si>
  <si>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</si>
  <si>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</si>
  <si>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</si>
  <si>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</si>
  <si>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</si>
  <si>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</si>
  <si>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</si>
  <si>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</si>
  <si>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</si>
  <si>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</si>
  <si>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</si>
  <si>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</si>
  <si>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</si>
  <si>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</si>
  <si>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</si>
  <si>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</si>
  <si>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</si>
  <si>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</si>
  <si>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</si>
  <si>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</si>
  <si>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</si>
  <si>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</si>
  <si>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</si>
  <si>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</si>
  <si>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</si>
  <si>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</si>
  <si>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</si>
  <si>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</si>
  <si>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</si>
  <si>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</si>
  <si>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</si>
  <si>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</si>
  <si>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</si>
  <si>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</si>
  <si>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</si>
  <si>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</si>
  <si>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</si>
  <si>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</si>
  <si>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</si>
  <si>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</si>
  <si>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</si>
  <si>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</si>
  <si>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</si>
  <si>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</si>
  <si>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</si>
  <si>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</si>
  <si>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</si>
  <si>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</si>
  <si>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</si>
  <si>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</si>
  <si>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</si>
  <si>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</si>
  <si>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</si>
  <si>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</si>
  <si>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</si>
  <si>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</si>
  <si>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</si>
  <si>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</si>
  <si>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</si>
  <si>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</si>
  <si>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</si>
  <si>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</si>
  <si>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</si>
  <si>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</si>
  <si>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</si>
  <si>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</si>
  <si>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</si>
  <si>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</si>
  <si>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</si>
  <si>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</si>
  <si>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</si>
  <si>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</si>
  <si>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</si>
  <si>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</si>
  <si>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</si>
  <si>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</si>
  <si>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</si>
  <si>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</si>
  <si>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</si>
  <si>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</si>
  <si>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</si>
  <si>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</si>
  <si>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</si>
  <si>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</si>
  <si>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</si>
  <si>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</si>
  <si>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</si>
  <si>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</si>
  <si>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</si>
  <si>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</si>
  <si>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</si>
  <si>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</si>
  <si>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</si>
  <si>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</si>
  <si>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</si>
  <si>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</si>
  <si>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</si>
  <si>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</si>
  <si>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</si>
  <si>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</si>
  <si>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</si>
  <si>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</si>
  <si>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</si>
  <si>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</si>
  <si>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</si>
  <si>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</si>
  <si>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</si>
  <si>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</si>
  <si>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</si>
  <si>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</si>
  <si>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</si>
  <si>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</si>
  <si>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</si>
  <si>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</si>
  <si>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</si>
  <si>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</si>
  <si>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</si>
  <si>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</si>
  <si>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</si>
  <si>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</si>
  <si>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</si>
  <si>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</si>
  <si>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</si>
  <si>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</si>
  <si>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</si>
  <si>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</si>
  <si>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</si>
  <si>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</si>
  <si>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</si>
  <si>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</si>
  <si>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</si>
  <si>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</si>
  <si>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</si>
  <si>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</si>
  <si>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</si>
  <si>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</si>
  <si>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</si>
  <si>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</si>
  <si>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</si>
  <si>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</si>
  <si>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</si>
  <si>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</si>
  <si>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</si>
  <si>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</si>
  <si>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</si>
  <si>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</si>
  <si>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</si>
  <si>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</si>
  <si>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</si>
  <si>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</si>
  <si>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</si>
  <si>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</si>
  <si>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</si>
  <si>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</si>
  <si>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</si>
  <si>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</si>
  <si>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</si>
  <si>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</si>
  <si>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</si>
  <si>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</si>
  <si>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</si>
  <si>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</si>
  <si>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</si>
  <si>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</si>
  <si>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</si>
  <si>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</si>
  <si>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</si>
  <si>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</si>
  <si>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</si>
  <si>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</si>
  <si>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</si>
  <si>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</si>
  <si>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</si>
  <si>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</si>
  <si>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</si>
  <si>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</si>
  <si>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</si>
  <si>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</si>
  <si>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</si>
  <si>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</si>
  <si>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</si>
  <si>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</si>
  <si>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</si>
  <si>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</si>
  <si>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</si>
  <si>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</si>
  <si>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</si>
  <si>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</si>
  <si>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</si>
  <si>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</si>
  <si>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</si>
  <si>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</si>
  <si>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</si>
  <si>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</si>
  <si>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</si>
  <si>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</si>
  <si>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</si>
  <si>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</si>
  <si>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</si>
  <si>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</si>
  <si>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</si>
  <si>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</si>
  <si>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</si>
  <si>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</si>
  <si>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</si>
  <si>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</si>
  <si>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</si>
  <si>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</si>
  <si>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</si>
  <si>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</si>
  <si>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</si>
  <si>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</si>
  <si>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</si>
  <si>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</si>
  <si>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</si>
  <si>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</si>
  <si>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</si>
  <si>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</si>
  <si>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</si>
  <si>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</si>
  <si>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</si>
  <si>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</si>
  <si>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</si>
  <si>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</si>
  <si>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</si>
  <si>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</si>
  <si>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</si>
  <si>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</si>
  <si>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</si>
  <si>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</si>
  <si>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</si>
  <si>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</si>
  <si>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</si>
  <si>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</si>
  <si>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</si>
  <si>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</si>
  <si>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</si>
  <si>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</si>
  <si>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</si>
  <si>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</si>
  <si>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</si>
  <si>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</si>
  <si>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</si>
  <si>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</si>
  <si>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</si>
  <si>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</si>
  <si>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</si>
  <si>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</si>
  <si>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</si>
  <si>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</si>
  <si>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</si>
  <si>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</si>
  <si>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</si>
  <si>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</si>
  <si>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</si>
  <si>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</si>
  <si>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</si>
  <si>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</si>
  <si>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</si>
  <si>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</si>
  <si>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</si>
  <si>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</si>
  <si>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</si>
  <si>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</si>
  <si>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</si>
  <si>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</si>
  <si>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</si>
  <si>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</si>
  <si>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</si>
  <si>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</si>
  <si>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</si>
  <si>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</si>
  <si>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</si>
  <si>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</si>
  <si>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</si>
  <si>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</si>
  <si>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</si>
  <si>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</si>
  <si>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</si>
  <si>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</si>
  <si>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</si>
  <si>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</si>
  <si>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</si>
  <si>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</si>
  <si>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</si>
  <si>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</si>
  <si>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</si>
  <si>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</si>
  <si>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</si>
  <si>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</si>
  <si>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</si>
  <si>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</si>
  <si>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</si>
  <si>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</si>
  <si>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</si>
  <si>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</si>
  <si>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</si>
  <si>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</si>
  <si>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</si>
  <si>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</si>
  <si>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</si>
  <si>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</si>
  <si>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</si>
  <si>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</si>
  <si>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</si>
  <si>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</si>
  <si>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</si>
  <si>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</si>
  <si>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</si>
  <si>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</si>
  <si>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</si>
  <si>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</si>
  <si>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</si>
  <si>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</si>
  <si>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</si>
  <si>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</si>
  <si>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</si>
  <si>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</si>
  <si>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</si>
  <si>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</si>
  <si>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</si>
  <si>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</si>
  <si>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</si>
  <si>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</si>
  <si>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</si>
  <si>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</si>
  <si>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</si>
  <si>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</si>
  <si>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</si>
  <si>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</si>
  <si>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</si>
  <si>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</si>
  <si>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</si>
  <si>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</si>
  <si>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</si>
  <si>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</si>
  <si>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</si>
  <si>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</si>
  <si>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</si>
  <si>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</si>
  <si>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</si>
  <si>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</si>
  <si>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</si>
  <si>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</si>
  <si>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</si>
  <si>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</si>
  <si>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</si>
  <si>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</si>
  <si>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</si>
  <si>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</si>
  <si>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</si>
  <si>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</si>
  <si>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</si>
  <si>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</si>
  <si>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</si>
  <si>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</si>
  <si>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</si>
  <si>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</si>
  <si>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</si>
  <si>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</si>
  <si>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</si>
  <si>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</si>
  <si>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</si>
  <si>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</si>
  <si>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</si>
  <si>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</si>
  <si>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</si>
  <si>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</si>
  <si>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</si>
  <si>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</si>
  <si>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</si>
  <si>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</si>
  <si>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</si>
  <si>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</si>
  <si>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</si>
  <si>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</si>
  <si>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</si>
  <si>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</si>
  <si>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</si>
  <si>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</si>
  <si>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</si>
  <si>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</si>
  <si>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</si>
  <si>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</si>
  <si>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</si>
  <si>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</si>
  <si>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</si>
  <si>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</si>
  <si>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</si>
  <si>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</si>
  <si>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</si>
  <si>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</si>
  <si>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</si>
  <si>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</si>
  <si>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</si>
  <si>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</si>
  <si>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</si>
  <si>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</si>
  <si>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</si>
  <si>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</si>
  <si>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</si>
  <si>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</si>
  <si>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</si>
  <si>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</si>
  <si>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</si>
  <si>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</si>
  <si>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</si>
  <si>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</si>
  <si>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</si>
  <si>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</si>
  <si>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</si>
  <si>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</si>
  <si>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</si>
  <si>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</si>
  <si>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</si>
  <si>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</si>
  <si>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</si>
  <si>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</si>
  <si>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</si>
  <si>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</si>
  <si>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</si>
  <si>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</si>
  <si>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</si>
  <si>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</si>
  <si>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</si>
  <si>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</si>
  <si>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</si>
  <si>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</si>
  <si>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</si>
  <si>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</si>
  <si>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</si>
  <si>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</si>
  <si>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</si>
  <si>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</si>
  <si>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</si>
  <si>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</si>
  <si>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</si>
  <si>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</si>
  <si>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</si>
  <si>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</si>
  <si>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</si>
  <si>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</si>
  <si>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</si>
  <si>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</si>
  <si>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</si>
  <si>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</si>
  <si>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</si>
  <si>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</si>
  <si>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</si>
  <si>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</si>
  <si>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</si>
  <si>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</si>
  <si>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</si>
  <si>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</si>
  <si>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</si>
  <si>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</si>
  <si>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</si>
  <si>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</si>
  <si>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</si>
  <si>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</si>
  <si>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</si>
  <si>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</si>
  <si>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</si>
  <si>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</si>
  <si>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</si>
  <si>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</si>
  <si>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</si>
  <si>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</si>
  <si>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</si>
  <si>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</si>
  <si>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</si>
  <si>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</si>
  <si>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</si>
  <si>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</si>
  <si>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</si>
  <si>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</si>
  <si>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</si>
  <si>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</si>
  <si>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</si>
  <si>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</si>
  <si>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</si>
  <si>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</si>
  <si>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</si>
  <si>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</si>
  <si>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</si>
  <si>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</si>
  <si>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</si>
  <si>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</si>
  <si>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</si>
  <si>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</si>
  <si>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</si>
  <si>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</si>
  <si>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</si>
  <si>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</si>
  <si>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</si>
  <si>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</si>
  <si>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</si>
  <si>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</si>
  <si>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</si>
  <si>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</si>
  <si>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</si>
  <si>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</si>
  <si>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</si>
  <si>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</si>
  <si>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</si>
  <si>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</si>
  <si>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</si>
  <si>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</si>
  <si>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</si>
  <si>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</si>
  <si>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</si>
  <si>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</si>
  <si>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</si>
  <si>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</si>
  <si>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</si>
  <si>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</si>
  <si>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</si>
  <si>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</si>
  <si>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</si>
  <si>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</si>
  <si>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</si>
  <si>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</si>
  <si>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</si>
  <si>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</si>
  <si>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</si>
  <si>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</si>
  <si>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</si>
  <si>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</si>
  <si>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</si>
  <si>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</si>
  <si>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</si>
  <si>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</si>
  <si>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</si>
  <si>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</si>
  <si>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</si>
  <si>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</si>
  <si>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</si>
  <si>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</si>
  <si>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</si>
  <si>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</si>
  <si>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</si>
  <si>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</si>
  <si>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</si>
  <si>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</si>
  <si>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</si>
  <si>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</si>
  <si>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</si>
  <si>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</si>
  <si>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</si>
  <si>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</si>
  <si>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</si>
  <si>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</si>
  <si>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</si>
  <si>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</si>
  <si>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</si>
  <si>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</si>
  <si>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</si>
  <si>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</si>
  <si>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</si>
  <si>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</si>
  <si>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</si>
  <si>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</si>
  <si>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</si>
  <si>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</si>
  <si>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</si>
  <si>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</si>
  <si>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</si>
  <si>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</si>
  <si>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</si>
  <si>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</si>
  <si>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</si>
  <si>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</si>
  <si>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</si>
  <si>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</si>
  <si>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</si>
  <si>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</si>
  <si>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</si>
  <si>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</si>
  <si>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</si>
  <si>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</si>
  <si>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</si>
  <si>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</si>
  <si>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</si>
  <si>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</si>
  <si>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</si>
  <si>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</si>
  <si>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</si>
  <si>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</si>
  <si>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</si>
  <si>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</si>
  <si>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</si>
  <si>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</si>
  <si>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</si>
  <si>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</si>
  <si>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</si>
  <si>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</si>
  <si>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</si>
  <si>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</si>
  <si>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</si>
  <si>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</si>
  <si>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</si>
  <si>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</si>
  <si>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</si>
  <si>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</si>
  <si>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</si>
  <si>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</si>
  <si>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</si>
  <si>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</si>
  <si>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</si>
  <si>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</si>
  <si>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</si>
  <si>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</si>
  <si>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</si>
  <si>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</si>
  <si>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</si>
  <si>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</si>
  <si>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</si>
  <si>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</si>
  <si>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</si>
  <si>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</si>
  <si>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</si>
  <si>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</si>
  <si>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</si>
  <si>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</si>
  <si>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</si>
  <si>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</si>
  <si>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</si>
  <si>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</si>
  <si>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</si>
  <si>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</si>
  <si>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</si>
  <si>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</si>
  <si>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</si>
  <si>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</si>
  <si>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</si>
  <si>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</si>
  <si>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</si>
  <si>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</si>
  <si>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</si>
  <si>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</si>
  <si>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</si>
  <si>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</si>
  <si>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</si>
  <si>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</si>
  <si>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</si>
  <si>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</si>
  <si>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</si>
  <si>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</si>
  <si>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</si>
  <si>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</si>
  <si>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</si>
  <si>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</si>
  <si>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</si>
  <si>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</si>
  <si>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</si>
  <si>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</si>
  <si>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</si>
  <si>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</si>
  <si>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</si>
  <si>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</si>
  <si>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</si>
  <si>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</si>
  <si>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</si>
  <si>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</si>
  <si>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</si>
  <si>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</si>
  <si>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</si>
  <si>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</si>
  <si>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</si>
  <si>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</si>
  <si>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</si>
  <si>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</si>
  <si>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</si>
  <si>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</si>
  <si>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</si>
  <si>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</si>
  <si>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</si>
  <si>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</si>
  <si>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</si>
  <si>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</si>
  <si>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</si>
  <si>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</si>
  <si>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</si>
  <si>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</si>
  <si>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</si>
  <si>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</si>
  <si>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</si>
  <si>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</si>
  <si>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</si>
  <si>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</si>
  <si>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</si>
  <si>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</si>
  <si>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</si>
  <si>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</si>
  <si>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</si>
  <si>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</si>
  <si>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</si>
  <si>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</si>
  <si>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</si>
  <si>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</si>
  <si>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</si>
  <si>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</si>
  <si>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</si>
  <si>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</si>
  <si>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</si>
  <si>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</si>
  <si>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</si>
  <si>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</si>
  <si>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</si>
  <si>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</si>
  <si>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</si>
  <si>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</si>
  <si>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</si>
  <si>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</si>
  <si>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</si>
  <si>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</si>
  <si>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</si>
  <si>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</si>
  <si>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</si>
  <si>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</si>
  <si>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</si>
  <si>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</si>
  <si>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</si>
  <si>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</si>
  <si>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</si>
  <si>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</si>
  <si>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</si>
  <si>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</si>
  <si>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</si>
  <si>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</si>
  <si>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</si>
  <si>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</si>
  <si>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</si>
  <si>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</si>
  <si>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</si>
  <si>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</si>
  <si>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</si>
  <si>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</si>
  <si>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</si>
  <si>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</si>
  <si>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</si>
  <si>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</si>
  <si>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</si>
  <si>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</si>
  <si>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</si>
  <si>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</si>
  <si>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</si>
  <si>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</si>
  <si>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</si>
  <si>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</si>
  <si>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</si>
  <si>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</si>
  <si>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</si>
  <si>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</si>
  <si>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</si>
  <si>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</si>
  <si>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</si>
  <si>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</si>
  <si>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</si>
  <si>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</si>
  <si>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</si>
  <si>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</si>
  <si>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</si>
  <si>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</si>
  <si>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</si>
  <si>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</si>
  <si>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</si>
  <si>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</si>
  <si>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</si>
  <si>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</si>
  <si>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</si>
  <si>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</si>
  <si>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</si>
  <si>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</si>
  <si>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</si>
  <si>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</si>
  <si>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</si>
  <si>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</si>
  <si>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</si>
  <si>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</si>
  <si>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</si>
  <si>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</si>
  <si>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</si>
  <si>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</si>
  <si>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</si>
  <si>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</si>
  <si>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</si>
  <si>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</si>
  <si>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</si>
  <si>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</si>
  <si>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</si>
  <si>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</si>
  <si>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</si>
  <si>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</si>
  <si>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</si>
  <si>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</si>
  <si>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</si>
  <si>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</si>
  <si>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</si>
  <si>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</si>
  <si>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</si>
  <si>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</si>
  <si>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</si>
  <si>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</si>
  <si>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</si>
  <si>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</si>
  <si>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</si>
  <si>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</si>
  <si>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</si>
  <si>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</si>
  <si>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</si>
  <si>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</si>
  <si>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</si>
  <si>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</si>
  <si>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</si>
  <si>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</si>
  <si>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</si>
  <si>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</si>
  <si>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</si>
  <si>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</si>
  <si>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</si>
  <si>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</si>
  <si>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</si>
  <si>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</si>
  <si>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</si>
  <si>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</si>
  <si>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</si>
  <si>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</si>
  <si>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</si>
  <si>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</si>
  <si>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</si>
  <si>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</si>
  <si>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</si>
  <si>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</si>
  <si>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</si>
  <si>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</si>
  <si>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</si>
  <si>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</si>
  <si>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</si>
  <si>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</si>
  <si>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</si>
  <si>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</si>
  <si>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</si>
  <si>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</si>
  <si>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</si>
  <si>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</si>
  <si>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</si>
  <si>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</si>
  <si>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</si>
  <si>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</si>
  <si>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</si>
  <si>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</si>
  <si>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</si>
  <si>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</si>
  <si>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</si>
  <si>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</si>
  <si>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</si>
  <si>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1052388101</t>
  </si>
  <si>
    <t>1052388544</t>
  </si>
  <si>
    <t>1057586265</t>
  </si>
  <si>
    <t>1100468</t>
  </si>
  <si>
    <t>23546291</t>
  </si>
  <si>
    <t>23596559</t>
  </si>
  <si>
    <t>7222919</t>
  </si>
  <si>
    <t>7224288</t>
  </si>
  <si>
    <t>800021057</t>
  </si>
  <si>
    <t>800146425</t>
  </si>
  <si>
    <t>800148119</t>
  </si>
  <si>
    <t>830054041</t>
  </si>
  <si>
    <t>860001697</t>
  </si>
  <si>
    <t>860006127</t>
  </si>
  <si>
    <t>860013771</t>
  </si>
  <si>
    <t>860511835</t>
  </si>
  <si>
    <t>890400372</t>
  </si>
  <si>
    <t>890803418</t>
  </si>
  <si>
    <t>890903858</t>
  </si>
  <si>
    <t>900565420</t>
  </si>
  <si>
    <t>900818921</t>
  </si>
  <si>
    <t>900976764</t>
  </si>
  <si>
    <t>900987911</t>
  </si>
  <si>
    <t>901316016</t>
  </si>
  <si>
    <t>901352764</t>
  </si>
  <si>
    <t>890901672</t>
  </si>
  <si>
    <t>900252727</t>
  </si>
  <si>
    <t>900058038</t>
  </si>
  <si>
    <t>900259348</t>
  </si>
  <si>
    <t>901194997</t>
  </si>
  <si>
    <t xml:space="preserve">SANDOVAL SANDOVAL GERARDO </t>
  </si>
  <si>
    <t>LOZADA CHAPARRO NORIDA LISSETH</t>
  </si>
  <si>
    <t>SOLANO MALPICA PEDRO MANUEL</t>
  </si>
  <si>
    <t xml:space="preserve">ACUÑA DE CORREA TERESA </t>
  </si>
  <si>
    <t>RICO RINCON ALBA ESPERANZA</t>
  </si>
  <si>
    <t>LAGOS  DUVER HUMBERTO</t>
  </si>
  <si>
    <t>CARDENAS CASTRO JULIO HUMBERTO</t>
  </si>
  <si>
    <t>NIÑO ROBLES DIANA CAROLINA</t>
  </si>
  <si>
    <t>TECNOALIMENTARIA LTDA</t>
  </si>
  <si>
    <t>ORGANIZACION SOLARTE &amp; CIA S.A.S</t>
  </si>
  <si>
    <t>GRASAS Y DERIVADOS SA</t>
  </si>
  <si>
    <t>COMERCIALIZADORA ALTIMAX S.A.S</t>
  </si>
  <si>
    <t>GASEOSAS LUX S.A.S</t>
  </si>
  <si>
    <t>CI SOCIEDAD INDUSTRIAL DE GRASAS VEGETALES SIGRA S.A</t>
  </si>
  <si>
    <t>AJOVER DARNEL S.A.S</t>
  </si>
  <si>
    <t>LAVASECO MODERNO S.A.S</t>
  </si>
  <si>
    <t>RAFAEL DEL CASTILLO &amp; CIA S.A</t>
  </si>
  <si>
    <t>PROMAPAN S.A.S</t>
  </si>
  <si>
    <t>INDUSTRIA NACIONAL DE GASEOSAS SA</t>
  </si>
  <si>
    <t>NUTRIR AGENTE COMERCIAL S.A.S</t>
  </si>
  <si>
    <t>KOPPS COMMERCIAL S.A.S</t>
  </si>
  <si>
    <t>E&amp;F COMERCILIZADORA S.A.S</t>
  </si>
  <si>
    <t>SABAJON CIPRES S.A.S</t>
  </si>
  <si>
    <t>MCKENNA GROUP SAS</t>
  </si>
  <si>
    <t>MOLINO SAN JOSE INDUSTRIA MOLINERA S.A.S</t>
  </si>
  <si>
    <t>CRYSTAL SAS</t>
  </si>
  <si>
    <t>CUANTIAS MENIRES</t>
  </si>
  <si>
    <t>CAMARGO MONROY DANIEL</t>
  </si>
  <si>
    <t>DISTRIBUCIONES HOYOSTOOLS S.A.S</t>
  </si>
  <si>
    <t>PRAGMATIC S.A.S.</t>
  </si>
  <si>
    <t>RED VITAL SA ESP</t>
  </si>
  <si>
    <t>UHF COMUNICACIONES SAS</t>
  </si>
  <si>
    <t>dianacarolinaninorobles@gmail.com</t>
  </si>
  <si>
    <t>sandovalgerardo55@gmail.com</t>
  </si>
  <si>
    <t>CR 17 9 47</t>
  </si>
  <si>
    <t>VDA BOSIGAS NORTE</t>
  </si>
  <si>
    <t>CR 11 9 69</t>
  </si>
  <si>
    <t>CL 5 3 71 CIUDADELA INDUSTRIAL</t>
  </si>
  <si>
    <t>VDA ESPINAL FCA LA ESPERANZA</t>
  </si>
  <si>
    <t>CR 12 57 140</t>
  </si>
  <si>
    <t>VDA SAN LORENZO</t>
  </si>
  <si>
    <t>CL 20 31 107</t>
  </si>
  <si>
    <t>facturacionlacasadelqueso@gmail.com</t>
  </si>
  <si>
    <t>inverlummys@hotmail.com</t>
  </si>
  <si>
    <t>clalucogu@hotmail.com</t>
  </si>
  <si>
    <t>elbodegazo123@hotmail.com</t>
  </si>
  <si>
    <t>lagosmartinezho@gmail.com</t>
  </si>
  <si>
    <t>juliocolanta@yahoo.es</t>
  </si>
  <si>
    <t>contabilidad@tecnoalimentaria.com.co</t>
  </si>
  <si>
    <t>CL 161A 15 57</t>
  </si>
  <si>
    <t>CRA 1 12 81</t>
  </si>
  <si>
    <t>COSTADO SUR YE DE CIENEGA</t>
  </si>
  <si>
    <t>CL 6 1 10</t>
  </si>
  <si>
    <t>CL 9 36 142</t>
  </si>
  <si>
    <t>CR 46 13 95</t>
  </si>
  <si>
    <t>TV 93 65A 30</t>
  </si>
  <si>
    <t>AV CL 9 62 58</t>
  </si>
  <si>
    <t>AV PEDRO VELEZ 20 65</t>
  </si>
  <si>
    <t>PARQUE INDUSTRIAL MANIZALES LOTE 3</t>
  </si>
  <si>
    <t>CL 25D 95A 13</t>
  </si>
  <si>
    <t>CLL 4A 2 20 OF 104 CIUDADELA</t>
  </si>
  <si>
    <t>CR 53 127 35</t>
  </si>
  <si>
    <t>CR 21 24 74</t>
  </si>
  <si>
    <t>CR 19 19 07</t>
  </si>
  <si>
    <t>CR 10 ESTE 29 11 SUR</t>
  </si>
  <si>
    <t>CL 17 19 27</t>
  </si>
  <si>
    <t>Carrera 48 No 52 Sur 81</t>
  </si>
  <si>
    <t>PAIPPA CENTRO</t>
  </si>
  <si>
    <t>clientesfacturacionelectronica@organizacionsolarte.com</t>
  </si>
  <si>
    <t>info@gradesa.com</t>
  </si>
  <si>
    <t>sistemasaltimax@gmail.com</t>
  </si>
  <si>
    <t>recepcionfe@gaslux.com.co</t>
  </si>
  <si>
    <t>servicio.maestro@sigra.com</t>
  </si>
  <si>
    <t>facturacion.electronica@Ajover.com</t>
  </si>
  <si>
    <t>info@lavasecomoderno.com</t>
  </si>
  <si>
    <t>890400372@factureinbox.co</t>
  </si>
  <si>
    <t>clientespromapan@gmail.com</t>
  </si>
  <si>
    <t>recepcioneventoskof@recepcion.dispapeles.com</t>
  </si>
  <si>
    <t>gerencia@nutrirac.com.co</t>
  </si>
  <si>
    <t>Kopps.fe@ab-inbev.com</t>
  </si>
  <si>
    <t>facturacioneyfcomercializadora@gmail.com</t>
  </si>
  <si>
    <t>facturacioncipres@yahoo.com</t>
  </si>
  <si>
    <t>mckenna.group.colombia@gmail.com</t>
  </si>
  <si>
    <t>molinosanjose.facturacion@hotmail.com</t>
  </si>
  <si>
    <t>facturaelectronica@crystal.com.co</t>
  </si>
  <si>
    <t>ing.jpablo.camargo@gmail.com</t>
  </si>
  <si>
    <t>Calle 25 # 23 - 23</t>
  </si>
  <si>
    <t>Cl 25 23 23</t>
  </si>
  <si>
    <t>Cra 103 B No 152 - 51</t>
  </si>
  <si>
    <t>Km1 via francisco montaña No 5-99</t>
  </si>
  <si>
    <t>CALLE 8 N° 6 - 47</t>
  </si>
  <si>
    <t>facturacionelectronicaeleden@gmail.com</t>
  </si>
  <si>
    <t>importaciones@hoyostools.com</t>
  </si>
  <si>
    <t>08</t>
  </si>
  <si>
    <t>001</t>
  </si>
  <si>
    <t>11</t>
  </si>
  <si>
    <t>15</t>
  </si>
  <si>
    <t>516</t>
  </si>
  <si>
    <t>administracion@pragmatic.com.co</t>
  </si>
  <si>
    <t>redvital@redvitalpaipa.com</t>
  </si>
  <si>
    <t>Facturacion@uhfcomunicaciones.com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</si>
</sst>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3" fillId="0" borderId="0" xfId="1" applyProtection="1">
      <protection locked="0"/>
    </xf>
    <xf numFmtId="0" fontId="3" fillId="0" borderId="0" xfId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0" xfId="0" applyNumberFormat="1" applyAlignment="1">
      <alignment horizontal="left" vertical="top"/>
    </xf>
    <xf numFmtId="3" fontId="0" fillId="0" borderId="0" xfId="0" applyNumberFormat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ing.jpablo.camargo@gmail.com" TargetMode="External"/><Relationship Id="rId1" Type="http://schemas.openxmlformats.org/officeDocument/2006/relationships/hyperlink" Target="mailto:facturacion.electronica@Ajo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52"/>
  <sheetViews>
    <sheetView tabSelected="1" topLeftCell="B1" zoomScale="85" zoomScaleNormal="85" workbookViewId="0">
      <pane ySplit="6" topLeftCell="A7" activePane="bottomLeft" state="frozen"/>
      <selection pane="bottomLeft" activeCell="I7" sqref="I7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32.7265625" style="9" bestFit="1" customWidth="1"/>
    <col min="4" max="4" width="20.7265625" style="9" bestFit="1" customWidth="1"/>
    <col min="5" max="5" width="11.6328125" style="9" bestFit="1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35">
      <c r="A2" s="10" t="s">
        <v>2244</v>
      </c>
      <c r="B2" s="10"/>
      <c r="C2" s="10"/>
      <c r="D2" s="26"/>
      <c r="E2" s="27"/>
      <c r="F2" s="27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8"/>
      <c r="E3" s="29"/>
      <c r="F3" s="29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6"/>
      <c r="E4" s="27"/>
      <c r="F4" s="27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23"/>
      <c r="E5" s="24"/>
      <c r="F5" s="24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17" t="s">
        <v>2248</v>
      </c>
      <c r="C7" s="9" t="s">
        <v>2285</v>
      </c>
      <c r="D7" t="s">
        <v>2310</v>
      </c>
      <c r="E7">
        <v>3102688310</v>
      </c>
      <c r="F7" s="19" t="s">
        <v>2313</v>
      </c>
      <c r="G7" s="9" t="s">
        <v>521</v>
      </c>
      <c r="H7" s="9">
        <v>201</v>
      </c>
      <c r="I7" s="20">
        <v>31440000</v>
      </c>
    </row>
    <row r="8" spans="1:11" x14ac:dyDescent="0.35">
      <c r="A8" s="17" t="s">
        <v>2249</v>
      </c>
      <c r="C8" s="9" t="s">
        <v>2278</v>
      </c>
      <c r="D8" t="s">
        <v>2311</v>
      </c>
      <c r="E8">
        <v>3219064111</v>
      </c>
      <c r="F8" s="19" t="s">
        <v>2312</v>
      </c>
      <c r="G8" s="9" t="s">
        <v>720</v>
      </c>
      <c r="H8" s="9">
        <v>202</v>
      </c>
      <c r="I8" s="20">
        <v>2661000</v>
      </c>
    </row>
    <row r="9" spans="1:11" x14ac:dyDescent="0.35">
      <c r="A9" s="17" t="s">
        <v>2250</v>
      </c>
      <c r="C9" s="9" t="s">
        <v>2279</v>
      </c>
      <c r="D9" t="s">
        <v>2320</v>
      </c>
      <c r="E9">
        <v>3212917538</v>
      </c>
      <c r="F9" s="19" t="s">
        <v>2314</v>
      </c>
      <c r="G9" s="9" t="s">
        <v>704</v>
      </c>
      <c r="H9" s="9">
        <v>202</v>
      </c>
      <c r="I9" s="20">
        <v>37220049</v>
      </c>
    </row>
    <row r="10" spans="1:11" x14ac:dyDescent="0.35">
      <c r="A10" s="17" t="s">
        <v>2251</v>
      </c>
      <c r="C10" s="9" t="s">
        <v>2280</v>
      </c>
      <c r="D10" t="s">
        <v>2321</v>
      </c>
      <c r="E10">
        <v>7628880</v>
      </c>
      <c r="F10" s="19" t="s">
        <v>2315</v>
      </c>
      <c r="G10" s="9" t="s">
        <v>720</v>
      </c>
      <c r="H10" s="9">
        <v>208</v>
      </c>
      <c r="I10" s="20">
        <v>4428694</v>
      </c>
    </row>
    <row r="11" spans="1:11" x14ac:dyDescent="0.35">
      <c r="A11" s="17" t="s">
        <v>2252</v>
      </c>
      <c r="C11" s="9" t="s">
        <v>2281</v>
      </c>
      <c r="D11" t="s">
        <v>2322</v>
      </c>
      <c r="E11" s="9">
        <v>0</v>
      </c>
      <c r="F11" s="19" t="s">
        <v>2316</v>
      </c>
      <c r="G11" s="9" t="s">
        <v>521</v>
      </c>
      <c r="H11" s="9">
        <v>201</v>
      </c>
      <c r="I11" s="20">
        <v>28541500</v>
      </c>
    </row>
    <row r="12" spans="1:11" x14ac:dyDescent="0.35">
      <c r="A12" s="17" t="s">
        <v>2253</v>
      </c>
      <c r="C12" s="9" t="s">
        <v>2282</v>
      </c>
      <c r="D12" t="s">
        <v>2323</v>
      </c>
      <c r="E12">
        <v>3103300099</v>
      </c>
      <c r="F12" s="19" t="s">
        <v>2317</v>
      </c>
      <c r="G12" s="9" t="s">
        <v>704</v>
      </c>
      <c r="H12" s="9">
        <v>202</v>
      </c>
      <c r="I12" s="20">
        <v>31800000</v>
      </c>
    </row>
    <row r="13" spans="1:11" x14ac:dyDescent="0.35">
      <c r="A13" s="17" t="s">
        <v>2254</v>
      </c>
      <c r="C13" s="9" t="s">
        <v>2283</v>
      </c>
      <c r="D13" t="s">
        <v>2324</v>
      </c>
      <c r="E13">
        <v>3115310535</v>
      </c>
      <c r="F13" s="19" t="s">
        <v>2318</v>
      </c>
      <c r="G13" s="9" t="s">
        <v>724</v>
      </c>
      <c r="H13" s="9">
        <v>201</v>
      </c>
      <c r="I13" s="20">
        <v>6346000</v>
      </c>
    </row>
    <row r="14" spans="1:11" x14ac:dyDescent="0.35">
      <c r="A14" s="17" t="s">
        <v>2255</v>
      </c>
      <c r="C14" s="9" t="s">
        <v>2284</v>
      </c>
      <c r="D14" t="s">
        <v>2325</v>
      </c>
      <c r="E14">
        <v>3138155557</v>
      </c>
      <c r="F14" s="19" t="s">
        <v>2319</v>
      </c>
      <c r="G14" s="9" t="s">
        <v>720</v>
      </c>
      <c r="H14" s="9">
        <v>201</v>
      </c>
      <c r="I14" s="20">
        <v>4284200</v>
      </c>
    </row>
    <row r="15" spans="1:11" x14ac:dyDescent="0.35">
      <c r="A15" s="17" t="s">
        <v>2256</v>
      </c>
      <c r="C15" s="17" t="s">
        <v>2286</v>
      </c>
      <c r="D15" t="s">
        <v>2326</v>
      </c>
      <c r="E15">
        <v>6016707292</v>
      </c>
      <c r="F15" s="19" t="s">
        <v>2327</v>
      </c>
      <c r="G15" t="s">
        <v>409</v>
      </c>
      <c r="H15" s="9">
        <v>201</v>
      </c>
      <c r="I15" s="20">
        <v>2945726</v>
      </c>
    </row>
    <row r="16" spans="1:11" x14ac:dyDescent="0.35">
      <c r="A16" s="17" t="s">
        <v>2257</v>
      </c>
      <c r="C16" s="17" t="s">
        <v>2287</v>
      </c>
      <c r="D16" t="s">
        <v>2346</v>
      </c>
      <c r="E16">
        <v>3603666</v>
      </c>
      <c r="F16" s="19" t="s">
        <v>2328</v>
      </c>
      <c r="G16" t="s">
        <v>1263</v>
      </c>
      <c r="H16" s="9">
        <v>202</v>
      </c>
      <c r="I16" s="20">
        <v>183041435</v>
      </c>
    </row>
    <row r="17" spans="1:9" x14ac:dyDescent="0.35">
      <c r="A17" s="17" t="s">
        <v>2258</v>
      </c>
      <c r="C17" s="17" t="s">
        <v>2288</v>
      </c>
      <c r="D17" t="s">
        <v>2347</v>
      </c>
      <c r="E17">
        <v>4209660</v>
      </c>
      <c r="F17" s="19" t="s">
        <v>2329</v>
      </c>
      <c r="G17" t="s">
        <v>567</v>
      </c>
      <c r="H17" s="9">
        <v>202</v>
      </c>
      <c r="I17" s="20">
        <v>58323833</v>
      </c>
    </row>
    <row r="18" spans="1:9" x14ac:dyDescent="0.35">
      <c r="A18" s="17" t="s">
        <v>2259</v>
      </c>
      <c r="C18" s="17" t="s">
        <v>2289</v>
      </c>
      <c r="D18" t="s">
        <v>2348</v>
      </c>
      <c r="E18" s="9">
        <v>0</v>
      </c>
      <c r="F18" s="19" t="s">
        <v>2330</v>
      </c>
      <c r="G18" t="s">
        <v>720</v>
      </c>
      <c r="H18" s="9">
        <v>201</v>
      </c>
      <c r="I18" s="20">
        <v>7900500</v>
      </c>
    </row>
    <row r="19" spans="1:9" x14ac:dyDescent="0.35">
      <c r="A19" s="17" t="s">
        <v>2260</v>
      </c>
      <c r="C19" s="17" t="s">
        <v>2290</v>
      </c>
      <c r="D19" t="s">
        <v>2349</v>
      </c>
      <c r="E19" s="9">
        <v>0</v>
      </c>
      <c r="F19" s="19" t="s">
        <v>2331</v>
      </c>
      <c r="G19" t="s">
        <v>720</v>
      </c>
      <c r="H19" s="9">
        <v>213</v>
      </c>
      <c r="I19" s="20">
        <v>2510113</v>
      </c>
    </row>
    <row r="20" spans="1:9" x14ac:dyDescent="0.35">
      <c r="A20" s="17" t="s">
        <v>2261</v>
      </c>
      <c r="C20" s="17" t="s">
        <v>2291</v>
      </c>
      <c r="D20" t="s">
        <v>2350</v>
      </c>
      <c r="E20">
        <v>5190900</v>
      </c>
      <c r="F20" s="19" t="s">
        <v>2332</v>
      </c>
      <c r="G20" t="s">
        <v>409</v>
      </c>
      <c r="H20" s="9">
        <v>202</v>
      </c>
      <c r="I20" s="20">
        <v>109389721</v>
      </c>
    </row>
    <row r="21" spans="1:9" x14ac:dyDescent="0.35">
      <c r="A21" s="17" t="s">
        <v>2262</v>
      </c>
      <c r="C21" s="17" t="s">
        <v>2292</v>
      </c>
      <c r="D21" s="21" t="s">
        <v>2351</v>
      </c>
      <c r="E21">
        <v>5949999</v>
      </c>
      <c r="F21" s="19" t="s">
        <v>2333</v>
      </c>
      <c r="G21" t="s">
        <v>409</v>
      </c>
      <c r="H21" s="9">
        <v>219</v>
      </c>
      <c r="I21" s="20">
        <v>3340449</v>
      </c>
    </row>
    <row r="22" spans="1:9" x14ac:dyDescent="0.35">
      <c r="A22" s="17" t="s">
        <v>2263</v>
      </c>
      <c r="C22" s="17" t="s">
        <v>2293</v>
      </c>
      <c r="D22" t="s">
        <v>2352</v>
      </c>
      <c r="E22" s="9">
        <v>0</v>
      </c>
      <c r="F22" s="19" t="s">
        <v>2334</v>
      </c>
      <c r="G22" t="s">
        <v>409</v>
      </c>
      <c r="H22" s="9">
        <v>219</v>
      </c>
      <c r="I22" s="20">
        <v>589000</v>
      </c>
    </row>
    <row r="23" spans="1:9" x14ac:dyDescent="0.35">
      <c r="A23" s="17" t="s">
        <v>2264</v>
      </c>
      <c r="C23" s="17" t="s">
        <v>2294</v>
      </c>
      <c r="D23" t="s">
        <v>2353</v>
      </c>
      <c r="E23">
        <v>6625027</v>
      </c>
      <c r="F23" s="19" t="s">
        <v>2335</v>
      </c>
      <c r="G23" t="s">
        <v>429</v>
      </c>
      <c r="H23" s="9">
        <v>202</v>
      </c>
      <c r="I23" s="20">
        <v>31640721</v>
      </c>
    </row>
    <row r="24" spans="1:9" x14ac:dyDescent="0.35">
      <c r="A24" s="17" t="s">
        <v>2265</v>
      </c>
      <c r="C24" s="17" t="s">
        <v>2295</v>
      </c>
      <c r="D24" t="s">
        <v>2354</v>
      </c>
      <c r="E24" s="9">
        <v>0</v>
      </c>
      <c r="F24" s="19" t="s">
        <v>2336</v>
      </c>
      <c r="G24" t="s">
        <v>789</v>
      </c>
      <c r="H24" s="9">
        <v>202</v>
      </c>
      <c r="I24" s="20">
        <v>9999002</v>
      </c>
    </row>
    <row r="25" spans="1:9" x14ac:dyDescent="0.35">
      <c r="A25" s="17" t="s">
        <v>2266</v>
      </c>
      <c r="C25" s="17" t="s">
        <v>2296</v>
      </c>
      <c r="D25" t="s">
        <v>2355</v>
      </c>
      <c r="E25">
        <v>4011400</v>
      </c>
      <c r="F25" s="19" t="s">
        <v>2337</v>
      </c>
      <c r="G25" t="s">
        <v>409</v>
      </c>
      <c r="H25" s="9">
        <v>213</v>
      </c>
      <c r="I25" s="20">
        <v>2934809</v>
      </c>
    </row>
    <row r="26" spans="1:9" x14ac:dyDescent="0.35">
      <c r="A26" s="17" t="s">
        <v>2267</v>
      </c>
      <c r="C26" s="17" t="s">
        <v>2297</v>
      </c>
      <c r="D26" t="s">
        <v>2356</v>
      </c>
      <c r="E26">
        <v>3203501181</v>
      </c>
      <c r="F26" s="19" t="s">
        <v>2338</v>
      </c>
      <c r="G26" t="s">
        <v>720</v>
      </c>
      <c r="H26" s="9">
        <v>219</v>
      </c>
      <c r="I26" s="20">
        <v>5562457</v>
      </c>
    </row>
    <row r="27" spans="1:9" x14ac:dyDescent="0.35">
      <c r="A27" s="17" t="s">
        <v>2268</v>
      </c>
      <c r="C27" s="17" t="s">
        <v>2298</v>
      </c>
      <c r="D27" t="s">
        <v>2357</v>
      </c>
      <c r="E27" s="9">
        <v>0</v>
      </c>
      <c r="F27" s="19" t="s">
        <v>2339</v>
      </c>
      <c r="G27" t="s">
        <v>409</v>
      </c>
      <c r="H27" s="9">
        <v>219</v>
      </c>
      <c r="I27" s="20">
        <v>484723</v>
      </c>
    </row>
    <row r="28" spans="1:9" x14ac:dyDescent="0.35">
      <c r="A28" s="17" t="s">
        <v>2269</v>
      </c>
      <c r="C28" s="17" t="s">
        <v>2299</v>
      </c>
      <c r="D28" t="s">
        <v>2358</v>
      </c>
      <c r="E28">
        <v>3105685544</v>
      </c>
      <c r="F28" s="19" t="s">
        <v>2340</v>
      </c>
      <c r="G28" t="s">
        <v>704</v>
      </c>
      <c r="H28" s="9">
        <v>201</v>
      </c>
      <c r="I28" s="20">
        <v>2074612</v>
      </c>
    </row>
    <row r="29" spans="1:9" x14ac:dyDescent="0.35">
      <c r="A29" s="17" t="s">
        <v>2270</v>
      </c>
      <c r="C29" s="17" t="s">
        <v>2300</v>
      </c>
      <c r="D29" t="s">
        <v>2359</v>
      </c>
      <c r="E29">
        <v>3133867736</v>
      </c>
      <c r="F29" s="19" t="s">
        <v>2341</v>
      </c>
      <c r="G29" t="s">
        <v>724</v>
      </c>
      <c r="H29" s="9">
        <v>219</v>
      </c>
      <c r="I29" s="20">
        <v>395997</v>
      </c>
    </row>
    <row r="30" spans="1:9" x14ac:dyDescent="0.35">
      <c r="A30" s="17" t="s">
        <v>2271</v>
      </c>
      <c r="C30" s="17" t="s">
        <v>2301</v>
      </c>
      <c r="D30" t="s">
        <v>2360</v>
      </c>
      <c r="E30">
        <v>313645092</v>
      </c>
      <c r="F30" s="19" t="s">
        <v>2342</v>
      </c>
      <c r="G30" t="s">
        <v>409</v>
      </c>
      <c r="H30" s="9">
        <v>219</v>
      </c>
      <c r="I30" s="20">
        <v>95000</v>
      </c>
    </row>
    <row r="31" spans="1:9" x14ac:dyDescent="0.35">
      <c r="A31" s="17" t="s">
        <v>2272</v>
      </c>
      <c r="C31" s="17" t="s">
        <v>2302</v>
      </c>
      <c r="D31" t="s">
        <v>2361</v>
      </c>
      <c r="E31">
        <v>3118992953</v>
      </c>
      <c r="F31" s="19" t="s">
        <v>2343</v>
      </c>
      <c r="G31" t="s">
        <v>720</v>
      </c>
      <c r="H31" s="9">
        <v>219</v>
      </c>
      <c r="I31" s="20">
        <v>7996000</v>
      </c>
    </row>
    <row r="32" spans="1:9" x14ac:dyDescent="0.35">
      <c r="A32" s="17" t="s">
        <v>2273</v>
      </c>
      <c r="C32" s="18" t="s">
        <v>2303</v>
      </c>
      <c r="D32" t="s">
        <v>2362</v>
      </c>
      <c r="E32">
        <v>3788333</v>
      </c>
      <c r="F32" t="s">
        <v>2344</v>
      </c>
      <c r="G32" t="s">
        <v>342</v>
      </c>
      <c r="H32" s="9">
        <v>219</v>
      </c>
      <c r="I32" s="20">
        <v>1091920</v>
      </c>
    </row>
    <row r="33" spans="1:10" x14ac:dyDescent="0.35">
      <c r="A33" s="17">
        <v>222222222</v>
      </c>
      <c r="C33" s="18" t="s">
        <v>2304</v>
      </c>
      <c r="D33" s="22" t="s">
        <v>2363</v>
      </c>
      <c r="E33" s="9">
        <v>0</v>
      </c>
      <c r="F33" s="19" t="s">
        <v>2345</v>
      </c>
      <c r="G33" t="s">
        <v>724</v>
      </c>
      <c r="H33" s="9">
        <v>219</v>
      </c>
      <c r="I33" s="20">
        <v>33358405</v>
      </c>
    </row>
    <row r="34" spans="1:10" x14ac:dyDescent="0.35">
      <c r="A34" s="17">
        <v>7210533</v>
      </c>
      <c r="C34" s="9" t="s">
        <v>2305</v>
      </c>
      <c r="D34" t="s">
        <v>2369</v>
      </c>
      <c r="E34">
        <v>3118986149</v>
      </c>
      <c r="F34" t="s">
        <v>2364</v>
      </c>
      <c r="G34" t="s">
        <v>724</v>
      </c>
      <c r="H34" s="9">
        <v>334</v>
      </c>
      <c r="I34" s="20">
        <v>21600000</v>
      </c>
    </row>
    <row r="35" spans="1:10" x14ac:dyDescent="0.35">
      <c r="A35" s="17" t="s">
        <v>2274</v>
      </c>
      <c r="C35" s="19" t="s">
        <v>2306</v>
      </c>
      <c r="D35" t="s">
        <v>2370</v>
      </c>
      <c r="E35">
        <v>6028961157</v>
      </c>
      <c r="F35" s="19" t="s">
        <v>2365</v>
      </c>
      <c r="G35" s="9" t="s">
        <v>2212</v>
      </c>
      <c r="H35" s="9">
        <v>219</v>
      </c>
      <c r="I35" s="20">
        <v>327903</v>
      </c>
    </row>
    <row r="36" spans="1:10" x14ac:dyDescent="0.35">
      <c r="A36" s="17" t="s">
        <v>2275</v>
      </c>
      <c r="C36" s="19" t="s">
        <v>2307</v>
      </c>
      <c r="D36" t="s">
        <v>2376</v>
      </c>
      <c r="E36">
        <v>3014349446</v>
      </c>
      <c r="F36" s="19" t="s">
        <v>2366</v>
      </c>
      <c r="G36" s="9" t="s">
        <v>409</v>
      </c>
      <c r="H36" s="9">
        <v>303</v>
      </c>
      <c r="I36" s="20">
        <v>2370419</v>
      </c>
    </row>
    <row r="37" spans="1:10" x14ac:dyDescent="0.35">
      <c r="A37" s="17" t="s">
        <v>2276</v>
      </c>
      <c r="C37" s="19" t="s">
        <v>2308</v>
      </c>
      <c r="D37" t="s">
        <v>2377</v>
      </c>
      <c r="E37" s="9">
        <v>0</v>
      </c>
      <c r="F37" s="19" t="s">
        <v>2367</v>
      </c>
      <c r="G37" s="9" t="s">
        <v>724</v>
      </c>
      <c r="H37" s="9">
        <v>328</v>
      </c>
      <c r="I37" s="20">
        <v>345100</v>
      </c>
      <c r="J37" s="31"/>
    </row>
    <row r="38" spans="1:10" x14ac:dyDescent="0.35">
      <c r="A38" s="17" t="s">
        <v>2277</v>
      </c>
      <c r="C38" s="19" t="s">
        <v>2309</v>
      </c>
      <c r="D38" t="s">
        <v>2378</v>
      </c>
      <c r="E38">
        <v>3227957875</v>
      </c>
      <c r="F38" s="19" t="s">
        <v>2368</v>
      </c>
      <c r="G38" s="9" t="s">
        <v>1935</v>
      </c>
      <c r="H38" s="9">
        <v>334</v>
      </c>
      <c r="I38" s="20">
        <v>1560000</v>
      </c>
    </row>
    <row r="39" spans="1:10" x14ac:dyDescent="0.35">
      <c r="A39" s="17"/>
      <c r="F39" s="19"/>
    </row>
    <row r="40" spans="1:10" x14ac:dyDescent="0.35">
      <c r="A40" s="17"/>
    </row>
    <row r="41" spans="1:10" x14ac:dyDescent="0.35">
      <c r="A41" s="17"/>
    </row>
    <row r="42" spans="1:10" x14ac:dyDescent="0.35">
      <c r="A42" s="17"/>
    </row>
    <row r="43" spans="1:10" x14ac:dyDescent="0.35">
      <c r="A43" s="17"/>
    </row>
    <row r="44" spans="1:10" x14ac:dyDescent="0.35">
      <c r="A44" s="17"/>
    </row>
    <row r="45" spans="1:10" x14ac:dyDescent="0.35">
      <c r="A45" s="17"/>
    </row>
    <row r="46" spans="1:10" x14ac:dyDescent="0.35">
      <c r="A46" s="17"/>
    </row>
    <row r="47" spans="1:10" x14ac:dyDescent="0.35">
      <c r="A47" s="17"/>
    </row>
    <row r="48" spans="1:10" x14ac:dyDescent="0.35">
      <c r="A48" s="17"/>
    </row>
    <row r="49" spans="1:1" x14ac:dyDescent="0.35">
      <c r="A49" s="17"/>
    </row>
    <row r="50" spans="1:1" x14ac:dyDescent="0.35">
      <c r="A50" s="17"/>
    </row>
    <row r="51" spans="1:1" x14ac:dyDescent="0.35">
      <c r="A51" s="17"/>
    </row>
    <row r="52" spans="1:1" x14ac:dyDescent="0.35">
      <c r="A52" s="17"/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21" r:id="rId1" xr:uid="{7FC9B89B-C6F8-4418-AECC-C63C5AC17CDF}"/>
    <hyperlink ref="D33" r:id="rId2" xr:uid="{7714B7F2-2706-4158-A69F-D93E76723AB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4014-0F4B-4A25-8163-46EFE1335B75}">
  <dimension ref="E9:G14"/>
  <sheetViews>
    <sheetView workbookViewId="0">
      <selection activeCell="G9" sqref="G9:G14"/>
    </sheetView>
  </sheetViews>
  <sheetFormatPr baseColWidth="10" defaultRowHeight="14.5" x14ac:dyDescent="0.35"/>
  <sheetData>
    <row r="9" spans="5:7" x14ac:dyDescent="0.35">
      <c r="E9" s="19">
        <v>76</v>
      </c>
      <c r="F9" s="19">
        <v>892</v>
      </c>
      <c r="G9" t="str">
        <f>_xlfn.CONCAT(E9,F9)</f>
        <v>76892</v>
      </c>
    </row>
    <row r="10" spans="5:7" x14ac:dyDescent="0.35">
      <c r="E10" s="30" t="s">
        <v>2371</v>
      </c>
      <c r="F10" s="19" t="s">
        <v>2372</v>
      </c>
      <c r="G10" t="str">
        <f t="shared" ref="G10:G14" si="0">_xlfn.CONCAT(E10,F10)</f>
        <v>08001</v>
      </c>
    </row>
    <row r="11" spans="5:7" x14ac:dyDescent="0.35">
      <c r="E11" s="19" t="s">
        <v>2373</v>
      </c>
      <c r="F11" s="19" t="s">
        <v>2372</v>
      </c>
      <c r="G11" t="str">
        <f t="shared" si="0"/>
        <v>11001</v>
      </c>
    </row>
    <row r="12" spans="5:7" x14ac:dyDescent="0.35">
      <c r="E12" s="19" t="s">
        <v>2374</v>
      </c>
      <c r="F12" s="19" t="s">
        <v>2375</v>
      </c>
      <c r="G12" t="str">
        <f t="shared" si="0"/>
        <v>15516</v>
      </c>
    </row>
    <row r="13" spans="5:7" x14ac:dyDescent="0.35">
      <c r="E13" s="19">
        <v>68</v>
      </c>
      <c r="F13" s="19" t="s">
        <v>2372</v>
      </c>
      <c r="G13" t="str">
        <f t="shared" si="0"/>
        <v>68001</v>
      </c>
    </row>
    <row r="14" spans="5:7" x14ac:dyDescent="0.35">
      <c r="E14" s="19" t="s">
        <v>2373</v>
      </c>
      <c r="F14" s="19" t="s">
        <v>2372</v>
      </c>
      <c r="G14" t="str">
        <f t="shared" si="0"/>
        <v>11001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3" zoomScale="85" zoomScaleNormal="85" workbookViewId="0">
      <selection activeCell="A66" sqref="A6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8" workbookViewId="0">
      <selection activeCell="B226" sqref="B226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PFE5</vt:lpstr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PORTATIL</cp:lastModifiedBy>
  <dcterms:created xsi:type="dcterms:W3CDTF">2015-06-05T18:19:34Z</dcterms:created>
  <dcterms:modified xsi:type="dcterms:W3CDTF">2025-08-29T12:51:11Z</dcterms:modified>
</cp:coreProperties>
</file>