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Contable\Desktop\Archivos C\CONTABILIDAD HERRERA JAIME CONSTRUCCIONES SAS\INFORMACION EXOGENA PAIPA-HJC\"/>
    </mc:Choice>
  </mc:AlternateContent>
  <xr:revisionPtr revIDLastSave="0" documentId="13_ncr:1_{000C31AA-5E04-4669-8B5A-E8EC6FC3D84E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externalReferences>
    <externalReference r:id="rId4"/>
    <externalReference r:id="rId5"/>
    <externalReference r:id="rId6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21" i="1"/>
  <c r="J22" i="1"/>
  <c r="J8" i="1"/>
  <c r="J9" i="1"/>
  <c r="J10" i="1"/>
  <c r="J11" i="1"/>
  <c r="J14" i="1"/>
  <c r="J16" i="1"/>
  <c r="J18" i="1"/>
  <c r="J19" i="1"/>
  <c r="J20" i="1"/>
  <c r="J27" i="1"/>
  <c r="J29" i="1"/>
  <c r="J34" i="1"/>
  <c r="J47" i="1"/>
  <c r="J50" i="1"/>
  <c r="J51" i="1"/>
  <c r="J56" i="1"/>
  <c r="D10" i="1" l="1"/>
  <c r="D17" i="1"/>
  <c r="D18" i="1"/>
  <c r="D25" i="1"/>
  <c r="D27" i="1"/>
  <c r="D29" i="1"/>
  <c r="D31" i="1"/>
  <c r="D32" i="1"/>
  <c r="D33" i="1"/>
  <c r="D34" i="1"/>
  <c r="D35" i="1"/>
  <c r="D36" i="1"/>
  <c r="D39" i="1"/>
  <c r="D43" i="1"/>
  <c r="D46" i="1"/>
  <c r="D47" i="1"/>
  <c r="D48" i="1"/>
  <c r="D50" i="1"/>
  <c r="D51" i="1"/>
  <c r="D52" i="1"/>
  <c r="D53" i="1"/>
  <c r="D54" i="1"/>
  <c r="D55" i="1"/>
  <c r="I55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6" i="1"/>
  <c r="B7" i="1"/>
</calcChain>
</file>

<file path=xl/sharedStrings.xml><?xml version="1.0" encoding="utf-8"?>
<sst xmlns="http://schemas.openxmlformats.org/spreadsheetml/2006/main" count="2546" uniqueCount="2411">
  <si>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</si>
  <si>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</si>
  <si>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</si>
  <si>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</si>
  <si>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</si>
  <si>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</si>
  <si>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</si>
  <si>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</si>
  <si>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</si>
  <si>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</si>
  <si>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</si>
  <si>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</si>
  <si>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</si>
  <si>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</si>
  <si>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</si>
  <si>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</si>
  <si>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</si>
  <si>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</si>
  <si>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</si>
  <si>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</si>
  <si>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</si>
  <si>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</si>
  <si>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</si>
  <si>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</si>
  <si>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</si>
  <si>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</si>
  <si>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</si>
  <si>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</si>
  <si>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</si>
  <si>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</si>
  <si>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</si>
  <si>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</si>
  <si>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</si>
  <si>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</si>
  <si>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</si>
  <si>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</si>
  <si>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</si>
  <si>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</si>
  <si>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</si>
  <si>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</si>
  <si>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</si>
  <si>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</si>
  <si>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</si>
  <si>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</si>
  <si>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</si>
  <si>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</si>
  <si>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</si>
  <si>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</si>
  <si>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</si>
  <si>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</si>
  <si>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</si>
  <si>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</si>
  <si>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</si>
  <si>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</si>
  <si>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</si>
  <si>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</si>
  <si>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</si>
  <si>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</si>
  <si>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</si>
  <si>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</si>
  <si>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</si>
  <si>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</si>
  <si>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</si>
  <si>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</si>
  <si>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</si>
  <si>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</si>
  <si>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</si>
  <si>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</si>
  <si>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</si>
  <si>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</si>
  <si>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</si>
  <si>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</si>
  <si>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</si>
  <si>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</si>
  <si>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</si>
  <si>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</si>
  <si>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</si>
  <si>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</si>
  <si>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</si>
  <si>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</si>
  <si>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</si>
  <si>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</si>
  <si>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</si>
  <si>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</si>
  <si>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</si>
  <si>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</si>
  <si>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</si>
  <si>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</si>
  <si>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</si>
  <si>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</si>
  <si>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</si>
  <si>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</si>
  <si>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</si>
  <si>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</si>
  <si>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</si>
  <si>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</si>
  <si>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</si>
  <si>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</si>
  <si>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</si>
  <si>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</si>
  <si>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</si>
  <si>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</si>
  <si>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</si>
  <si>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</si>
  <si>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</si>
  <si>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</si>
  <si>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</si>
  <si>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</si>
  <si>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</si>
  <si>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</si>
  <si>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</si>
  <si>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</si>
  <si>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</si>
  <si>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</si>
  <si>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</si>
  <si>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</si>
  <si>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</si>
  <si>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</si>
  <si>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</si>
  <si>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</si>
  <si>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</si>
  <si>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</si>
  <si>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</si>
  <si>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</si>
  <si>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</si>
  <si>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</si>
  <si>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</si>
  <si>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</si>
  <si>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</si>
  <si>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</si>
  <si>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</si>
  <si>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</si>
  <si>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</si>
  <si>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</si>
  <si>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</si>
  <si>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</si>
  <si>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</si>
  <si>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</si>
  <si>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</si>
  <si>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</si>
  <si>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</si>
  <si>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</si>
  <si>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</si>
  <si>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</si>
  <si>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</si>
  <si>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</si>
  <si>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</si>
  <si>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</si>
  <si>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</si>
  <si>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</si>
  <si>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</si>
  <si>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</si>
  <si>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</si>
  <si>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</si>
  <si>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</si>
  <si>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</si>
  <si>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</si>
  <si>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</si>
  <si>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</si>
  <si>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</si>
  <si>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</si>
  <si>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</si>
  <si>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</si>
  <si>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</si>
  <si>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</si>
  <si>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</si>
  <si>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</si>
  <si>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</si>
  <si>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</si>
  <si>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</si>
  <si>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</si>
  <si>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</si>
  <si>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</si>
  <si>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</si>
  <si>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</si>
  <si>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</si>
  <si>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</si>
  <si>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</si>
  <si>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</si>
  <si>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</si>
  <si>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</si>
  <si>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</si>
  <si>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</si>
  <si>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</si>
  <si>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</si>
  <si>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</si>
  <si>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</si>
  <si>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</si>
  <si>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</si>
  <si>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</si>
  <si>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</si>
  <si>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</si>
  <si>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</si>
  <si>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</si>
  <si>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</si>
  <si>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</si>
  <si>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</si>
  <si>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</si>
  <si>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</si>
  <si>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</si>
  <si>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</si>
  <si>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</si>
  <si>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</si>
  <si>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</si>
  <si>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</si>
  <si>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</si>
  <si>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</si>
  <si>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</si>
  <si>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</si>
  <si>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</si>
  <si>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</si>
  <si>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</si>
  <si>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</si>
  <si>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</si>
  <si>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</si>
  <si>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</si>
  <si>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</si>
  <si>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</si>
  <si>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</si>
  <si>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</si>
  <si>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</si>
  <si>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</si>
  <si>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</si>
  <si>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</si>
  <si>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</si>
  <si>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</si>
  <si>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</si>
  <si>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</si>
  <si>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</si>
  <si>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</si>
  <si>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</si>
  <si>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</si>
  <si>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</si>
  <si>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</si>
  <si>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</si>
  <si>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</si>
  <si>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</si>
  <si>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</si>
  <si>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</si>
  <si>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</si>
  <si>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</si>
  <si>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</si>
  <si>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</si>
  <si>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</si>
  <si>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</si>
  <si>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</si>
  <si>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</si>
  <si>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</si>
  <si>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</si>
  <si>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</si>
  <si>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</si>
  <si>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</si>
  <si>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</si>
  <si>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</si>
  <si>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</si>
  <si>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</si>
  <si>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</si>
  <si>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</si>
  <si>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</si>
  <si>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</si>
  <si>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</si>
  <si>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</si>
  <si>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</si>
  <si>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</si>
  <si>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</si>
  <si>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</si>
  <si>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</si>
  <si>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</si>
  <si>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</si>
  <si>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</si>
  <si>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</si>
  <si>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</si>
  <si>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</si>
  <si>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</si>
  <si>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</si>
  <si>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</si>
  <si>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</si>
  <si>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</si>
  <si>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</si>
  <si>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</si>
  <si>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</si>
  <si>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</si>
  <si>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</si>
  <si>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</si>
  <si>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</si>
  <si>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</si>
  <si>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</si>
  <si>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</si>
  <si>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</si>
  <si>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</si>
  <si>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</si>
  <si>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</si>
  <si>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</si>
  <si>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</si>
  <si>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</si>
  <si>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</si>
  <si>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</si>
  <si>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</si>
  <si>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</si>
  <si>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</si>
  <si>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</si>
  <si>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</si>
  <si>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</si>
  <si>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</si>
  <si>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</si>
  <si>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</si>
  <si>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</si>
  <si>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</si>
  <si>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</si>
  <si>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</si>
  <si>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</si>
  <si>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</si>
  <si>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</si>
  <si>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</si>
  <si>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</si>
  <si>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</si>
  <si>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</si>
  <si>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</si>
  <si>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</si>
  <si>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</si>
  <si>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</si>
  <si>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</si>
  <si>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</si>
  <si>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</si>
  <si>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</si>
  <si>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</si>
  <si>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</si>
  <si>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</si>
  <si>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</si>
  <si>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</si>
  <si>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</si>
  <si>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</si>
  <si>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</si>
  <si>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</si>
  <si>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</si>
  <si>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</si>
  <si>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</si>
  <si>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</si>
  <si>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</si>
  <si>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</si>
  <si>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</si>
  <si>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</si>
  <si>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</si>
  <si>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</si>
  <si>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</si>
  <si>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</si>
  <si>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</si>
  <si>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</si>
  <si>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</si>
  <si>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</si>
  <si>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</si>
  <si>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</si>
  <si>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</si>
  <si>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</si>
  <si>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</si>
  <si>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</si>
  <si>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</si>
  <si>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</si>
  <si>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</si>
  <si>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</si>
  <si>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</si>
  <si>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</si>
  <si>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</si>
  <si>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</si>
  <si>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</si>
  <si>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</si>
  <si>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</si>
  <si>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</si>
  <si>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</si>
  <si>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</si>
  <si>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</si>
  <si>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</si>
  <si>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</si>
  <si>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</si>
  <si>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</si>
  <si>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</si>
  <si>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</si>
  <si>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</si>
  <si>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</si>
  <si>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</si>
  <si>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</si>
  <si>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</si>
  <si>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</si>
  <si>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</si>
  <si>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</si>
  <si>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</si>
  <si>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</si>
  <si>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</si>
  <si>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</si>
  <si>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</si>
  <si>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</si>
  <si>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</si>
  <si>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</si>
  <si>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</si>
  <si>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</si>
  <si>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</si>
  <si>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</si>
  <si>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</si>
  <si>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</si>
  <si>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</si>
  <si>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</si>
  <si>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</si>
  <si>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</si>
  <si>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</si>
  <si>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</si>
  <si>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</si>
  <si>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</si>
  <si>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</si>
  <si>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</si>
  <si>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</si>
  <si>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</si>
  <si>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</si>
  <si>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</si>
  <si>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</si>
  <si>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</si>
  <si>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</si>
  <si>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</si>
  <si>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</si>
  <si>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</si>
  <si>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</si>
  <si>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</si>
  <si>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</si>
  <si>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</si>
  <si>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</si>
  <si>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</si>
  <si>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</si>
  <si>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</si>
  <si>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</si>
  <si>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</si>
  <si>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</si>
  <si>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</si>
  <si>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</si>
  <si>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</si>
  <si>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</si>
  <si>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</si>
  <si>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</si>
  <si>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</si>
  <si>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</si>
  <si>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</si>
  <si>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</si>
  <si>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</si>
  <si>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</si>
  <si>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</si>
  <si>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</si>
  <si>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</si>
  <si>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</si>
  <si>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</si>
  <si>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</si>
  <si>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</si>
  <si>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</si>
  <si>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</si>
  <si>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</si>
  <si>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</si>
  <si>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</si>
  <si>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</si>
  <si>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</si>
  <si>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</si>
  <si>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</si>
  <si>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</si>
  <si>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</si>
  <si>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</si>
  <si>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</si>
  <si>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</si>
  <si>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</si>
  <si>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</si>
  <si>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</si>
  <si>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</si>
  <si>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</si>
  <si>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</si>
  <si>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</si>
  <si>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</si>
  <si>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</si>
  <si>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</si>
  <si>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</si>
  <si>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</si>
  <si>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</si>
  <si>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</si>
  <si>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</si>
  <si>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</si>
  <si>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</si>
  <si>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</si>
  <si>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</si>
  <si>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</si>
  <si>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</si>
  <si>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</si>
  <si>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</si>
  <si>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</si>
  <si>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</si>
  <si>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</si>
  <si>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</si>
  <si>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</si>
  <si>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</si>
  <si>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</si>
  <si>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</si>
  <si>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</si>
  <si>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</si>
  <si>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</si>
  <si>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</si>
  <si>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</si>
  <si>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</si>
  <si>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</si>
  <si>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</si>
  <si>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</si>
  <si>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</si>
  <si>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</si>
  <si>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</si>
  <si>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</si>
  <si>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</si>
  <si>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</si>
  <si>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</si>
  <si>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</si>
  <si>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</si>
  <si>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</si>
  <si>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</si>
  <si>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</si>
  <si>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</si>
  <si>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</si>
  <si>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</si>
  <si>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</si>
  <si>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</si>
  <si>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</si>
  <si>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</si>
  <si>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</si>
  <si>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</si>
  <si>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</si>
  <si>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</si>
  <si>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</si>
  <si>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</si>
  <si>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</si>
  <si>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</si>
  <si>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</si>
  <si>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</si>
  <si>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</si>
  <si>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</si>
  <si>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</si>
  <si>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</si>
  <si>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</si>
  <si>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</si>
  <si>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</si>
  <si>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</si>
  <si>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</si>
  <si>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</si>
  <si>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</si>
  <si>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</si>
  <si>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</si>
  <si>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</si>
  <si>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</si>
  <si>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</si>
  <si>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</si>
  <si>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</si>
  <si>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</si>
  <si>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</si>
  <si>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</si>
  <si>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</si>
  <si>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</si>
  <si>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</si>
  <si>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</si>
  <si>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</si>
  <si>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</si>
  <si>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</si>
  <si>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</si>
  <si>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</si>
  <si>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</si>
  <si>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</si>
  <si>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</si>
  <si>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</si>
  <si>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</si>
  <si>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</si>
  <si>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</si>
  <si>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</si>
  <si>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</si>
  <si>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</si>
  <si>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</si>
  <si>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</si>
  <si>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</si>
  <si>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</si>
  <si>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</si>
  <si>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</si>
  <si>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</si>
  <si>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</si>
  <si>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</si>
  <si>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</si>
  <si>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</si>
  <si>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</si>
  <si>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</si>
  <si>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</si>
  <si>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</si>
  <si>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</si>
  <si>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</si>
  <si>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</si>
  <si>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</si>
  <si>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</si>
  <si>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</si>
  <si>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</si>
  <si>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</si>
  <si>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</si>
  <si>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</si>
  <si>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</si>
  <si>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</si>
  <si>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</si>
  <si>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</si>
  <si>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</si>
  <si>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</si>
  <si>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</si>
  <si>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</si>
  <si>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</si>
  <si>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</si>
  <si>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</si>
  <si>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</si>
  <si>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</si>
  <si>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</si>
  <si>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</si>
  <si>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</si>
  <si>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</si>
  <si>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</si>
  <si>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</si>
  <si>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</si>
  <si>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</si>
  <si>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</si>
  <si>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</si>
  <si>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</si>
  <si>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</si>
  <si>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</si>
  <si>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</si>
  <si>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</si>
  <si>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</si>
  <si>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</si>
  <si>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</si>
  <si>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</si>
  <si>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</si>
  <si>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</si>
  <si>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</si>
  <si>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</si>
  <si>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</si>
  <si>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</si>
  <si>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</si>
  <si>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</si>
  <si>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</si>
  <si>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</si>
  <si>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</si>
  <si>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</si>
  <si>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</si>
  <si>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</si>
  <si>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</si>
  <si>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</si>
  <si>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</si>
  <si>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</si>
  <si>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</si>
  <si>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</si>
  <si>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</si>
  <si>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</si>
  <si>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</si>
  <si>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</si>
  <si>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</si>
  <si>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</si>
  <si>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</si>
  <si>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</si>
  <si>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</si>
  <si>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</si>
  <si>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</si>
  <si>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</si>
  <si>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</si>
  <si>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</si>
  <si>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</si>
  <si>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</si>
  <si>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</si>
  <si>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</si>
  <si>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</si>
  <si>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</si>
  <si>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</si>
  <si>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</si>
  <si>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</si>
  <si>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</si>
  <si>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</si>
  <si>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</si>
  <si>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</si>
  <si>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</si>
  <si>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</si>
  <si>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</si>
  <si>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</si>
  <si>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</si>
  <si>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</si>
  <si>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</si>
  <si>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</si>
  <si>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</si>
  <si>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</si>
  <si>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</si>
  <si>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</si>
  <si>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</si>
  <si>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</si>
  <si>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</si>
  <si>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</si>
  <si>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</si>
  <si>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</si>
  <si>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</si>
  <si>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</si>
  <si>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</si>
  <si>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</si>
  <si>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</si>
  <si>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</si>
  <si>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</si>
  <si>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</si>
  <si>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</si>
  <si>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</si>
  <si>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</si>
  <si>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</si>
  <si>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</si>
  <si>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</si>
  <si>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</si>
  <si>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</si>
  <si>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</si>
  <si>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</si>
  <si>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</si>
  <si>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</si>
  <si>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</si>
  <si>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</si>
  <si>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</si>
  <si>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</si>
  <si>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</si>
  <si>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</si>
  <si>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</si>
  <si>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</si>
  <si>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</si>
  <si>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</si>
  <si>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</si>
  <si>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</si>
  <si>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</si>
  <si>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</si>
  <si>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</si>
  <si>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</si>
  <si>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</si>
  <si>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</si>
  <si>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</si>
  <si>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</si>
  <si>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</si>
  <si>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</si>
  <si>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</si>
  <si>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</si>
  <si>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</si>
  <si>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</si>
  <si>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</si>
  <si>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</si>
  <si>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</si>
  <si>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</si>
  <si>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</si>
  <si>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</si>
  <si>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</si>
  <si>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</si>
  <si>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</si>
  <si>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</si>
  <si>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</si>
  <si>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</si>
  <si>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</si>
  <si>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</si>
  <si>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</si>
  <si>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</si>
  <si>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</si>
  <si>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</si>
  <si>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</si>
  <si>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</si>
  <si>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</si>
  <si>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</si>
  <si>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</si>
  <si>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</si>
  <si>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</si>
  <si>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</si>
  <si>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</si>
  <si>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</si>
  <si>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</si>
  <si>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</si>
  <si>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</si>
  <si>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</si>
  <si>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</si>
  <si>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</si>
  <si>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</si>
  <si>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</si>
  <si>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</si>
  <si>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</si>
  <si>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</si>
  <si>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</si>
  <si>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</si>
  <si>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</si>
  <si>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</si>
  <si>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</si>
  <si>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</si>
  <si>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</si>
  <si>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</si>
  <si>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</si>
  <si>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</si>
  <si>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</si>
  <si>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</si>
  <si>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</si>
  <si>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</si>
  <si>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</si>
  <si>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</si>
  <si>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</si>
  <si>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</si>
  <si>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</si>
  <si>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</si>
  <si>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</si>
  <si>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</si>
  <si>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</si>
  <si>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</si>
  <si>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</si>
  <si>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</si>
  <si>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</si>
  <si>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</si>
  <si>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</si>
  <si>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</si>
  <si>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</si>
  <si>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</si>
  <si>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</si>
  <si>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</si>
  <si>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</si>
  <si>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</si>
  <si>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</si>
  <si>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</si>
  <si>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</si>
  <si>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</si>
  <si>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</si>
  <si>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</si>
  <si>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</si>
  <si>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</si>
  <si>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</si>
  <si>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</si>
  <si>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</si>
  <si>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</si>
  <si>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</si>
  <si>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</si>
  <si>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</si>
  <si>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</si>
  <si>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</si>
  <si>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</si>
  <si>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</si>
  <si>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</si>
  <si>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</si>
  <si>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</si>
  <si>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</si>
  <si>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</si>
  <si>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</si>
  <si>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</si>
  <si>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</si>
  <si>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</si>
  <si>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</si>
  <si>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</si>
  <si>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</si>
  <si>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</si>
  <si>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</si>
  <si>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</si>
  <si>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</si>
  <si>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</si>
  <si>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</si>
  <si>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</si>
  <si>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</si>
  <si>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</si>
  <si>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</si>
  <si>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</si>
  <si>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</si>
  <si>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</si>
  <si>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</si>
  <si>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</si>
  <si>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</si>
  <si>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</si>
  <si>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</si>
  <si>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</si>
  <si>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</si>
  <si>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</si>
  <si>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</si>
  <si>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</si>
  <si>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</si>
  <si>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</si>
  <si>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</si>
  <si>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</si>
  <si>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</si>
  <si>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</si>
  <si>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</si>
  <si>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</si>
  <si>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</si>
  <si>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</si>
  <si>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</si>
  <si>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</si>
  <si>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</si>
  <si>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</si>
  <si>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</si>
  <si>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</si>
  <si>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</si>
  <si>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</si>
  <si>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</si>
  <si>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</si>
  <si>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</si>
  <si>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</si>
  <si>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</si>
  <si>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</si>
  <si>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</si>
  <si>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</si>
  <si>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</si>
  <si>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</si>
  <si>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</si>
  <si>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</si>
  <si>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</si>
  <si>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</si>
  <si>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</si>
  <si>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</si>
  <si>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</si>
  <si>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</si>
  <si>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</si>
  <si>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</si>
  <si>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</si>
  <si>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</si>
  <si>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</si>
  <si>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</si>
  <si>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</si>
  <si>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</si>
  <si>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</si>
  <si>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</si>
  <si>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</si>
  <si>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</si>
  <si>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</si>
  <si>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</si>
  <si>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</si>
  <si>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</si>
  <si>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</si>
  <si>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</si>
  <si>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</si>
  <si>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</si>
  <si>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</si>
  <si>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</si>
  <si>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</si>
  <si>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</si>
  <si>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</si>
  <si>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</si>
  <si>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</si>
  <si>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</si>
  <si>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</si>
  <si>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</si>
  <si>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</si>
  <si>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</si>
  <si>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</si>
  <si>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</si>
  <si>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</si>
  <si>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</si>
  <si>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</si>
  <si>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</si>
  <si>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</si>
  <si>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</si>
  <si>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</si>
  <si>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</si>
  <si>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</si>
  <si>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</si>
  <si>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</si>
  <si>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</si>
  <si>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</si>
  <si>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</si>
  <si>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</si>
  <si>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</si>
  <si>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</si>
  <si>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</si>
  <si>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</si>
  <si>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</si>
  <si>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</si>
  <si>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</si>
  <si>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</si>
  <si>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</si>
  <si>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</si>
  <si>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</si>
  <si>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</si>
  <si>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</si>
  <si>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</si>
  <si>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</si>
  <si>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</si>
  <si>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</si>
  <si>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</si>
  <si>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</si>
  <si>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</si>
  <si>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</si>
  <si>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</si>
  <si>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</si>
  <si>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</si>
  <si>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</si>
  <si>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</si>
  <si>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</si>
  <si>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</si>
  <si>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</si>
  <si>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</si>
  <si>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</si>
  <si>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</si>
  <si>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</si>
  <si>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</si>
  <si>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</si>
  <si>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</si>
  <si>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</si>
  <si>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</si>
  <si>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</si>
  <si>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</si>
  <si>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</si>
  <si>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</si>
  <si>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</si>
  <si>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</si>
  <si>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</si>
  <si>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</si>
  <si>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</si>
  <si>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</si>
  <si>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</si>
  <si>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</si>
  <si>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</si>
  <si>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</si>
  <si>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</si>
  <si>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</si>
  <si>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</si>
  <si>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</si>
  <si>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</si>
  <si>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</si>
  <si>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</si>
  <si>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</si>
  <si>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</si>
  <si>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</si>
  <si>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</si>
  <si>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</si>
  <si>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</si>
  <si>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</si>
  <si>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</si>
  <si>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</si>
  <si>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</si>
  <si>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</si>
  <si>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</si>
  <si>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</si>
  <si>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</si>
  <si>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</si>
  <si>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</si>
  <si>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</si>
  <si>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</si>
  <si>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</si>
  <si>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</si>
  <si>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</si>
  <si>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</si>
  <si>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</si>
  <si>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</si>
  <si>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</si>
  <si>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</si>
  <si>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</si>
  <si>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</si>
  <si>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</si>
  <si>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</si>
  <si>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</si>
  <si>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</si>
  <si>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</si>
  <si>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</si>
  <si>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</si>
  <si>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</si>
  <si>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</si>
  <si>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</si>
  <si>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</si>
  <si>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</si>
  <si>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</si>
  <si>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</si>
  <si>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</si>
  <si>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</si>
  <si>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</si>
  <si>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</si>
  <si>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</si>
  <si>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</si>
  <si>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</si>
  <si>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</si>
  <si>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</si>
  <si>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</si>
  <si>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</si>
  <si>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</si>
  <si>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</si>
  <si>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</si>
  <si>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</si>
  <si>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</si>
  <si>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</si>
  <si>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</si>
  <si>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</si>
  <si>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</si>
  <si>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</si>
  <si>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</si>
  <si>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</si>
  <si>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</si>
  <si>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</si>
  <si>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</si>
  <si>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</si>
  <si>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</si>
  <si>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</si>
  <si>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</si>
  <si>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</si>
  <si>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</si>
  <si>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</si>
  <si>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</si>
  <si>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</si>
  <si>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</si>
  <si>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</si>
  <si>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</si>
  <si>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</si>
  <si>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</si>
  <si>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</si>
  <si>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</si>
  <si>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</si>
  <si>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</si>
  <si>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</si>
  <si>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</si>
  <si>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</si>
  <si>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</si>
  <si>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</si>
  <si>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</si>
  <si>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</si>
  <si>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</si>
  <si>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</si>
  <si>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</si>
  <si>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</si>
  <si>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</si>
  <si>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</si>
  <si>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</si>
  <si>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</si>
  <si>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</si>
  <si>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</si>
  <si>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</si>
  <si>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</si>
  <si>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</si>
  <si>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</si>
  <si>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</si>
  <si>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</si>
  <si>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</si>
  <si>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</si>
  <si>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</si>
  <si>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</si>
  <si>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</si>
  <si>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</si>
  <si>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</si>
  <si>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</si>
  <si>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</si>
  <si>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</si>
  <si>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</si>
  <si>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</si>
  <si>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</si>
  <si>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</si>
  <si>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</si>
  <si>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</si>
  <si>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</si>
  <si>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</si>
  <si>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</si>
  <si>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</si>
  <si>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</si>
  <si>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</si>
  <si>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</si>
  <si>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</si>
  <si>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</si>
  <si>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</si>
  <si>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</si>
  <si>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</si>
  <si>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</si>
  <si>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</si>
  <si>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</si>
  <si>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</si>
  <si>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</si>
  <si>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</si>
  <si>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</si>
  <si>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</si>
  <si>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</si>
  <si>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</si>
  <si>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</si>
  <si>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</si>
  <si>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</si>
  <si>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</si>
  <si>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</si>
  <si>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</si>
  <si>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</si>
  <si>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</si>
  <si>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</si>
  <si>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</si>
  <si>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</si>
  <si>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</si>
  <si>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</si>
  <si>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</si>
  <si>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</si>
  <si>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</si>
  <si>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</si>
  <si>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</si>
  <si>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</si>
  <si>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</si>
  <si>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</si>
  <si>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</si>
  <si>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</si>
  <si>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</si>
  <si>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</si>
  <si>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</si>
  <si>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</si>
  <si>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</si>
  <si>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</si>
  <si>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</si>
  <si>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</si>
  <si>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</si>
  <si>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</si>
  <si>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</si>
  <si>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</si>
  <si>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</si>
  <si>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</si>
  <si>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</si>
  <si>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</si>
  <si>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</si>
  <si>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</si>
  <si>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</si>
  <si>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</si>
  <si>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</si>
  <si>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</si>
  <si>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</si>
  <si>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</si>
  <si>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</si>
  <si>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</si>
  <si>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</si>
  <si>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</si>
  <si>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</si>
  <si>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</si>
  <si>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</si>
  <si>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</si>
  <si>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</si>
  <si>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</si>
  <si>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</si>
  <si>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</si>
  <si>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</si>
  <si>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</si>
  <si>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</si>
  <si>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</si>
  <si>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</si>
  <si>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</si>
  <si>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</si>
  <si>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</si>
  <si>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</si>
  <si>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</si>
  <si>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</si>
  <si>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</si>
  <si>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</si>
  <si>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</si>
  <si>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</si>
  <si>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</si>
  <si>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</si>
  <si>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</si>
  <si>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</si>
  <si>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</si>
  <si>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</si>
  <si>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</si>
  <si>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</si>
  <si>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</si>
  <si>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</si>
  <si>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</si>
  <si>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</si>
  <si>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</si>
  <si>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</si>
  <si>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</si>
  <si>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</si>
  <si>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</si>
  <si>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</si>
  <si>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</si>
  <si>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</si>
  <si>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</si>
  <si>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</si>
  <si>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</si>
  <si>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</si>
  <si>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</si>
  <si>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</si>
  <si>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</si>
  <si>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</si>
  <si>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</si>
  <si>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</si>
  <si>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</si>
  <si>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</si>
  <si>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</si>
  <si>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</si>
  <si>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</si>
  <si>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</si>
  <si>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</si>
  <si>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</si>
  <si>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</si>
  <si>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</si>
  <si>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</si>
  <si>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</si>
  <si>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</si>
  <si>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</si>
  <si>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</si>
  <si>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</si>
  <si>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</si>
  <si>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</si>
  <si>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</si>
  <si>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</si>
  <si>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</si>
  <si>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</si>
  <si>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</si>
  <si>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</si>
  <si>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</si>
  <si>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</si>
  <si>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</si>
  <si>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</si>
  <si>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</si>
  <si>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</si>
  <si>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</si>
  <si>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</si>
  <si>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</si>
  <si>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</si>
  <si>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</si>
  <si>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</si>
  <si>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</si>
  <si>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</si>
  <si>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</si>
  <si>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</si>
  <si>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</si>
  <si>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</si>
  <si>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</si>
  <si>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</si>
  <si>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</si>
  <si>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</si>
  <si>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</si>
  <si>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</si>
  <si>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</si>
  <si>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</si>
  <si>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</si>
  <si>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</si>
  <si>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</si>
  <si>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</si>
  <si>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</si>
  <si>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</si>
  <si>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</si>
  <si>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</si>
  <si>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</si>
  <si>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</si>
  <si>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</si>
  <si>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</si>
  <si>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</si>
  <si>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</si>
  <si>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</si>
  <si>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</si>
  <si>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</si>
  <si>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</si>
  <si>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</si>
  <si>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</si>
  <si>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</si>
  <si>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</si>
  <si>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</si>
  <si>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</si>
  <si>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</si>
  <si>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</si>
  <si>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</si>
  <si>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</si>
  <si>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</si>
  <si>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</si>
  <si>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</si>
  <si>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</si>
  <si>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</si>
  <si>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</si>
  <si>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</si>
  <si>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</si>
  <si>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</si>
  <si>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</si>
  <si>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</si>
  <si>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</si>
  <si>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</si>
  <si>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</si>
  <si>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</si>
  <si>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</si>
  <si>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</si>
  <si>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</si>
  <si>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</si>
  <si>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</si>
  <si>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</si>
  <si>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</si>
  <si>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</si>
  <si>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</si>
  <si>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</si>
  <si>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</si>
  <si>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</si>
  <si>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</si>
  <si>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</si>
  <si>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</si>
  <si>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</si>
  <si>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</si>
  <si>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</si>
  <si>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</si>
  <si>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</si>
  <si>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</si>
  <si>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</si>
  <si>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</si>
  <si>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</si>
  <si>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</si>
  <si>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</si>
  <si>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</si>
  <si>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</si>
  <si>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</si>
  <si>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</si>
  <si>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</si>
  <si>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</si>
  <si>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</si>
  <si>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</si>
  <si>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</si>
  <si>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</si>
  <si>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</si>
  <si>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</si>
  <si>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</si>
  <si>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</si>
  <si>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</si>
  <si>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</si>
  <si>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</si>
  <si>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</si>
  <si>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</si>
  <si>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</si>
  <si>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</si>
  <si>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</si>
  <si>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</si>
  <si>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</si>
  <si>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</si>
  <si>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</si>
  <si>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</si>
  <si>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</si>
  <si>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</si>
  <si>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</si>
  <si>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</si>
  <si>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</si>
  <si>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</si>
  <si>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</si>
  <si>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</si>
  <si>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</si>
  <si>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</si>
  <si>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</si>
  <si>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</si>
  <si>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</si>
  <si>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</si>
  <si>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</si>
  <si>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</si>
  <si>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</si>
  <si>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</si>
  <si>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</si>
  <si>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</si>
  <si>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</si>
  <si>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</si>
  <si>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</si>
  <si>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</si>
  <si>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</si>
  <si>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</si>
  <si>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</si>
  <si>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</si>
  <si>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</si>
  <si>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</si>
  <si>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</si>
  <si>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</si>
  <si>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</si>
  <si>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</si>
  <si>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</si>
  <si>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</si>
  <si>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</si>
  <si>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</si>
  <si>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</si>
  <si>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</si>
  <si>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</si>
  <si>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</si>
  <si>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</si>
  <si>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</si>
  <si>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</si>
  <si>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</si>
  <si>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</si>
  <si>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</si>
  <si>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</si>
  <si>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</si>
  <si>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</si>
  <si>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</si>
  <si>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</si>
  <si>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</si>
  <si>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</si>
  <si>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</si>
  <si>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</si>
  <si>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</si>
  <si>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</si>
  <si>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</si>
  <si>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</si>
  <si>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</si>
  <si>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</si>
  <si>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</si>
  <si>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</si>
  <si>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</si>
  <si>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</si>
  <si>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</si>
  <si>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</si>
  <si>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</si>
  <si>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</si>
  <si>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</si>
  <si>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</si>
  <si>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</si>
  <si>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</si>
  <si>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</si>
  <si>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</si>
  <si>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</si>
  <si>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</si>
  <si>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</si>
  <si>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</si>
  <si>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</si>
  <si>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</si>
  <si>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</si>
  <si>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</si>
  <si>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</si>
  <si>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</si>
  <si>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</si>
  <si>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</si>
  <si>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</si>
  <si>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</si>
  <si>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</si>
  <si>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</si>
  <si>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</si>
  <si>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</si>
  <si>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</si>
  <si>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</si>
  <si>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</si>
  <si>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</si>
  <si>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</si>
  <si>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</si>
  <si>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</si>
  <si>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</si>
  <si>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</si>
  <si>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</si>
  <si>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</si>
  <si>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</si>
  <si>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</si>
  <si>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</si>
  <si>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</si>
  <si>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</si>
  <si>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</si>
  <si>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</si>
  <si>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</si>
  <si>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</si>
  <si>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</si>
  <si>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</si>
  <si>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</si>
  <si>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</si>
  <si>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</si>
  <si>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</si>
  <si>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</si>
  <si>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</si>
  <si>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</si>
  <si>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</si>
  <si>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</si>
  <si>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</si>
  <si>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</si>
  <si>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</si>
  <si>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</si>
  <si>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</si>
  <si>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</si>
  <si>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</si>
  <si>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</si>
  <si>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</si>
  <si>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</si>
  <si>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</si>
  <si>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</si>
  <si>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</si>
  <si>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</si>
  <si>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</si>
  <si>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</si>
  <si>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</si>
  <si>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</si>
  <si>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</si>
  <si>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</si>
  <si>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</si>
  <si>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</si>
  <si>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</si>
  <si>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</si>
  <si>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</si>
  <si>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</si>
  <si>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</si>
  <si>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</si>
  <si>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</si>
  <si>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</si>
  <si>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</si>
  <si>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</si>
  <si>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</si>
  <si>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</si>
  <si>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</si>
  <si>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</si>
  <si>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</si>
  <si>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</si>
  <si>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</si>
  <si>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</si>
  <si>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</si>
  <si>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</si>
  <si>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</si>
  <si>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</si>
  <si>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</si>
  <si>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</si>
  <si>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</si>
  <si>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</si>
  <si>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</si>
  <si>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</si>
  <si>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</si>
  <si>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</si>
  <si>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</si>
  <si>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</si>
  <si>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</si>
  <si>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</si>
  <si>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</si>
  <si>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</si>
  <si>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</si>
  <si>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</si>
  <si>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</si>
  <si>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</si>
  <si>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</si>
  <si>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</si>
  <si>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</si>
  <si>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</si>
  <si>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</si>
  <si>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</si>
  <si>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</si>
  <si>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</si>
  <si>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</si>
  <si>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</si>
  <si>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</si>
  <si>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</si>
  <si>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</si>
  <si>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</si>
  <si>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</si>
  <si>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</si>
  <si>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</si>
  <si>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</si>
  <si>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</si>
  <si>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</si>
  <si>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</si>
  <si>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</si>
  <si>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</si>
  <si>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</si>
  <si>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</si>
  <si>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</si>
  <si>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</si>
  <si>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</si>
  <si>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</si>
  <si>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</si>
  <si>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</si>
  <si>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</si>
  <si>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</si>
  <si>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</si>
  <si>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</si>
  <si>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</si>
  <si>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</si>
  <si>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</si>
  <si>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</si>
  <si>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</si>
  <si>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</si>
  <si>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</si>
  <si>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</si>
  <si>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</si>
  <si>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</si>
  <si>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</si>
  <si>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</si>
  <si>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</si>
  <si>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</si>
  <si>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</si>
  <si>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</si>
  <si>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</si>
  <si>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</si>
  <si>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</si>
  <si>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</si>
  <si>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</si>
  <si>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</si>
  <si>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</si>
  <si>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</si>
  <si>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</si>
  <si>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</si>
  <si>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</si>
  <si>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</si>
  <si>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</si>
  <si>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</si>
  <si>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</si>
  <si>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</si>
  <si>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</si>
  <si>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</si>
  <si>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</si>
  <si>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</si>
  <si>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</si>
  <si>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</si>
  <si>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</si>
  <si>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</si>
  <si>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</si>
  <si>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</si>
  <si>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</si>
  <si>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</si>
  <si>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</si>
  <si>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</si>
  <si>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</si>
  <si>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</si>
  <si>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</si>
  <si>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</si>
  <si>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</si>
  <si>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</si>
  <si>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</si>
  <si>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</si>
  <si>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</si>
  <si>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</si>
  <si>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</si>
  <si>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</si>
  <si>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</si>
  <si>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</si>
  <si>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</si>
  <si>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</si>
  <si>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</si>
  <si>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</si>
  <si>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</si>
  <si>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</si>
  <si>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</si>
  <si>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</si>
  <si>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</si>
  <si>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</si>
  <si>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</si>
  <si>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</si>
  <si>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</si>
  <si>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</si>
  <si>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</si>
  <si>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</si>
  <si>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</si>
  <si>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</si>
  <si>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</si>
  <si>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</si>
  <si>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</si>
  <si>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</si>
  <si>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</si>
  <si>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</si>
  <si>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</si>
  <si>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</si>
  <si>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</si>
  <si>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</si>
  <si>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</si>
  <si>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</si>
  <si>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</si>
  <si>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</si>
  <si>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</si>
  <si>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</si>
  <si>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</si>
  <si>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</si>
  <si>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</si>
  <si>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</si>
  <si>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</si>
  <si>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</si>
  <si>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</si>
  <si>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</si>
  <si>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</si>
  <si>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</si>
  <si>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</si>
  <si>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</si>
  <si>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</si>
  <si>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</si>
  <si>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</si>
  <si>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</si>
  <si>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</si>
  <si>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</si>
  <si>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</si>
  <si>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</si>
  <si>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</si>
  <si>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</si>
  <si>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</si>
  <si>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</si>
  <si>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</si>
  <si>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</si>
  <si>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</si>
  <si>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</si>
  <si>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</si>
  <si>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</si>
  <si>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</si>
  <si>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</si>
  <si>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</si>
  <si>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</si>
  <si>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</si>
  <si>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</si>
  <si>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</si>
  <si>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</si>
  <si>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</si>
  <si>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</si>
  <si>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</si>
  <si>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</si>
  <si>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</si>
  <si>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</si>
  <si>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</si>
  <si>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</si>
  <si>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</si>
  <si>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</si>
  <si>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</si>
  <si>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</si>
  <si>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</si>
  <si>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</si>
  <si>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</si>
  <si>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</si>
  <si>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</si>
  <si>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</si>
  <si>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</si>
  <si>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</si>
  <si>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</si>
  <si>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</si>
  <si>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</si>
  <si>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</si>
  <si>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</si>
  <si>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</si>
  <si>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</si>
  <si>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</si>
  <si>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</si>
  <si>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</si>
  <si>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</si>
  <si>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</si>
  <si>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</si>
  <si>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</si>
  <si>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</si>
  <si>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</si>
  <si>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</si>
  <si>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</si>
  <si>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</si>
  <si>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</si>
  <si>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</si>
  <si>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</si>
  <si>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</si>
  <si>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</si>
  <si>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</si>
  <si>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</si>
  <si>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</si>
  <si>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</si>
  <si>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</si>
  <si>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</si>
  <si>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</si>
  <si>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</si>
  <si>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</si>
  <si>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</si>
  <si>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</si>
  <si>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</si>
  <si>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</si>
  <si>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</si>
  <si>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</si>
  <si>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</si>
  <si>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</si>
  <si>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</si>
  <si>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</si>
  <si>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</si>
  <si>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</si>
  <si>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</si>
  <si>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</si>
  <si>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</si>
  <si>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</si>
  <si>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</si>
  <si>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</si>
  <si>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</si>
  <si>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</si>
  <si>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</si>
  <si>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</si>
  <si>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</si>
  <si>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</si>
  <si>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</si>
  <si>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</si>
  <si>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</si>
  <si>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</si>
  <si>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</si>
  <si>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</si>
  <si>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</si>
  <si>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</si>
  <si>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</si>
  <si>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</si>
  <si>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</si>
  <si>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</si>
  <si>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</si>
  <si>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</si>
  <si>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</si>
  <si>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</si>
  <si>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</si>
  <si>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</si>
  <si>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</si>
  <si>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</si>
  <si>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</si>
  <si>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</si>
  <si>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</si>
  <si>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</si>
  <si>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</si>
  <si>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</si>
  <si>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</si>
  <si>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</si>
  <si>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</si>
  <si>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</si>
  <si>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</si>
  <si>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</si>
  <si>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</si>
  <si>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</si>
  <si>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</si>
  <si>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</si>
  <si>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</si>
  <si>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</si>
  <si>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</si>
  <si>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</si>
  <si>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</si>
  <si>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</si>
  <si>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</si>
  <si>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</si>
  <si>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</si>
  <si>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</si>
  <si>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</si>
  <si>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</si>
  <si>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</si>
  <si>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</si>
  <si>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</si>
  <si>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</si>
  <si>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</si>
  <si>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</si>
  <si>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</si>
  <si>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</si>
  <si>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</si>
  <si>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</si>
  <si>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</si>
  <si>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</si>
  <si>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</si>
  <si>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</si>
  <si>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</si>
  <si>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</si>
  <si>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</si>
  <si>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</si>
  <si>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</si>
  <si>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</si>
  <si>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</si>
  <si>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</si>
  <si>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</si>
  <si>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</si>
  <si>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</si>
  <si>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</si>
  <si>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</si>
  <si>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</si>
  <si>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</si>
  <si>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</si>
  <si>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</si>
  <si>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</si>
  <si>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</si>
  <si>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</si>
  <si>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</si>
  <si>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</si>
  <si>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</si>
  <si>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</si>
  <si>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</si>
  <si>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</si>
  <si>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</si>
  <si>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</si>
  <si>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</si>
  <si>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</si>
  <si>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</si>
  <si>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</si>
  <si>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</si>
  <si>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</si>
  <si>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</si>
  <si>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</si>
  <si>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</si>
  <si>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</si>
  <si>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</si>
  <si>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</si>
  <si>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</si>
  <si>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</si>
  <si>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</si>
  <si>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</si>
  <si>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</si>
  <si>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</si>
  <si>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</si>
  <si>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</si>
  <si>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</si>
  <si>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</si>
  <si>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</si>
  <si>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</si>
  <si>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</si>
  <si>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</si>
  <si>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</si>
  <si>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</si>
  <si>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</si>
  <si>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</si>
  <si>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</si>
  <si>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</si>
  <si>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</si>
  <si>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</si>
  <si>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</si>
  <si>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</si>
  <si>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</si>
  <si>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</si>
  <si>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</si>
  <si>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</si>
  <si>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</si>
  <si>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</si>
  <si>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</si>
  <si>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</si>
  <si>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</si>
  <si>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</si>
  <si>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</si>
  <si>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</si>
  <si>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</si>
  <si>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</si>
  <si>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</si>
  <si>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</si>
  <si>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</si>
  <si>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</si>
  <si>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</si>
  <si>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</si>
  <si>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</si>
  <si>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</si>
  <si>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</si>
  <si>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</si>
  <si>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</si>
  <si>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</si>
  <si>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</si>
  <si>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</si>
  <si>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</si>
  <si>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</si>
  <si>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</si>
  <si>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</si>
  <si>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</si>
  <si>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</si>
  <si>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</si>
  <si>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</si>
  <si>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</si>
  <si>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</si>
  <si>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</si>
  <si>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</si>
  <si>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</si>
  <si>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</si>
  <si>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</si>
  <si>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</si>
  <si>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</si>
  <si>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</si>
  <si>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</si>
  <si>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</si>
  <si>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</si>
  <si>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</si>
  <si>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</si>
  <si>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</si>
  <si>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</si>
  <si>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</si>
  <si>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</si>
  <si>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</si>
  <si>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</si>
  <si>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</si>
  <si>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</si>
  <si>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</si>
  <si>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</si>
  <si>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</si>
  <si>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</si>
  <si>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</si>
  <si>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</si>
  <si>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</si>
  <si>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</si>
  <si>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</si>
  <si>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</si>
  <si>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</si>
  <si>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</si>
  <si>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</si>
  <si>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</si>
  <si>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</si>
  <si>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</si>
  <si>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</si>
  <si>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</si>
  <si>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</si>
  <si>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</si>
  <si>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</si>
  <si>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</si>
  <si>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</si>
  <si>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</si>
  <si>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</si>
  <si>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</si>
  <si>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</si>
  <si>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</si>
  <si>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</si>
  <si>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</si>
  <si>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</si>
  <si>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</si>
  <si>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</si>
  <si>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</si>
  <si>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</si>
  <si>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</si>
  <si>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</si>
  <si>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</si>
  <si>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</si>
  <si>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</si>
  <si>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</si>
  <si>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</si>
  <si>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</si>
  <si>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</si>
  <si>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</si>
  <si>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</si>
  <si>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</si>
  <si>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</si>
  <si>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</si>
  <si>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</si>
  <si>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</si>
  <si>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</si>
  <si>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</si>
  <si>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</si>
  <si>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</si>
  <si>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</si>
  <si>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</si>
  <si>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</si>
  <si>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</si>
  <si>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</si>
  <si>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</si>
  <si>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</si>
  <si>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</si>
  <si>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</si>
  <si>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</si>
  <si>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</si>
  <si>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</si>
  <si>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</si>
  <si>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</si>
  <si>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</si>
  <si>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</si>
  <si>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</si>
  <si>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</si>
  <si>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</si>
  <si>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</si>
  <si>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</si>
  <si>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</si>
  <si>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</si>
  <si>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</si>
  <si>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</si>
  <si>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</si>
  <si>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</si>
  <si>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</si>
  <si>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</si>
  <si>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</si>
  <si>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</si>
  <si>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</si>
  <si>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</si>
  <si>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</si>
  <si>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</si>
  <si>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</si>
  <si>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</si>
  <si>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</si>
  <si>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</si>
  <si>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</si>
  <si>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</si>
  <si>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</si>
  <si>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</si>
  <si>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</si>
  <si>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</si>
  <si>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</si>
  <si>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</si>
  <si>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</si>
  <si>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</si>
  <si>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</si>
  <si>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</si>
  <si>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</si>
  <si>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</si>
  <si>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</si>
  <si>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</si>
  <si>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</si>
  <si>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</si>
  <si>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</si>
  <si>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</si>
  <si>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</si>
  <si>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</si>
  <si>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</si>
  <si>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</si>
  <si>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</si>
  <si>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</si>
  <si>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</si>
  <si>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</si>
  <si>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</si>
  <si>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</si>
  <si>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</si>
  <si>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</si>
  <si>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</si>
  <si>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</si>
  <si>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</si>
  <si>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</si>
  <si>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</si>
  <si>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</si>
  <si>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</si>
  <si>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</si>
  <si>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</si>
  <si>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</si>
  <si>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</si>
  <si>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</si>
  <si>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</si>
  <si>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</si>
  <si>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</si>
  <si>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</si>
  <si>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</si>
  <si>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</si>
  <si>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</si>
  <si>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</si>
  <si>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</si>
  <si>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</si>
  <si>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</si>
  <si>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</si>
  <si>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</si>
  <si>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</si>
  <si>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</si>
  <si>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</si>
  <si>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</si>
  <si>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</si>
  <si>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</si>
  <si>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</si>
  <si>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</si>
  <si>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</si>
  <si>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</si>
  <si>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</si>
  <si>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</si>
  <si>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</si>
  <si>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</si>
  <si>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</si>
  <si>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</si>
  <si>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</si>
  <si>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</si>
  <si>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</si>
  <si>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</si>
  <si>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</si>
  <si>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</si>
  <si>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</si>
  <si>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</si>
  <si>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</si>
  <si>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</si>
  <si>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</si>
  <si>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</si>
  <si>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</si>
  <si>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</si>
  <si>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</si>
  <si>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</si>
  <si>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</si>
  <si>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</si>
  <si>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</si>
  <si>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</si>
  <si>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</si>
  <si>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</si>
  <si>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</si>
  <si>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</si>
  <si>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</si>
  <si>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</si>
  <si>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</si>
  <si>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</si>
  <si>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</si>
  <si>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</si>
  <si>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</si>
  <si>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</si>
  <si>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</si>
  <si>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</si>
  <si>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</si>
  <si>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</si>
  <si>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</si>
  <si>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</si>
  <si>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</si>
  <si>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</si>
  <si>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</si>
  <si>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</si>
  <si>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</si>
  <si>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</si>
  <si>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</si>
  <si>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</si>
  <si>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</si>
  <si>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</si>
  <si>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</si>
  <si>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</si>
  <si>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</si>
  <si>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</si>
  <si>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</si>
  <si>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</si>
  <si>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MARIA TERESA GUTIERREZ GARCIA</t>
  </si>
  <si>
    <t>INGENIERIA Y GEOLOGIA SAS</t>
  </si>
  <si>
    <t>WILMER ASDRUBAL JOYA ALVARADO</t>
  </si>
  <si>
    <t>JOSE EUCLIDES RODRIGUEZ FAGUA</t>
  </si>
  <si>
    <t>MAYERLY RODRIGUEZ HERRERA</t>
  </si>
  <si>
    <t>DLK S.A.S</t>
  </si>
  <si>
    <t>HOTELES ESTELAR S.A</t>
  </si>
  <si>
    <t>CDA LANCEROS S.A.S</t>
  </si>
  <si>
    <t>INVERSIONES MI TIERRITA SAS</t>
  </si>
  <si>
    <t>JHON ARLEY FAGUA PORRAS</t>
  </si>
  <si>
    <t>EDGAR ANDRES BECERRA PEDRAZA</t>
  </si>
  <si>
    <t>EDWIN GIOVANY CUERVO SUAREZ</t>
  </si>
  <si>
    <t>RICARDO ALFREDO HERRERA JAIME</t>
  </si>
  <si>
    <t>JOSE VICENTE MANTILLA CAICEDO</t>
  </si>
  <si>
    <t>MARIA ELVIRA HERRERAJAIME</t>
  </si>
  <si>
    <t>WILSON ALBERTO SALAMANCA CAMARGO</t>
  </si>
  <si>
    <t>NATALIA HERRERA KHENAYZIR</t>
  </si>
  <si>
    <t>CAROLINA HERRERA KHENAYZIR</t>
  </si>
  <si>
    <t>INVERSIONES Y PROMOCIONES S.A.S</t>
  </si>
  <si>
    <t>MAPFRE SEGUROS GENERALES DE COLOMBIA S A</t>
  </si>
  <si>
    <t>JESUS GOMEZ LIZARAZO</t>
  </si>
  <si>
    <t>LUIS VELANDIA CELY</t>
  </si>
  <si>
    <t>WILLIAM ISAURO AREVALO PIÑEROS</t>
  </si>
  <si>
    <t>HECTOR PLUTARCO REYES PERICO</t>
  </si>
  <si>
    <t>DORA HILDA MEDINA DE PACHECO</t>
  </si>
  <si>
    <t>JANCY MILENA ALBARRACIN</t>
  </si>
  <si>
    <t>DIEGO ANDRES PEREZ ORDUS</t>
  </si>
  <si>
    <t>JOSE ABELARDO PEREZPINTO</t>
  </si>
  <si>
    <t>G Y J FERRETERIAS S.A</t>
  </si>
  <si>
    <t>LADRILLOS EL ZIPA SAS</t>
  </si>
  <si>
    <t>CENTRAL DE DOTACIONES SAS</t>
  </si>
  <si>
    <t>COVAL COMERCIAL SAS</t>
  </si>
  <si>
    <t>AXA COLPATRIA SEGUROS S.A</t>
  </si>
  <si>
    <t>LADRILLERA HELIOS S.A.</t>
  </si>
  <si>
    <t>BANCO DAVIVIENDA S.A</t>
  </si>
  <si>
    <t>INCHCAPE COLOMBIA SAS</t>
  </si>
  <si>
    <t>BANCO PICHINCHA S.A</t>
  </si>
  <si>
    <t>CAMARA DE COMERCIO DE DUITAMA</t>
  </si>
  <si>
    <t>SUPER SERVICIOS BOYACA S.A.S</t>
  </si>
  <si>
    <t>SUPERINTENDENCIA DE NOTARIADO Y REGISTRO</t>
  </si>
  <si>
    <t>SM ASOCIADOS S.A.</t>
  </si>
  <si>
    <t>DISTRIBUIDORA FERREACEROS S.A.S</t>
  </si>
  <si>
    <t>WORLD OFFICE COLOMBIA S.A.S</t>
  </si>
  <si>
    <t>LUCTRA SAS</t>
  </si>
  <si>
    <t>SOCIAL SOLAR SAS</t>
  </si>
  <si>
    <t>CENTRO COMERCIAL Y APARTAMENTOS SENDERO PLAZA</t>
  </si>
  <si>
    <t>LADRILLERA GRESPAN SAS</t>
  </si>
  <si>
    <t>CUANTIAS MENORES</t>
  </si>
  <si>
    <t>OSCAR FERNEY VELASCO ALVARADO</t>
  </si>
  <si>
    <t>CL 24 19 121 OF 301</t>
  </si>
  <si>
    <t>3118278143</t>
  </si>
  <si>
    <t>CON ALTOS DE SURBA Y BONZA CA A 3</t>
  </si>
  <si>
    <t>3212701139</t>
  </si>
  <si>
    <t>CR 11 25 23</t>
  </si>
  <si>
    <t>3202637920</t>
  </si>
  <si>
    <t>CR 22 25 47 ED SENDEROS DEL PARQUE</t>
  </si>
  <si>
    <t>3123645746</t>
  </si>
  <si>
    <t>VDA CENTRO</t>
  </si>
  <si>
    <t>3232500372</t>
  </si>
  <si>
    <t>VDA PEÑA NEGRA</t>
  </si>
  <si>
    <t>6478650</t>
  </si>
  <si>
    <t>CL 109 17 96</t>
  </si>
  <si>
    <t>7625252</t>
  </si>
  <si>
    <t>HOTEL ESTELAR PAIPA HOTEL Y CC A ORILLAS DEL LAGO SOCHAGOTA</t>
  </si>
  <si>
    <t>3107912864</t>
  </si>
  <si>
    <t>AV LIBERTADORES N 10C 45</t>
  </si>
  <si>
    <t>CL 162 22 68</t>
  </si>
  <si>
    <t>3203602701</t>
  </si>
  <si>
    <t>3102053609</t>
  </si>
  <si>
    <t>CL 19 A 4 55</t>
  </si>
  <si>
    <t>3196306761</t>
  </si>
  <si>
    <t>VDA EL MORAL</t>
  </si>
  <si>
    <t>3214753292</t>
  </si>
  <si>
    <t>CALLE 24 N 19-121</t>
  </si>
  <si>
    <t>3204737541</t>
  </si>
  <si>
    <t>CR 16 24A 09</t>
  </si>
  <si>
    <t>3135743658</t>
  </si>
  <si>
    <t>CR 10 25 61 APTO 701</t>
  </si>
  <si>
    <t>4587280</t>
  </si>
  <si>
    <t>CR 71 SUR 58 50 APTO 304</t>
  </si>
  <si>
    <t>3214753247</t>
  </si>
  <si>
    <t>KM 5 VIA DUITAMA PAIPA</t>
  </si>
  <si>
    <t>3173787140</t>
  </si>
  <si>
    <t>CL 17 1B 53</t>
  </si>
  <si>
    <t>CR 18 CL 10 ESQUINA</t>
  </si>
  <si>
    <t>6503300</t>
  </si>
  <si>
    <t>CR 14 96 34</t>
  </si>
  <si>
    <t>7603312</t>
  </si>
  <si>
    <t>CL 9 19 53</t>
  </si>
  <si>
    <t>7604951</t>
  </si>
  <si>
    <t>CL 9 19 85</t>
  </si>
  <si>
    <t>3208412466</t>
  </si>
  <si>
    <t>CL 26 22 31</t>
  </si>
  <si>
    <t>3102193303</t>
  </si>
  <si>
    <t>CRA9 21 57</t>
  </si>
  <si>
    <t>3125863017</t>
  </si>
  <si>
    <t>CR 21 20 07</t>
  </si>
  <si>
    <t>3202087822</t>
  </si>
  <si>
    <t>CR 16 12 49</t>
  </si>
  <si>
    <t>3134959083</t>
  </si>
  <si>
    <t>CL 22 36 50</t>
  </si>
  <si>
    <t>3142558438</t>
  </si>
  <si>
    <t>CL 26 17 A 46</t>
  </si>
  <si>
    <t>7601402</t>
  </si>
  <si>
    <t>CL 9 25 27 AV AMERICAS</t>
  </si>
  <si>
    <t>7851186</t>
  </si>
  <si>
    <t>VEREDA SATIVA KM 1 VIA PAIPA TUNJA</t>
  </si>
  <si>
    <t>7602310</t>
  </si>
  <si>
    <t>CL 14 18 82</t>
  </si>
  <si>
    <t>7613444</t>
  </si>
  <si>
    <t>AV AMERICAS 20 30</t>
  </si>
  <si>
    <t>018000512620</t>
  </si>
  <si>
    <t>AV 40  26 C 10</t>
  </si>
  <si>
    <t>6193760</t>
  </si>
  <si>
    <t>AK 15 122 39 TO 1 OF 705</t>
  </si>
  <si>
    <t>3300000</t>
  </si>
  <si>
    <t>CL 16 15 75</t>
  </si>
  <si>
    <t>CL 99 69C 41</t>
  </si>
  <si>
    <t>6501000</t>
  </si>
  <si>
    <t>AV LA AMERICAS 42 - 81</t>
  </si>
  <si>
    <t>TRANSVERSAL 19  23 141</t>
  </si>
  <si>
    <t>7603911</t>
  </si>
  <si>
    <t>CR 148 7 41</t>
  </si>
  <si>
    <t>3282121</t>
  </si>
  <si>
    <t>CL 26 13 49</t>
  </si>
  <si>
    <t>3105518809</t>
  </si>
  <si>
    <t>AV LIBERTADORES 22 - 71</t>
  </si>
  <si>
    <t>7603535</t>
  </si>
  <si>
    <t>CL 22 40 08</t>
  </si>
  <si>
    <t>AV CL 26 N° 69D 91 OF 805</t>
  </si>
  <si>
    <t>CL 22 20 77</t>
  </si>
  <si>
    <t>3204679942</t>
  </si>
  <si>
    <t>CR 19 28 60 LOCAL 103</t>
  </si>
  <si>
    <t>CALLE 24 19 121</t>
  </si>
  <si>
    <t>3134235643</t>
  </si>
  <si>
    <t>KM 5 VIA ZIPAQUIRA UBATE SEC LOS CERROS</t>
  </si>
  <si>
    <t>3133569092</t>
  </si>
  <si>
    <t>VDA TOIBITA</t>
  </si>
  <si>
    <t>mtgutierrez31@yahoo.es</t>
  </si>
  <si>
    <t>iygltda@gmail.com</t>
  </si>
  <si>
    <t>consultaring@gmail.com</t>
  </si>
  <si>
    <t>mayo8218@hotmail.com</t>
  </si>
  <si>
    <t>rherrerajaime@gmail.com</t>
  </si>
  <si>
    <t>rservas@hotelesestelar.com</t>
  </si>
  <si>
    <t>cdaloslanceros@hotmail.com</t>
  </si>
  <si>
    <t>f.electronica@mgbp.com.co</t>
  </si>
  <si>
    <t>jhonarleyfagua588@gmail.com</t>
  </si>
  <si>
    <t>rherrerajaime@yahoo.es</t>
  </si>
  <si>
    <t>vidazzza@hotmail.com</t>
  </si>
  <si>
    <t>herrerajaime@gmail.com</t>
  </si>
  <si>
    <t>arolinahk.19@gmail.com</t>
  </si>
  <si>
    <t>facturacion@inprosas.co</t>
  </si>
  <si>
    <t>reclamaciones@mapfre.com</t>
  </si>
  <si>
    <t>centraldebaterias4@gmail.com</t>
  </si>
  <si>
    <t>arenahreyes@hotmail.com</t>
  </si>
  <si>
    <t>distriledduitama@gmail.com</t>
  </si>
  <si>
    <t>cias.colpatriagt@axacolpatria.co</t>
  </si>
  <si>
    <t>contador@ladrillerahelios.com.co</t>
  </si>
  <si>
    <t>pracodidacol@gmail.com</t>
  </si>
  <si>
    <t>suserviboy@gmail.com</t>
  </si>
  <si>
    <t>contactenos@worldoffice.com.co</t>
  </si>
  <si>
    <t>oscar1986velasco@hotmail.com</t>
  </si>
  <si>
    <t>HERRERA JAIME CONSTRUCCIONES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</si>
</sst>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3" borderId="0" xfId="0" applyFont="1" applyFill="1" applyBorder="1" applyAlignment="1" applyProtection="1"/>
    <xf numFmtId="3" fontId="0" fillId="0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43" fontId="0" fillId="0" borderId="0" xfId="1" applyNumberFormat="1" applyFont="1" applyFill="1" applyProtection="1">
      <protection locked="0"/>
    </xf>
    <xf numFmtId="43" fontId="0" fillId="0" borderId="0" xfId="1" applyFont="1" applyFill="1" applyProtection="1">
      <protection locked="0"/>
    </xf>
    <xf numFmtId="1" fontId="1" fillId="0" borderId="1" xfId="0" applyNumberFormat="1" applyFont="1" applyFill="1" applyBorder="1" applyAlignment="1" applyProtection="1">
      <alignment horizontal="center" vertical="center" wrapText="1"/>
    </xf>
    <xf numFmtId="1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rcer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xiliar%202368-HJC%20con%20n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le/Desktop/Archivos%20C/CONTABILIDAD%20LAGO%20VERDE%20CONSTRUCCIONES%20SAS/INFORMACION%20EXOGENA%20PAIPA-LVC/PFE5-LVC%20COMP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arAExcel (2)"/>
      <sheetName val="ExportarAExcel"/>
    </sheetNames>
    <sheetDataSet>
      <sheetData sheetId="0">
        <row r="1">
          <cell r="A1" t="str">
            <v>NIT</v>
          </cell>
          <cell r="B1" t="str">
            <v>DV</v>
          </cell>
          <cell r="C1" t="str">
            <v>Nombre</v>
          </cell>
          <cell r="D1" t="str">
            <v>Dirección</v>
          </cell>
          <cell r="E1" t="str">
            <v>Teléfonos</v>
          </cell>
          <cell r="F1" t="str">
            <v>Ciudad</v>
          </cell>
        </row>
        <row r="2">
          <cell r="A2">
            <v>830003564</v>
          </cell>
          <cell r="B2">
            <v>7</v>
          </cell>
          <cell r="C2" t="str">
            <v>ENTIDAD PROMOTORA DE SALUD FAMISANAR LTDA CAFAM COLSUBSIDIO</v>
          </cell>
          <cell r="D2" t="str">
            <v>CLL 78 13A 07</v>
          </cell>
          <cell r="E2" t="str">
            <v>3078069</v>
          </cell>
          <cell r="F2" t="str">
            <v>Bogota D.C.</v>
          </cell>
        </row>
        <row r="3">
          <cell r="A3">
            <v>900604334</v>
          </cell>
          <cell r="B3">
            <v>2</v>
          </cell>
          <cell r="C3" t="str">
            <v>INGELPARRA SOCIEDAD POR ACCIONES SIMPLIFICADA</v>
          </cell>
          <cell r="D3" t="str">
            <v>CL 5 18 53</v>
          </cell>
          <cell r="E3" t="str">
            <v>7626845</v>
          </cell>
          <cell r="F3" t="str">
            <v>Duitama</v>
          </cell>
        </row>
        <row r="4">
          <cell r="A4">
            <v>891700037</v>
          </cell>
          <cell r="B4">
            <v>9</v>
          </cell>
          <cell r="C4" t="str">
            <v>MAPFRE SEGUROS GENERALES DE COLOMBIA S A</v>
          </cell>
          <cell r="D4" t="str">
            <v>CR 14 96 34</v>
          </cell>
          <cell r="E4" t="str">
            <v>6503300</v>
          </cell>
          <cell r="F4" t="str">
            <v>Bogota D.C.</v>
          </cell>
        </row>
        <row r="5">
          <cell r="A5">
            <v>901717608</v>
          </cell>
          <cell r="B5">
            <v>4</v>
          </cell>
          <cell r="C5" t="str">
            <v>PROCAJACORP SAS</v>
          </cell>
          <cell r="D5" t="str">
            <v>DG 16 SUR 50 44</v>
          </cell>
          <cell r="E5" t="str">
            <v>3503469250</v>
          </cell>
          <cell r="F5" t="str">
            <v>Bogota D.C.</v>
          </cell>
        </row>
        <row r="6">
          <cell r="A6">
            <v>901250506</v>
          </cell>
          <cell r="B6">
            <v>5</v>
          </cell>
          <cell r="C6" t="str">
            <v>1A ACABADOS COMERCIALIZADORA SAS</v>
          </cell>
          <cell r="D6" t="str">
            <v>CL 139 102 21</v>
          </cell>
          <cell r="E6" t="str">
            <v>3153246541</v>
          </cell>
          <cell r="F6" t="str">
            <v>Bogota D.C.</v>
          </cell>
        </row>
        <row r="7">
          <cell r="A7">
            <v>901208506</v>
          </cell>
          <cell r="B7">
            <v>8</v>
          </cell>
          <cell r="C7" t="str">
            <v>1ACABADOS COMERCIALIZADORA SAS</v>
          </cell>
          <cell r="D7" t="str">
            <v>CL 139 102 21</v>
          </cell>
          <cell r="E7" t="str">
            <v>3153246541</v>
          </cell>
          <cell r="F7" t="str">
            <v>Bogota D.C.</v>
          </cell>
        </row>
        <row r="8">
          <cell r="A8">
            <v>800145548</v>
          </cell>
          <cell r="B8">
            <v>9</v>
          </cell>
          <cell r="C8" t="str">
            <v>A.B SEÑALIZACION SAS</v>
          </cell>
          <cell r="D8" t="str">
            <v>CL 136 47 24</v>
          </cell>
          <cell r="E8" t="str">
            <v>6267445</v>
          </cell>
          <cell r="F8" t="str">
            <v>Bogota D.C.</v>
          </cell>
        </row>
        <row r="9">
          <cell r="A9">
            <v>900189945</v>
          </cell>
          <cell r="B9">
            <v>1</v>
          </cell>
          <cell r="C9" t="str">
            <v>ABASTECEDOR COLOMBIANO DE TEJAS Y DRYWALL S.A.S</v>
          </cell>
          <cell r="D9" t="str">
            <v>CR 25 18 08</v>
          </cell>
          <cell r="E9" t="str">
            <v>4071111</v>
          </cell>
          <cell r="F9" t="str">
            <v>Bogota D.C.</v>
          </cell>
        </row>
        <row r="10">
          <cell r="A10">
            <v>860051705</v>
          </cell>
          <cell r="B10">
            <v>2</v>
          </cell>
          <cell r="C10" t="str">
            <v>ABN AMRO BANK</v>
          </cell>
        </row>
        <row r="11">
          <cell r="A11">
            <v>830054539</v>
          </cell>
          <cell r="B11">
            <v>0</v>
          </cell>
          <cell r="C11" t="str">
            <v>ACCENORTE SAS</v>
          </cell>
          <cell r="D11" t="str">
            <v>KM 19 CARRETERA CENTRAL NORTE</v>
          </cell>
          <cell r="F11" t="str">
            <v>Chía</v>
          </cell>
        </row>
        <row r="12">
          <cell r="A12">
            <v>891857833</v>
          </cell>
          <cell r="B12">
            <v>1</v>
          </cell>
          <cell r="C12" t="str">
            <v>ACUEDUCTO REGIONAL PEÑA NEGRA DEL MUNICIPIO DE PAIPA DEPARTAMENTO DE BOYACA</v>
          </cell>
          <cell r="D12" t="str">
            <v>VDA PEÑA NEGRA</v>
          </cell>
          <cell r="F12" t="str">
            <v>Paipa</v>
          </cell>
        </row>
        <row r="13">
          <cell r="A13">
            <v>900336004</v>
          </cell>
          <cell r="C13" t="str">
            <v>ADMINISTRADORA COLOMBIANA  DE PENSIONES COLPENSIONES</v>
          </cell>
          <cell r="D13" t="str">
            <v>CR 10 72 33</v>
          </cell>
          <cell r="E13" t="str">
            <v>2170100</v>
          </cell>
          <cell r="F13" t="str">
            <v>Bogota D.C.</v>
          </cell>
        </row>
        <row r="14">
          <cell r="A14">
            <v>901037916</v>
          </cell>
          <cell r="B14">
            <v>1</v>
          </cell>
          <cell r="C14" t="str">
            <v>ADMINISTRADORA DE LOS RECURSOS DEL SISTEMA GENERAL DE SEGURIDAD SOCIAL EN SALUD</v>
          </cell>
          <cell r="D14" t="str">
            <v>Ac. 26 #69-76</v>
          </cell>
          <cell r="E14" t="str">
            <v>4322760</v>
          </cell>
          <cell r="F14" t="str">
            <v>Bogota D.C.</v>
          </cell>
        </row>
        <row r="15">
          <cell r="A15">
            <v>830125996</v>
          </cell>
          <cell r="B15">
            <v>9</v>
          </cell>
          <cell r="C15" t="str">
            <v>AGENCIA NACIONAL DE INFRAESTRUCTURA</v>
          </cell>
          <cell r="D15" t="str">
            <v>ESTACION CHUSCA</v>
          </cell>
          <cell r="F15" t="str">
            <v>Mosquera</v>
          </cell>
        </row>
        <row r="16">
          <cell r="A16">
            <v>830062582</v>
          </cell>
          <cell r="B16">
            <v>1</v>
          </cell>
          <cell r="C16" t="str">
            <v>AGLOMADERAS S.A.S</v>
          </cell>
          <cell r="D16" t="str">
            <v>AV CALLE 80 81A 29</v>
          </cell>
          <cell r="E16" t="str">
            <v>4307021</v>
          </cell>
          <cell r="F16" t="str">
            <v>Bogota D.C.</v>
          </cell>
        </row>
        <row r="17">
          <cell r="A17">
            <v>900926508</v>
          </cell>
          <cell r="B17">
            <v>9</v>
          </cell>
          <cell r="C17" t="str">
            <v>AGRO ALEJO SAS</v>
          </cell>
          <cell r="D17" t="str">
            <v>CL 24 24 45</v>
          </cell>
          <cell r="E17" t="str">
            <v>3143076773</v>
          </cell>
          <cell r="F17" t="str">
            <v>Paipa</v>
          </cell>
        </row>
        <row r="18">
          <cell r="A18">
            <v>826000777</v>
          </cell>
          <cell r="B18">
            <v>0</v>
          </cell>
          <cell r="C18" t="str">
            <v>AGROAMIGOS SAS</v>
          </cell>
          <cell r="D18" t="str">
            <v>CL 23 23 11</v>
          </cell>
          <cell r="E18" t="str">
            <v>2172294</v>
          </cell>
          <cell r="F18" t="str">
            <v>Paipa</v>
          </cell>
        </row>
        <row r="19">
          <cell r="A19">
            <v>860507839</v>
          </cell>
          <cell r="B19">
            <v>1</v>
          </cell>
          <cell r="C19" t="str">
            <v>AGUAS DE COLOMBIA SAS</v>
          </cell>
        </row>
        <row r="20">
          <cell r="A20">
            <v>900044405</v>
          </cell>
          <cell r="B20">
            <v>3</v>
          </cell>
          <cell r="C20" t="str">
            <v>AGUAVIDA SOCIEDAD POR ACCIONES SIMPLIFICADA</v>
          </cell>
          <cell r="D20" t="str">
            <v>CL 14A 123-60</v>
          </cell>
          <cell r="E20" t="str">
            <v>4155868</v>
          </cell>
          <cell r="F20" t="str">
            <v>Bogota D.C.</v>
          </cell>
        </row>
        <row r="21">
          <cell r="A21">
            <v>900044405</v>
          </cell>
          <cell r="B21">
            <v>3</v>
          </cell>
          <cell r="C21" t="str">
            <v>AGUAVIDA SOCIEDAD POR ACCIONES SIMPLIFICADA</v>
          </cell>
          <cell r="D21" t="str">
            <v>CL 24 18 32</v>
          </cell>
          <cell r="E21" t="str">
            <v>7850771</v>
          </cell>
          <cell r="F21" t="str">
            <v>Paipa</v>
          </cell>
        </row>
        <row r="22">
          <cell r="A22">
            <v>891800846</v>
          </cell>
          <cell r="B22">
            <v>1</v>
          </cell>
          <cell r="C22" t="str">
            <v>ALCALDIA DE TUNJA</v>
          </cell>
          <cell r="D22" t="str">
            <v>CL 19 91 23</v>
          </cell>
          <cell r="E22" t="str">
            <v>7405770</v>
          </cell>
          <cell r="F22" t="str">
            <v>Tunja</v>
          </cell>
        </row>
        <row r="23">
          <cell r="A23">
            <v>860032550</v>
          </cell>
          <cell r="B23">
            <v>7</v>
          </cell>
          <cell r="C23" t="str">
            <v>ALFAGRES S.A</v>
          </cell>
          <cell r="D23" t="str">
            <v>AV CARACAS 35 55</v>
          </cell>
          <cell r="E23" t="str">
            <v>3311515</v>
          </cell>
          <cell r="F23" t="str">
            <v>Bogota D.C.</v>
          </cell>
        </row>
        <row r="24">
          <cell r="A24">
            <v>891856425</v>
          </cell>
          <cell r="B24">
            <v>3</v>
          </cell>
          <cell r="C24" t="str">
            <v>ALMACEN DE MATERIALES PARA CONSTRUCCION ALMACONS LTDA</v>
          </cell>
          <cell r="D24" t="str">
            <v>cl 20 22 44</v>
          </cell>
          <cell r="E24" t="str">
            <v>7601403</v>
          </cell>
          <cell r="F24" t="str">
            <v>Duitama</v>
          </cell>
        </row>
        <row r="25">
          <cell r="A25">
            <v>860500480</v>
          </cell>
          <cell r="B25">
            <v>8</v>
          </cell>
          <cell r="C25" t="str">
            <v>ALMACENES CORONA SAS</v>
          </cell>
          <cell r="D25" t="str">
            <v>AV UNIVERSITARIA 53 80</v>
          </cell>
          <cell r="E25" t="str">
            <v>3214658040</v>
          </cell>
          <cell r="F25" t="str">
            <v>Tunja</v>
          </cell>
        </row>
        <row r="26">
          <cell r="A26">
            <v>826000361</v>
          </cell>
          <cell r="B26">
            <v>0</v>
          </cell>
          <cell r="C26" t="str">
            <v>ALMACENES PARAISO S.A</v>
          </cell>
          <cell r="D26" t="str">
            <v>CL 15 18A 15</v>
          </cell>
          <cell r="E26" t="str">
            <v>7602319</v>
          </cell>
          <cell r="F26" t="str">
            <v>Duitama</v>
          </cell>
        </row>
        <row r="27">
          <cell r="A27">
            <v>901443117</v>
          </cell>
          <cell r="B27">
            <v>2</v>
          </cell>
          <cell r="C27" t="str">
            <v>ALTA CONSTRUCTORES SAS</v>
          </cell>
          <cell r="D27" t="str">
            <v>CR 24 10 462 CA 2</v>
          </cell>
          <cell r="E27" t="str">
            <v>3124489374</v>
          </cell>
          <cell r="F27" t="str">
            <v>Paipa</v>
          </cell>
        </row>
        <row r="28">
          <cell r="A28">
            <v>900555902</v>
          </cell>
          <cell r="B28">
            <v>5</v>
          </cell>
          <cell r="C28" t="str">
            <v>ALUMBOY DISTRIBUCIONES SAS</v>
          </cell>
          <cell r="D28" t="str">
            <v>CR 21 7 21</v>
          </cell>
          <cell r="E28" t="str">
            <v>7613781</v>
          </cell>
          <cell r="F28" t="str">
            <v>Duitama</v>
          </cell>
        </row>
        <row r="29">
          <cell r="A29">
            <v>830514610</v>
          </cell>
          <cell r="B29">
            <v>0</v>
          </cell>
          <cell r="C29" t="str">
            <v>AMBIENTES CERAMICOS LTDA</v>
          </cell>
          <cell r="D29" t="str">
            <v>CR 19 11 36</v>
          </cell>
          <cell r="E29" t="str">
            <v>7603719</v>
          </cell>
          <cell r="F29" t="str">
            <v>Duitama</v>
          </cell>
        </row>
        <row r="30">
          <cell r="A30">
            <v>900340517</v>
          </cell>
          <cell r="B30">
            <v>9</v>
          </cell>
          <cell r="C30" t="str">
            <v>ANCLA Y HERNA INVERSIONES S.A.S</v>
          </cell>
          <cell r="D30" t="str">
            <v>CL 15 18 27</v>
          </cell>
          <cell r="F30" t="str">
            <v>Duitama</v>
          </cell>
        </row>
        <row r="31">
          <cell r="A31">
            <v>901145013</v>
          </cell>
          <cell r="B31">
            <v>7</v>
          </cell>
          <cell r="C31" t="str">
            <v>ANGLO INV SAS</v>
          </cell>
          <cell r="D31" t="str">
            <v>CL 25 22 71</v>
          </cell>
          <cell r="E31" t="str">
            <v>7852983</v>
          </cell>
          <cell r="F31" t="str">
            <v>Paipa</v>
          </cell>
        </row>
        <row r="32">
          <cell r="A32">
            <v>901907206</v>
          </cell>
          <cell r="B32">
            <v>2</v>
          </cell>
          <cell r="C32" t="str">
            <v>ANIMALIA UNIVERSO MASCOTA SAS</v>
          </cell>
          <cell r="D32" t="str">
            <v>AV LIBERTADORES 21 76</v>
          </cell>
          <cell r="E32" t="str">
            <v>3183879408</v>
          </cell>
          <cell r="F32" t="str">
            <v>Paipa</v>
          </cell>
        </row>
        <row r="33">
          <cell r="A33">
            <v>900147238</v>
          </cell>
          <cell r="B33">
            <v>2</v>
          </cell>
          <cell r="C33" t="str">
            <v>APORTES EN LINEA S.A.</v>
          </cell>
          <cell r="D33" t="str">
            <v>CR 13 26A 65</v>
          </cell>
          <cell r="E33" t="str">
            <v>3078333</v>
          </cell>
          <cell r="F33" t="str">
            <v>Bogota D.C.</v>
          </cell>
        </row>
        <row r="34">
          <cell r="A34">
            <v>901465361</v>
          </cell>
          <cell r="B34">
            <v>8</v>
          </cell>
          <cell r="C34" t="str">
            <v>ARAMAR SUPERMERCADOS SAS</v>
          </cell>
          <cell r="D34" t="str">
            <v>CR 23 22 51</v>
          </cell>
          <cell r="E34" t="str">
            <v>3125857981</v>
          </cell>
          <cell r="F34" t="str">
            <v>Paipa</v>
          </cell>
        </row>
        <row r="35">
          <cell r="A35">
            <v>900895679</v>
          </cell>
          <cell r="B35">
            <v>5</v>
          </cell>
          <cell r="C35" t="str">
            <v>ARENAS RJJ SAS</v>
          </cell>
          <cell r="D35" t="str">
            <v>VEREDA VADO CASTRO</v>
          </cell>
          <cell r="F35" t="str">
            <v>Tópaga</v>
          </cell>
        </row>
        <row r="36">
          <cell r="A36">
            <v>888888888</v>
          </cell>
          <cell r="B36">
            <v>6</v>
          </cell>
          <cell r="C36" t="str">
            <v>ASIGNACION CUENTAS</v>
          </cell>
        </row>
        <row r="37">
          <cell r="A37">
            <v>900319291</v>
          </cell>
          <cell r="B37">
            <v>2</v>
          </cell>
          <cell r="C37" t="str">
            <v>ASOPAGOS S.A</v>
          </cell>
          <cell r="D37" t="str">
            <v>CL 66 7 18 PISO 3</v>
          </cell>
          <cell r="F37" t="str">
            <v>Bogota D.C.</v>
          </cell>
        </row>
        <row r="38">
          <cell r="A38">
            <v>901354980</v>
          </cell>
          <cell r="B38">
            <v>0</v>
          </cell>
          <cell r="C38" t="str">
            <v>ATECHNOLOGY SAS</v>
          </cell>
          <cell r="D38" t="str">
            <v>DG 77 B 116 B 55 IN 4 APTO 301</v>
          </cell>
          <cell r="E38" t="str">
            <v>3004382337</v>
          </cell>
          <cell r="F38" t="str">
            <v>Bogota D.C.</v>
          </cell>
        </row>
        <row r="39">
          <cell r="A39">
            <v>860002184</v>
          </cell>
          <cell r="B39">
            <v>6</v>
          </cell>
          <cell r="C39" t="str">
            <v>AXA COLPATRIA SEGUROS S.A</v>
          </cell>
          <cell r="D39" t="str">
            <v>AV 40  26 C 10</v>
          </cell>
          <cell r="E39" t="str">
            <v>018000512620</v>
          </cell>
          <cell r="F39" t="str">
            <v>Bogota D.C.</v>
          </cell>
        </row>
        <row r="40">
          <cell r="A40">
            <v>901395372</v>
          </cell>
          <cell r="B40">
            <v>8</v>
          </cell>
          <cell r="C40" t="str">
            <v>BADIZ SAS</v>
          </cell>
          <cell r="D40" t="str">
            <v>CL 25 19 75</v>
          </cell>
          <cell r="E40" t="str">
            <v>7853068</v>
          </cell>
          <cell r="F40" t="str">
            <v>Paipa</v>
          </cell>
        </row>
        <row r="41">
          <cell r="A41">
            <v>800037800</v>
          </cell>
          <cell r="B41">
            <v>8</v>
          </cell>
          <cell r="C41" t="str">
            <v>BANCO AGRARIO DE COLOMBIA</v>
          </cell>
        </row>
        <row r="42">
          <cell r="A42">
            <v>860035827</v>
          </cell>
          <cell r="B42">
            <v>5</v>
          </cell>
          <cell r="C42" t="str">
            <v>BANCO AV VILLAS</v>
          </cell>
        </row>
        <row r="43">
          <cell r="A43">
            <v>860003020</v>
          </cell>
          <cell r="B43">
            <v>1</v>
          </cell>
          <cell r="C43" t="str">
            <v>BANCO BBVA</v>
          </cell>
        </row>
        <row r="44">
          <cell r="A44">
            <v>860007335</v>
          </cell>
          <cell r="B44">
            <v>4</v>
          </cell>
          <cell r="C44" t="str">
            <v>BANCO CAJA SOCIAL BCSC</v>
          </cell>
        </row>
        <row r="45">
          <cell r="A45">
            <v>860034594</v>
          </cell>
          <cell r="B45">
            <v>1</v>
          </cell>
          <cell r="C45" t="str">
            <v>BANCO COLPATRIA</v>
          </cell>
        </row>
        <row r="46">
          <cell r="A46">
            <v>900406150</v>
          </cell>
          <cell r="B46">
            <v>5</v>
          </cell>
          <cell r="C46" t="str">
            <v>BANCO COOMEVA SA</v>
          </cell>
          <cell r="D46" t="str">
            <v>CR 15 17 12</v>
          </cell>
          <cell r="F46" t="str">
            <v>Duitama</v>
          </cell>
        </row>
        <row r="47">
          <cell r="A47">
            <v>860034313</v>
          </cell>
          <cell r="B47">
            <v>7</v>
          </cell>
          <cell r="C47" t="str">
            <v>BANCO DAVIVIENDA S.A</v>
          </cell>
          <cell r="D47" t="str">
            <v>CL 16 15 75</v>
          </cell>
          <cell r="E47" t="str">
            <v>3300000</v>
          </cell>
          <cell r="F47" t="str">
            <v>Duitama</v>
          </cell>
        </row>
        <row r="48">
          <cell r="A48">
            <v>860002964</v>
          </cell>
          <cell r="B48">
            <v>4</v>
          </cell>
          <cell r="C48" t="str">
            <v>BANCO DE BOGOTÁ</v>
          </cell>
        </row>
        <row r="49">
          <cell r="A49">
            <v>860007660</v>
          </cell>
          <cell r="B49">
            <v>3</v>
          </cell>
          <cell r="C49" t="str">
            <v>BANCO DE CRÉDITO DE COLOMBIA</v>
          </cell>
        </row>
        <row r="50">
          <cell r="A50">
            <v>890300279</v>
          </cell>
          <cell r="B50">
            <v>4</v>
          </cell>
          <cell r="C50" t="str">
            <v>BANCO DE OCCIDENTE</v>
          </cell>
        </row>
        <row r="51">
          <cell r="A51">
            <v>860050750</v>
          </cell>
          <cell r="B51">
            <v>1</v>
          </cell>
          <cell r="C51" t="str">
            <v>BANCO GNB SUDAMERIS</v>
          </cell>
        </row>
        <row r="52">
          <cell r="A52">
            <v>890200756</v>
          </cell>
          <cell r="B52">
            <v>7</v>
          </cell>
          <cell r="C52" t="str">
            <v>BANCO PICHINCHA S.A</v>
          </cell>
          <cell r="D52" t="str">
            <v>AV LA AMERICAS 42 - 81</v>
          </cell>
          <cell r="E52" t="str">
            <v>6501000</v>
          </cell>
          <cell r="F52" t="str">
            <v>Bogota D.C.</v>
          </cell>
        </row>
        <row r="53">
          <cell r="A53">
            <v>860007738</v>
          </cell>
          <cell r="B53">
            <v>9</v>
          </cell>
          <cell r="C53" t="str">
            <v>BANCO POPULAR</v>
          </cell>
        </row>
        <row r="54">
          <cell r="A54">
            <v>890903937</v>
          </cell>
          <cell r="B54">
            <v>0</v>
          </cell>
          <cell r="C54" t="str">
            <v>BANCO SANTANDER</v>
          </cell>
        </row>
        <row r="55">
          <cell r="A55">
            <v>890903938</v>
          </cell>
          <cell r="B55">
            <v>8</v>
          </cell>
          <cell r="C55" t="str">
            <v>BANCOLOMBIA S.A</v>
          </cell>
          <cell r="D55" t="str">
            <v>CR 48 26 65</v>
          </cell>
          <cell r="E55" t="str">
            <v>4040000</v>
          </cell>
          <cell r="F55" t="str">
            <v>Medellín</v>
          </cell>
        </row>
        <row r="56">
          <cell r="A56">
            <v>800147502</v>
          </cell>
          <cell r="B56">
            <v>1</v>
          </cell>
          <cell r="C56" t="str">
            <v>BBVA HORIZONTE AFPC</v>
          </cell>
        </row>
        <row r="57">
          <cell r="A57">
            <v>901371481</v>
          </cell>
          <cell r="B57">
            <v>9</v>
          </cell>
          <cell r="C57" t="str">
            <v>BTS CONCESIONARIO SAS</v>
          </cell>
        </row>
        <row r="58">
          <cell r="A58">
            <v>800140949</v>
          </cell>
          <cell r="B58">
            <v>6</v>
          </cell>
          <cell r="C58" t="str">
            <v>CAFESALUD EPS</v>
          </cell>
          <cell r="D58" t="str">
            <v>CR 15 14 24</v>
          </cell>
          <cell r="F58" t="str">
            <v>Duitama</v>
          </cell>
        </row>
        <row r="59">
          <cell r="A59">
            <v>860007336</v>
          </cell>
          <cell r="B59">
            <v>1</v>
          </cell>
          <cell r="C59" t="str">
            <v>CAJA COLOMBIANA DE SUBSIDIO FAMILIAR COLSUBSIDIO</v>
          </cell>
          <cell r="D59" t="str">
            <v>CL 26 25 50 PISO 8</v>
          </cell>
          <cell r="E59" t="str">
            <v>7420100</v>
          </cell>
          <cell r="F59" t="str">
            <v>Bogota D.C.</v>
          </cell>
        </row>
        <row r="60">
          <cell r="A60">
            <v>890102044</v>
          </cell>
          <cell r="B60">
            <v>1</v>
          </cell>
          <cell r="C60" t="str">
            <v>CAJA DE COMPENSACION FAMILIAR CAJACOPI ATLANTICO</v>
          </cell>
          <cell r="D60" t="str">
            <v>CR 46 53 54</v>
          </cell>
          <cell r="E60" t="str">
            <v>3714545</v>
          </cell>
          <cell r="F60" t="str">
            <v>Barranquilla</v>
          </cell>
        </row>
        <row r="61">
          <cell r="A61">
            <v>891800213</v>
          </cell>
          <cell r="B61">
            <v>8</v>
          </cell>
          <cell r="C61" t="str">
            <v>CAJA DE COMPENSACION FAMILIAR DE BOYACA COMFABOY</v>
          </cell>
          <cell r="D61" t="str">
            <v>CRA 10 16 81</v>
          </cell>
          <cell r="E61" t="str">
            <v>7441515</v>
          </cell>
          <cell r="F61" t="str">
            <v>Tunja</v>
          </cell>
        </row>
        <row r="62">
          <cell r="A62">
            <v>891180008</v>
          </cell>
          <cell r="B62">
            <v>2</v>
          </cell>
          <cell r="C62" t="str">
            <v>CAJA DE COMPENSACION FAMILIAR DEL HUILA</v>
          </cell>
          <cell r="D62" t="str">
            <v>Cl 12 15  24</v>
          </cell>
          <cell r="E62" t="str">
            <v>7627862</v>
          </cell>
          <cell r="F62" t="str">
            <v>Duitama</v>
          </cell>
        </row>
        <row r="63">
          <cell r="A63">
            <v>901543211</v>
          </cell>
          <cell r="B63">
            <v>6</v>
          </cell>
          <cell r="C63" t="str">
            <v>CAJACOPI EPS SAS</v>
          </cell>
          <cell r="D63" t="str">
            <v>CL 44 46 16</v>
          </cell>
          <cell r="E63" t="str">
            <v>6053185930</v>
          </cell>
          <cell r="F63" t="str">
            <v>Barranquilla</v>
          </cell>
        </row>
        <row r="64">
          <cell r="A64">
            <v>899999010</v>
          </cell>
          <cell r="B64">
            <v>3</v>
          </cell>
          <cell r="C64" t="str">
            <v>CAJANAL EPS</v>
          </cell>
        </row>
        <row r="65">
          <cell r="A65">
            <v>805004565</v>
          </cell>
          <cell r="B65">
            <v>8</v>
          </cell>
          <cell r="C65" t="str">
            <v>CALISALUD EPS</v>
          </cell>
        </row>
        <row r="66">
          <cell r="A66">
            <v>891855025</v>
          </cell>
          <cell r="B66">
            <v>6</v>
          </cell>
          <cell r="C66" t="str">
            <v>CAMARA DE COMERCIO DE DUITAMA</v>
          </cell>
          <cell r="D66" t="str">
            <v>TRANSVERSAL 19  23 141</v>
          </cell>
          <cell r="F66" t="str">
            <v>Duitama</v>
          </cell>
        </row>
        <row r="67">
          <cell r="A67">
            <v>881869736</v>
          </cell>
          <cell r="B67">
            <v>9</v>
          </cell>
          <cell r="C67" t="str">
            <v>CAMILO ACOSTA DURAN SOCIEDAD POR ACCIONES SIMPLIFICADA</v>
          </cell>
          <cell r="D67" t="str">
            <v>AV DE LAS AMERICAS 24 120</v>
          </cell>
          <cell r="E67" t="str">
            <v>7602466</v>
          </cell>
          <cell r="F67" t="str">
            <v>Duitama</v>
          </cell>
        </row>
        <row r="68">
          <cell r="A68">
            <v>111111111</v>
          </cell>
          <cell r="B68">
            <v>9</v>
          </cell>
          <cell r="C68" t="str">
            <v>CANCELACION CUENTAS</v>
          </cell>
        </row>
        <row r="69">
          <cell r="A69">
            <v>899999026</v>
          </cell>
          <cell r="B69">
            <v>0</v>
          </cell>
          <cell r="C69" t="str">
            <v>CAPRECOM</v>
          </cell>
        </row>
        <row r="70">
          <cell r="A70">
            <v>891856000</v>
          </cell>
          <cell r="B70">
            <v>0</v>
          </cell>
          <cell r="C70" t="str">
            <v>CAPRESOCA EPS</v>
          </cell>
        </row>
        <row r="71">
          <cell r="A71">
            <v>820001772</v>
          </cell>
          <cell r="B71">
            <v>7</v>
          </cell>
          <cell r="C71" t="str">
            <v>CARRAZOS S.A.S</v>
          </cell>
          <cell r="D71" t="str">
            <v>CL 53 5 98 BRR LA GRANJA</v>
          </cell>
          <cell r="E71" t="str">
            <v>7405060</v>
          </cell>
          <cell r="F71" t="str">
            <v>Tunja</v>
          </cell>
        </row>
        <row r="72">
          <cell r="A72">
            <v>900152996</v>
          </cell>
          <cell r="B72">
            <v>7</v>
          </cell>
          <cell r="C72" t="str">
            <v>CARVAJAL LABORATORIOS IPS SAS</v>
          </cell>
          <cell r="D72" t="str">
            <v>CL 24 9 38</v>
          </cell>
          <cell r="E72" t="str">
            <v>7434956</v>
          </cell>
          <cell r="F72" t="str">
            <v>Tunja</v>
          </cell>
        </row>
        <row r="73">
          <cell r="A73">
            <v>901145641</v>
          </cell>
          <cell r="B73">
            <v>2</v>
          </cell>
          <cell r="C73" t="str">
            <v>CDA LANCEROS S.A.S</v>
          </cell>
          <cell r="D73" t="str">
            <v>AV LIBERTADORES N 10C 45</v>
          </cell>
          <cell r="E73" t="str">
            <v>3107912864</v>
          </cell>
          <cell r="F73" t="str">
            <v>Paipa</v>
          </cell>
        </row>
        <row r="74">
          <cell r="A74">
            <v>900803391</v>
          </cell>
          <cell r="B74">
            <v>6</v>
          </cell>
          <cell r="C74" t="str">
            <v>CEMENTOS NACIONALES S.A</v>
          </cell>
          <cell r="D74" t="str">
            <v>CL 12 10 88 OFC 305</v>
          </cell>
          <cell r="E74" t="str">
            <v>7706758</v>
          </cell>
          <cell r="F74" t="str">
            <v>Sogamoso</v>
          </cell>
        </row>
        <row r="75">
          <cell r="A75">
            <v>800242586</v>
          </cell>
          <cell r="B75">
            <v>4</v>
          </cell>
          <cell r="C75" t="str">
            <v>CENTRAL DE DOTACIONES SAS</v>
          </cell>
          <cell r="D75" t="str">
            <v>CL 14 18 82</v>
          </cell>
          <cell r="E75" t="str">
            <v>7602310</v>
          </cell>
          <cell r="F75" t="str">
            <v>Duitama</v>
          </cell>
        </row>
        <row r="76">
          <cell r="A76">
            <v>901041174</v>
          </cell>
          <cell r="B76">
            <v>7</v>
          </cell>
          <cell r="C76" t="str">
            <v>CENTRAL DE TRITURADOS S.A.S</v>
          </cell>
          <cell r="D76" t="str">
            <v>CL 12 10 88 OFC 301</v>
          </cell>
          <cell r="E76" t="str">
            <v>7706758</v>
          </cell>
          <cell r="F76" t="str">
            <v>Sogamoso</v>
          </cell>
        </row>
        <row r="77">
          <cell r="A77">
            <v>826000697</v>
          </cell>
          <cell r="B77">
            <v>1</v>
          </cell>
          <cell r="C77" t="str">
            <v>CENTRALCO SAS</v>
          </cell>
          <cell r="D77" t="str">
            <v>AUT NORTE SALIDA PAIPA TUNJA</v>
          </cell>
          <cell r="E77" t="str">
            <v>7850266</v>
          </cell>
          <cell r="F77" t="str">
            <v>Paipa</v>
          </cell>
        </row>
        <row r="78">
          <cell r="A78">
            <v>901230211</v>
          </cell>
          <cell r="B78">
            <v>2</v>
          </cell>
          <cell r="C78" t="str">
            <v>CENTRO COMERCIAL Y APARTAMENTOS SENDERO PLAZA</v>
          </cell>
          <cell r="D78" t="str">
            <v>CALLE 24 19 121</v>
          </cell>
          <cell r="F78" t="str">
            <v>Paipa</v>
          </cell>
        </row>
        <row r="79">
          <cell r="A79">
            <v>900291230</v>
          </cell>
          <cell r="B79">
            <v>1</v>
          </cell>
          <cell r="C79" t="str">
            <v>CENTRO DE ATENCION REINA MARIA LTDA</v>
          </cell>
          <cell r="D79" t="str">
            <v>CR 17 13 19</v>
          </cell>
          <cell r="F79" t="str">
            <v>Duitama</v>
          </cell>
        </row>
        <row r="80">
          <cell r="A80">
            <v>900442771</v>
          </cell>
          <cell r="B80">
            <v>1</v>
          </cell>
          <cell r="C80" t="str">
            <v>CENTRO DE DISEÑO PERFORM</v>
          </cell>
          <cell r="D80" t="str">
            <v>CL 15 26 46</v>
          </cell>
          <cell r="E80" t="str">
            <v>7610617</v>
          </cell>
          <cell r="F80" t="str">
            <v>Duitama</v>
          </cell>
        </row>
        <row r="81">
          <cell r="A81">
            <v>900665617</v>
          </cell>
          <cell r="B81">
            <v>2</v>
          </cell>
          <cell r="C81" t="str">
            <v>CENTRO DE RECONOCIMIENTO DE CONDUCTORES LA PERLA DE BOYACA S.A.S.</v>
          </cell>
          <cell r="D81" t="str">
            <v>KM 1 VIA PAIPA</v>
          </cell>
          <cell r="E81" t="str">
            <v>3204047698</v>
          </cell>
          <cell r="F81" t="str">
            <v>Duitama</v>
          </cell>
        </row>
        <row r="82">
          <cell r="A82">
            <v>900341172</v>
          </cell>
          <cell r="B82">
            <v>6</v>
          </cell>
          <cell r="C82" t="str">
            <v>CENTRO EMPRESARIAL ARRECIFE-PROPIEDAD HORIZONTAL</v>
          </cell>
          <cell r="D82" t="str">
            <v>AV CL 11 26 69D 91</v>
          </cell>
          <cell r="E82" t="str">
            <v>3266200</v>
          </cell>
          <cell r="F82" t="str">
            <v>Bogota D.C.</v>
          </cell>
        </row>
        <row r="83">
          <cell r="A83">
            <v>830109487</v>
          </cell>
          <cell r="B83">
            <v>4</v>
          </cell>
          <cell r="C83" t="str">
            <v>CERAMIGRES S.A.S.</v>
          </cell>
          <cell r="D83" t="str">
            <v>CRA 19 12 10</v>
          </cell>
          <cell r="E83" t="str">
            <v>7601374</v>
          </cell>
          <cell r="F83" t="str">
            <v>Duitama</v>
          </cell>
        </row>
        <row r="84">
          <cell r="A84">
            <v>900338430</v>
          </cell>
          <cell r="B84">
            <v>0</v>
          </cell>
          <cell r="C84" t="str">
            <v>CERCOL COLOMBIA S.A.S</v>
          </cell>
          <cell r="D84" t="str">
            <v>CL 128 46 56</v>
          </cell>
          <cell r="E84" t="str">
            <v>2162552</v>
          </cell>
          <cell r="F84" t="str">
            <v>Bogota D.C.</v>
          </cell>
        </row>
        <row r="85">
          <cell r="A85">
            <v>860051135</v>
          </cell>
          <cell r="B85">
            <v>4</v>
          </cell>
          <cell r="C85" t="str">
            <v>CITIBANK</v>
          </cell>
        </row>
        <row r="86">
          <cell r="A86">
            <v>901293343</v>
          </cell>
          <cell r="B86">
            <v>6</v>
          </cell>
          <cell r="C86" t="str">
            <v>COCINAS NUEVAS TENDENCIAS S.A.S</v>
          </cell>
          <cell r="D86" t="str">
            <v>CR 16 19 28</v>
          </cell>
          <cell r="E86" t="str">
            <v>3219793555</v>
          </cell>
          <cell r="F86" t="str">
            <v>Duitama</v>
          </cell>
        </row>
        <row r="87">
          <cell r="A87">
            <v>830113831</v>
          </cell>
          <cell r="B87">
            <v>0</v>
          </cell>
          <cell r="C87" t="str">
            <v>COLMEDICA EPS</v>
          </cell>
        </row>
        <row r="88">
          <cell r="A88">
            <v>830122566</v>
          </cell>
          <cell r="B88">
            <v>1</v>
          </cell>
          <cell r="C88" t="str">
            <v>COLOMBIA TELECOMUNICACIONES SAS ESP</v>
          </cell>
          <cell r="D88" t="str">
            <v>CALLE 15 N° 14 - 25</v>
          </cell>
          <cell r="F88" t="str">
            <v>Duitama</v>
          </cell>
        </row>
        <row r="89">
          <cell r="A89">
            <v>890900943</v>
          </cell>
          <cell r="B89">
            <v>1</v>
          </cell>
          <cell r="C89" t="str">
            <v>COLOMBIANA DE COMERCIO SA</v>
          </cell>
          <cell r="D89" t="str">
            <v>AV UNIVERSITARIA 50 21 LC 209</v>
          </cell>
          <cell r="E89" t="str">
            <v>4386868</v>
          </cell>
          <cell r="F89" t="str">
            <v>Tunja</v>
          </cell>
        </row>
        <row r="90">
          <cell r="A90">
            <v>900078103</v>
          </cell>
          <cell r="B90">
            <v>0</v>
          </cell>
          <cell r="C90" t="str">
            <v>COMBUSTIBLES H Y R LTDA</v>
          </cell>
          <cell r="D90" t="str">
            <v>CL 121 7 30</v>
          </cell>
          <cell r="F90" t="str">
            <v>Bogota D.C.</v>
          </cell>
        </row>
        <row r="91">
          <cell r="A91">
            <v>900562633</v>
          </cell>
          <cell r="B91">
            <v>8</v>
          </cell>
          <cell r="C91" t="str">
            <v>COMBUSTIBLES Y TRANSPORTES LA ESMERALDA S.A.S</v>
          </cell>
          <cell r="D91" t="str">
            <v>CL 9 23 30</v>
          </cell>
          <cell r="E91" t="str">
            <v>3164248738</v>
          </cell>
          <cell r="F91" t="str">
            <v>Duitama</v>
          </cell>
        </row>
        <row r="92">
          <cell r="A92">
            <v>900214726</v>
          </cell>
          <cell r="B92">
            <v>2</v>
          </cell>
          <cell r="C92" t="str">
            <v>COMERCIAL COLOMBIANA DE ELEVADORES ELEVECC SAS</v>
          </cell>
          <cell r="D92" t="str">
            <v>CR 12 18 33</v>
          </cell>
          <cell r="E92" t="str">
            <v>3143692600</v>
          </cell>
          <cell r="F92" t="str">
            <v>Tunja</v>
          </cell>
        </row>
        <row r="93">
          <cell r="A93">
            <v>860075208</v>
          </cell>
          <cell r="B93">
            <v>7</v>
          </cell>
          <cell r="C93" t="str">
            <v>COMERCIALIZADORA CALYPSO SAS</v>
          </cell>
          <cell r="D93" t="str">
            <v>CR 19 15 44</v>
          </cell>
          <cell r="E93" t="str">
            <v>7611220</v>
          </cell>
          <cell r="F93" t="str">
            <v>Duitama</v>
          </cell>
        </row>
        <row r="94">
          <cell r="A94">
            <v>826000404</v>
          </cell>
          <cell r="B94">
            <v>9</v>
          </cell>
          <cell r="C94" t="str">
            <v>COMERCIALIZADORA DE COMBUSTIBLES Y TRANSPORTES LTDA</v>
          </cell>
          <cell r="D94" t="str">
            <v>KM 3 VIA DUITAMA PAIPA</v>
          </cell>
          <cell r="F94" t="str">
            <v>Duitama</v>
          </cell>
        </row>
        <row r="95">
          <cell r="A95">
            <v>826000888</v>
          </cell>
          <cell r="B95">
            <v>1</v>
          </cell>
          <cell r="C95" t="str">
            <v>COMERCIALIZADORA HR SAS</v>
          </cell>
          <cell r="D95" t="str">
            <v>AV AMERICAS CL 9 28 199</v>
          </cell>
          <cell r="E95" t="str">
            <v>7603655</v>
          </cell>
          <cell r="F95" t="str">
            <v>Duitama</v>
          </cell>
        </row>
        <row r="96">
          <cell r="A96">
            <v>800239064</v>
          </cell>
          <cell r="B96">
            <v>0</v>
          </cell>
          <cell r="C96" t="str">
            <v>COMERCIALIZADORA INTERNACIONAL DE LLANTAS S.A.S</v>
          </cell>
          <cell r="D96" t="str">
            <v>CR 25 1 A SUR 155 OF 255</v>
          </cell>
          <cell r="E96" t="str">
            <v>44446646</v>
          </cell>
          <cell r="F96" t="str">
            <v>Medellín</v>
          </cell>
        </row>
        <row r="97">
          <cell r="A97">
            <v>901144210</v>
          </cell>
          <cell r="B97">
            <v>7</v>
          </cell>
          <cell r="C97" t="str">
            <v>COMERCIALIZADORA RIANDE SAS</v>
          </cell>
          <cell r="D97" t="str">
            <v>CR 18 12 47</v>
          </cell>
          <cell r="E97" t="str">
            <v>7603450</v>
          </cell>
          <cell r="F97" t="str">
            <v>Duitama</v>
          </cell>
        </row>
        <row r="98">
          <cell r="A98">
            <v>826003737</v>
          </cell>
          <cell r="B98">
            <v>1</v>
          </cell>
          <cell r="C98" t="str">
            <v>COMERCIALIZADORA VPR LTDA</v>
          </cell>
          <cell r="D98" t="str">
            <v>AV CIRCUNVALAR TRANSVERSAL 29 10 174</v>
          </cell>
          <cell r="E98" t="str">
            <v>7615136</v>
          </cell>
          <cell r="F98" t="str">
            <v>Duitama</v>
          </cell>
        </row>
        <row r="99">
          <cell r="A99">
            <v>890303093</v>
          </cell>
          <cell r="B99">
            <v>5</v>
          </cell>
          <cell r="C99" t="str">
            <v>COMFENALCO VALLE EPS</v>
          </cell>
        </row>
        <row r="100">
          <cell r="A100">
            <v>860070374</v>
          </cell>
          <cell r="B100">
            <v>9</v>
          </cell>
          <cell r="C100" t="str">
            <v>COMPAÑÍA ASEGURADORA DE FIANZAS SA</v>
          </cell>
          <cell r="D100" t="str">
            <v>CL 82 11 37</v>
          </cell>
          <cell r="E100" t="str">
            <v>6444690</v>
          </cell>
          <cell r="F100" t="str">
            <v>Bogota D.C.</v>
          </cell>
        </row>
        <row r="101">
          <cell r="A101">
            <v>826000089</v>
          </cell>
          <cell r="B101">
            <v>1</v>
          </cell>
          <cell r="C101" t="str">
            <v>COMPAÑÍA COLOMBIANA DE CONCRETOS S.A</v>
          </cell>
          <cell r="D101" t="str">
            <v>CL 12 10 88 OFC 301</v>
          </cell>
          <cell r="E101" t="str">
            <v>7706758</v>
          </cell>
          <cell r="F101" t="str">
            <v>Sogamoso</v>
          </cell>
        </row>
        <row r="102">
          <cell r="A102">
            <v>860037013</v>
          </cell>
          <cell r="B102">
            <v>6</v>
          </cell>
          <cell r="C102" t="str">
            <v>COMPAÑÍA MUNDIAL DE SEGUROS SA</v>
          </cell>
          <cell r="D102" t="str">
            <v>CL 33 6B 24</v>
          </cell>
          <cell r="E102" t="str">
            <v>3274712</v>
          </cell>
          <cell r="F102" t="str">
            <v>Bogota D.C.</v>
          </cell>
        </row>
        <row r="103">
          <cell r="A103">
            <v>800074033</v>
          </cell>
          <cell r="B103">
            <v>2</v>
          </cell>
          <cell r="C103" t="str">
            <v>COMPAÑIAS ASOCIADAS DE GAS SA ESP</v>
          </cell>
          <cell r="D103" t="str">
            <v>KM 4 VIA LA MESA</v>
          </cell>
          <cell r="F103" t="str">
            <v>Mosquera</v>
          </cell>
        </row>
        <row r="104">
          <cell r="A104">
            <v>860066942</v>
          </cell>
          <cell r="B104">
            <v>7</v>
          </cell>
          <cell r="C104" t="str">
            <v>COMPENSAR EPS - CAJA DE COMPENSACION</v>
          </cell>
        </row>
        <row r="105">
          <cell r="A105">
            <v>900028095</v>
          </cell>
          <cell r="B105">
            <v>6</v>
          </cell>
          <cell r="C105" t="str">
            <v>COMPRESSED NATURAL GAS COLOMBIA S.A</v>
          </cell>
          <cell r="D105" t="str">
            <v>CL 9 26 98</v>
          </cell>
          <cell r="E105" t="str">
            <v>761 24 86</v>
          </cell>
          <cell r="F105" t="str">
            <v>Duitama</v>
          </cell>
        </row>
        <row r="106">
          <cell r="A106">
            <v>830026741</v>
          </cell>
          <cell r="B106">
            <v>3</v>
          </cell>
          <cell r="C106" t="str">
            <v>CONCESIONARIA DEL DESARROLLO VIAL DE LA SABANA</v>
          </cell>
          <cell r="D106" t="str">
            <v>KM 9 VIA MOSQUERA SIBERIA</v>
          </cell>
          <cell r="F106" t="str">
            <v>Mosquera</v>
          </cell>
        </row>
        <row r="107">
          <cell r="A107">
            <v>826000426</v>
          </cell>
          <cell r="B107">
            <v>0</v>
          </cell>
          <cell r="C107" t="str">
            <v>CONDOMINIO CAMPESTRE EL PARAISO</v>
          </cell>
          <cell r="D107" t="str">
            <v>VDA EL ESPARTAL KM 6 VIA DUITAMA AL PANTANO DE VARGAS</v>
          </cell>
          <cell r="E107" t="str">
            <v>3124319071</v>
          </cell>
          <cell r="F107" t="str">
            <v>Tibasosa</v>
          </cell>
        </row>
        <row r="108">
          <cell r="A108">
            <v>814000608</v>
          </cell>
          <cell r="B108">
            <v>0</v>
          </cell>
          <cell r="C108" t="str">
            <v>CONDOR EPS</v>
          </cell>
        </row>
        <row r="109">
          <cell r="A109">
            <v>901542484</v>
          </cell>
          <cell r="B109">
            <v>5</v>
          </cell>
          <cell r="C109" t="str">
            <v>CONSTRUCTORA MARASHA GREEN SAS</v>
          </cell>
          <cell r="D109" t="str">
            <v>CL 7 5 45</v>
          </cell>
          <cell r="E109" t="str">
            <v>6053148757</v>
          </cell>
          <cell r="F109" t="str">
            <v>Puerto Colombia</v>
          </cell>
        </row>
        <row r="110">
          <cell r="A110">
            <v>830124956</v>
          </cell>
          <cell r="B110">
            <v>1</v>
          </cell>
          <cell r="C110" t="str">
            <v>CONSTRUENCOFRADOS Y EQUIPOS SAS</v>
          </cell>
          <cell r="D110" t="str">
            <v>CR 17 19A 13</v>
          </cell>
          <cell r="E110" t="str">
            <v>2867600</v>
          </cell>
          <cell r="F110" t="str">
            <v>Bogota D.C.</v>
          </cell>
        </row>
        <row r="111">
          <cell r="A111">
            <v>901306985</v>
          </cell>
          <cell r="B111">
            <v>2</v>
          </cell>
          <cell r="C111" t="str">
            <v>CONSTRUEQUIPOS EL PROVEEDOR SOCIEDAD POR ACCIONES SIMPLIFICADA</v>
          </cell>
          <cell r="D111" t="str">
            <v>CR 19 15 53</v>
          </cell>
          <cell r="E111" t="str">
            <v>3102505972</v>
          </cell>
          <cell r="F111" t="str">
            <v>Duitama</v>
          </cell>
        </row>
        <row r="112">
          <cell r="A112">
            <v>804000752</v>
          </cell>
          <cell r="B112">
            <v>7</v>
          </cell>
          <cell r="C112" t="str">
            <v>CONSTRUVICOL SAS</v>
          </cell>
        </row>
        <row r="113">
          <cell r="A113">
            <v>901293070</v>
          </cell>
          <cell r="B113">
            <v>0</v>
          </cell>
          <cell r="C113" t="str">
            <v>CONSULTAR ING S.A.S</v>
          </cell>
          <cell r="D113" t="str">
            <v>CR 22 25 47 OF 203</v>
          </cell>
          <cell r="F113" t="str">
            <v>Paipa</v>
          </cell>
        </row>
        <row r="114">
          <cell r="A114">
            <v>899999107</v>
          </cell>
          <cell r="B114">
            <v>9</v>
          </cell>
          <cell r="C114" t="str">
            <v>CONVIDA</v>
          </cell>
        </row>
        <row r="115">
          <cell r="A115">
            <v>805000427</v>
          </cell>
          <cell r="B115">
            <v>1</v>
          </cell>
          <cell r="C115" t="str">
            <v>COOMEVA EPS</v>
          </cell>
          <cell r="D115" t="str">
            <v>CL 19 15 26</v>
          </cell>
          <cell r="E115" t="str">
            <v>7613364</v>
          </cell>
          <cell r="F115" t="str">
            <v>Duitama</v>
          </cell>
        </row>
        <row r="116">
          <cell r="A116">
            <v>804002105</v>
          </cell>
          <cell r="B116">
            <v>0</v>
          </cell>
          <cell r="C116" t="str">
            <v>COOPERATIVA DE SALUD COMUNITARIA EMPRESA PROMOTORA DE SALUD SUBSIDIADA COMPARTA EPS-S</v>
          </cell>
        </row>
        <row r="117">
          <cell r="A117">
            <v>900226715</v>
          </cell>
          <cell r="B117">
            <v>3</v>
          </cell>
          <cell r="C117" t="str">
            <v>COOSALUD EPS SA</v>
          </cell>
          <cell r="D117" t="str">
            <v>CR 7 40B 17</v>
          </cell>
          <cell r="E117" t="str">
            <v>3118673873</v>
          </cell>
          <cell r="F117" t="str">
            <v>Bogota D.C.</v>
          </cell>
        </row>
        <row r="118">
          <cell r="A118">
            <v>900309978</v>
          </cell>
          <cell r="B118">
            <v>0</v>
          </cell>
          <cell r="C118" t="str">
            <v>COPROPISOS LTDA</v>
          </cell>
          <cell r="D118" t="str">
            <v>CL 128 47 36</v>
          </cell>
          <cell r="E118" t="str">
            <v>6028212</v>
          </cell>
          <cell r="F118" t="str">
            <v>Bogota D.C.</v>
          </cell>
        </row>
        <row r="119">
          <cell r="A119">
            <v>900074306</v>
          </cell>
          <cell r="B119">
            <v>0</v>
          </cell>
          <cell r="C119" t="str">
            <v>CORPORACION FONDO MIXTO DE PROMOCION Y DESARROLLO TURISTICO DE PAIPA</v>
          </cell>
          <cell r="D119" t="str">
            <v>CL 24 21 31</v>
          </cell>
          <cell r="E119" t="str">
            <v>7852910</v>
          </cell>
          <cell r="F119" t="str">
            <v>Paipa</v>
          </cell>
        </row>
        <row r="120">
          <cell r="A120">
            <v>830063800</v>
          </cell>
          <cell r="B120">
            <v>7</v>
          </cell>
          <cell r="C120" t="str">
            <v>COVAL COMERCIAL SAS</v>
          </cell>
          <cell r="D120" t="str">
            <v>AV AMERICAS 20 30</v>
          </cell>
          <cell r="E120" t="str">
            <v>7613444</v>
          </cell>
          <cell r="F120" t="str">
            <v>Duitama</v>
          </cell>
        </row>
        <row r="121">
          <cell r="A121">
            <v>830009783</v>
          </cell>
          <cell r="B121">
            <v>0</v>
          </cell>
          <cell r="C121" t="str">
            <v>CRUZ BLANCA EPS</v>
          </cell>
        </row>
        <row r="122">
          <cell r="A122">
            <v>900276962</v>
          </cell>
          <cell r="B122">
            <v>1</v>
          </cell>
          <cell r="C122" t="str">
            <v>D1 SAS</v>
          </cell>
          <cell r="D122" t="str">
            <v>CR 19 23 64</v>
          </cell>
          <cell r="E122" t="str">
            <v>2541050</v>
          </cell>
          <cell r="F122" t="str">
            <v>Paipa</v>
          </cell>
        </row>
        <row r="123">
          <cell r="A123">
            <v>900803721</v>
          </cell>
          <cell r="B123">
            <v>3</v>
          </cell>
          <cell r="C123" t="str">
            <v>DAGROS SAS</v>
          </cell>
          <cell r="D123" t="str">
            <v>CR 8 4 36</v>
          </cell>
          <cell r="E123" t="str">
            <v>3132516217</v>
          </cell>
          <cell r="F123" t="str">
            <v>Paipa</v>
          </cell>
        </row>
        <row r="124">
          <cell r="A124">
            <v>891800498</v>
          </cell>
          <cell r="B124">
            <v>1</v>
          </cell>
          <cell r="C124" t="str">
            <v>DEPARTAMENTO DE BOYACA</v>
          </cell>
          <cell r="D124" t="str">
            <v>CL 20 9 90</v>
          </cell>
          <cell r="E124" t="str">
            <v>7420150</v>
          </cell>
          <cell r="F124" t="str">
            <v>Tunja</v>
          </cell>
        </row>
        <row r="125">
          <cell r="A125">
            <v>826002321</v>
          </cell>
          <cell r="B125">
            <v>5</v>
          </cell>
          <cell r="C125" t="str">
            <v>DEPOSITO DE MATERIALES FERRETERIA Y ELECTRICOS NOVAZAM LTDA</v>
          </cell>
          <cell r="D125" t="str">
            <v>AV CIRCUNVALAR 10 280</v>
          </cell>
          <cell r="F125" t="str">
            <v>Duitama</v>
          </cell>
        </row>
        <row r="126">
          <cell r="A126">
            <v>826003430</v>
          </cell>
          <cell r="B126">
            <v>4</v>
          </cell>
          <cell r="C126" t="str">
            <v>DEPOSITO DE MATERIALES LA SUPERIOR LIMITADA</v>
          </cell>
          <cell r="D126" t="str">
            <v>CR 18 20 34</v>
          </cell>
          <cell r="E126" t="str">
            <v>7602594</v>
          </cell>
          <cell r="F126" t="str">
            <v>Duitama</v>
          </cell>
        </row>
        <row r="127">
          <cell r="A127">
            <v>891855765</v>
          </cell>
          <cell r="B127">
            <v>8</v>
          </cell>
          <cell r="C127" t="str">
            <v>DEPOSITO SAN JOSE &amp; CIA LTDA</v>
          </cell>
          <cell r="D127" t="str">
            <v>CL 20 20 48</v>
          </cell>
          <cell r="E127" t="str">
            <v>7603748</v>
          </cell>
          <cell r="F127" t="str">
            <v>Duitama</v>
          </cell>
        </row>
        <row r="128">
          <cell r="A128">
            <v>860502609</v>
          </cell>
          <cell r="B128">
            <v>1</v>
          </cell>
          <cell r="C128" t="str">
            <v>DHL EXPRESS COLOMBIA LTDA</v>
          </cell>
          <cell r="D128" t="str">
            <v>CR 85D 46A 38</v>
          </cell>
          <cell r="E128" t="str">
            <v>7477777</v>
          </cell>
          <cell r="F128" t="str">
            <v>Bogota D.C.</v>
          </cell>
        </row>
        <row r="129">
          <cell r="A129">
            <v>74085634</v>
          </cell>
          <cell r="B129">
            <v>3</v>
          </cell>
          <cell r="C129" t="str">
            <v>DIEGO ANDRES PEREZ ORDUZ</v>
          </cell>
          <cell r="D129" t="str">
            <v>CL 22 36 50</v>
          </cell>
          <cell r="E129" t="str">
            <v>3134959083</v>
          </cell>
          <cell r="F129" t="str">
            <v>Duitama</v>
          </cell>
        </row>
        <row r="130">
          <cell r="A130">
            <v>900696609</v>
          </cell>
          <cell r="B130">
            <v>6</v>
          </cell>
          <cell r="C130" t="str">
            <v>DIGNA ARAGON DE NAVARRO SAS</v>
          </cell>
          <cell r="D130" t="str">
            <v>CL 15 22 98</v>
          </cell>
          <cell r="E130" t="str">
            <v>4201342</v>
          </cell>
          <cell r="F130" t="str">
            <v>Santa Marta</v>
          </cell>
        </row>
        <row r="131">
          <cell r="A131">
            <v>800012472</v>
          </cell>
          <cell r="B131">
            <v>7</v>
          </cell>
          <cell r="C131" t="str">
            <v>DIMEQUIP S.A.S</v>
          </cell>
          <cell r="D131" t="str">
            <v>CR 66A 4B 28</v>
          </cell>
          <cell r="E131" t="str">
            <v>2623579</v>
          </cell>
          <cell r="F131" t="str">
            <v>Bogota D.C.</v>
          </cell>
        </row>
        <row r="132">
          <cell r="A132">
            <v>800197268</v>
          </cell>
          <cell r="B132">
            <v>4</v>
          </cell>
          <cell r="C132" t="str">
            <v>DIRECCION DE IMPUESTOS Y ADUANAS NACIONALES</v>
          </cell>
          <cell r="D132" t="str">
            <v>CR 8 6C 38</v>
          </cell>
          <cell r="E132" t="str">
            <v>6079999</v>
          </cell>
          <cell r="F132" t="str">
            <v>Bogota D.C.</v>
          </cell>
        </row>
        <row r="133">
          <cell r="A133">
            <v>900821518</v>
          </cell>
          <cell r="B133">
            <v>0</v>
          </cell>
          <cell r="C133" t="str">
            <v>DISEÑO Y SOLUCIONES EN INGENIERIA ESTRUCTURAL SAS</v>
          </cell>
          <cell r="D133" t="str">
            <v>CL 14 13 29 APTO 304 ED EL ESCORIAL</v>
          </cell>
          <cell r="E133" t="str">
            <v>3002161981</v>
          </cell>
          <cell r="F133" t="str">
            <v>Duitama</v>
          </cell>
        </row>
        <row r="134">
          <cell r="A134">
            <v>901062604</v>
          </cell>
          <cell r="B134">
            <v>2</v>
          </cell>
          <cell r="C134" t="str">
            <v>DISTRIAGRO SAS</v>
          </cell>
          <cell r="D134" t="str">
            <v>CL 24 24</v>
          </cell>
        </row>
        <row r="135">
          <cell r="A135">
            <v>830112333</v>
          </cell>
          <cell r="B135">
            <v>1</v>
          </cell>
          <cell r="C135" t="str">
            <v>DISTRIBUCIONES METROCERAMICAS SAS</v>
          </cell>
          <cell r="D135" t="str">
            <v>AUT NORTE 138 83</v>
          </cell>
          <cell r="E135" t="str">
            <v>6154103</v>
          </cell>
          <cell r="F135" t="str">
            <v>Bogota D.C.</v>
          </cell>
        </row>
        <row r="136">
          <cell r="A136">
            <v>891855600</v>
          </cell>
          <cell r="B136">
            <v>1</v>
          </cell>
          <cell r="C136" t="str">
            <v>DISTRIBUIDORA DE COMBUSTIBLES EL SOL S.A</v>
          </cell>
          <cell r="D136" t="str">
            <v>CL 9 28 70</v>
          </cell>
          <cell r="E136" t="str">
            <v>7602371</v>
          </cell>
          <cell r="F136" t="str">
            <v>Duitama</v>
          </cell>
        </row>
        <row r="137">
          <cell r="A137">
            <v>900754525</v>
          </cell>
          <cell r="B137">
            <v>5</v>
          </cell>
          <cell r="C137" t="str">
            <v>DISTRIBUIDORA DE MATERIALES PARA LA CONSTRUCCION DIAMATEC S.A.S</v>
          </cell>
          <cell r="D137" t="str">
            <v>CR 19 16 36</v>
          </cell>
          <cell r="E137" t="str">
            <v>7602546</v>
          </cell>
          <cell r="F137" t="str">
            <v>Duitama</v>
          </cell>
        </row>
        <row r="138">
          <cell r="A138">
            <v>900412256</v>
          </cell>
          <cell r="B138">
            <v>1</v>
          </cell>
          <cell r="C138" t="str">
            <v>DISTRIBUIDORA FERREACEROS S.A.S</v>
          </cell>
          <cell r="D138" t="str">
            <v>CL 22 40 08</v>
          </cell>
          <cell r="E138" t="str">
            <v>7603535</v>
          </cell>
          <cell r="F138" t="str">
            <v>Duitama</v>
          </cell>
        </row>
        <row r="139">
          <cell r="A139">
            <v>901134927</v>
          </cell>
          <cell r="B139">
            <v>6</v>
          </cell>
          <cell r="C139" t="str">
            <v>DISTRIBUIDORA TUNDAMA M&amp;T SAS</v>
          </cell>
          <cell r="D139" t="str">
            <v>CR 19 CL 18 ESQ</v>
          </cell>
          <cell r="E139" t="str">
            <v>7602832</v>
          </cell>
          <cell r="F139" t="str">
            <v>Duitama</v>
          </cell>
        </row>
        <row r="140">
          <cell r="A140">
            <v>901184523</v>
          </cell>
          <cell r="B140">
            <v>8</v>
          </cell>
          <cell r="C140" t="str">
            <v>DISTRIMATERIALES Y ASOCIADOS S.A.S</v>
          </cell>
          <cell r="D140" t="str">
            <v>CR 13 3 76</v>
          </cell>
          <cell r="E140" t="str">
            <v>7456888</v>
          </cell>
          <cell r="F140" t="str">
            <v>Tunja</v>
          </cell>
        </row>
        <row r="141">
          <cell r="A141">
            <v>800095036</v>
          </cell>
          <cell r="B141">
            <v>4</v>
          </cell>
          <cell r="C141" t="str">
            <v>DLK S.A.S</v>
          </cell>
          <cell r="D141" t="str">
            <v>CL 109 17 96</v>
          </cell>
          <cell r="E141" t="str">
            <v>6478650</v>
          </cell>
          <cell r="F141" t="str">
            <v>Bogota D.C.</v>
          </cell>
        </row>
        <row r="142">
          <cell r="A142">
            <v>900338825</v>
          </cell>
          <cell r="B142">
            <v>6</v>
          </cell>
          <cell r="C142" t="str">
            <v>DOBLADORA INDUSTRIAL LTDA</v>
          </cell>
          <cell r="D142" t="str">
            <v>CR 19A 12 23</v>
          </cell>
          <cell r="E142" t="str">
            <v>7604403</v>
          </cell>
          <cell r="F142" t="str">
            <v>Duitama</v>
          </cell>
        </row>
        <row r="143">
          <cell r="A143">
            <v>900972985</v>
          </cell>
          <cell r="B143">
            <v>4</v>
          </cell>
          <cell r="C143" t="str">
            <v>DOTACIONES BOYACA SEGURIDAD INDUSTRIAL S.A.S.</v>
          </cell>
          <cell r="D143" t="str">
            <v>CR 11 11 25</v>
          </cell>
          <cell r="E143" t="str">
            <v>6087430559</v>
          </cell>
          <cell r="F143" t="str">
            <v>Duitama</v>
          </cell>
        </row>
        <row r="144">
          <cell r="A144">
            <v>900370973</v>
          </cell>
          <cell r="B144">
            <v>2</v>
          </cell>
          <cell r="C144" t="str">
            <v>E.MARTINEZ INTEGRALES SAS</v>
          </cell>
          <cell r="D144" t="str">
            <v>Cl 35 29 83</v>
          </cell>
          <cell r="E144" t="str">
            <v>3700231</v>
          </cell>
          <cell r="F144" t="str">
            <v>Barranquilla</v>
          </cell>
        </row>
        <row r="145">
          <cell r="A145">
            <v>900009701</v>
          </cell>
          <cell r="B145">
            <v>0</v>
          </cell>
          <cell r="C145" t="str">
            <v>ECONORTE DISEÑOS E IMPLEMENTOS Y PROUCTOS LIMITADA</v>
          </cell>
          <cell r="D145" t="str">
            <v>DG 161 A 7 G 12</v>
          </cell>
          <cell r="E145" t="str">
            <v>3142944404</v>
          </cell>
          <cell r="F145" t="str">
            <v>Bogota D.C.</v>
          </cell>
        </row>
        <row r="146">
          <cell r="A146">
            <v>900906499</v>
          </cell>
          <cell r="B146">
            <v>5</v>
          </cell>
          <cell r="C146" t="str">
            <v>EDIFICIO MULTIFAMILIAR MARIA MERCEDES PROPIEDAD HORIZONTAL</v>
          </cell>
          <cell r="D146" t="str">
            <v>EDIFICIO MARIA MERCEDES PAIPA</v>
          </cell>
          <cell r="F146" t="str">
            <v>Paipa</v>
          </cell>
        </row>
        <row r="147">
          <cell r="A147">
            <v>805015703</v>
          </cell>
          <cell r="B147">
            <v>5</v>
          </cell>
          <cell r="C147" t="str">
            <v>EDIL ANDINA SAS</v>
          </cell>
          <cell r="D147" t="str">
            <v>CL 166 20 45</v>
          </cell>
          <cell r="E147" t="str">
            <v>4880055</v>
          </cell>
          <cell r="F147" t="str">
            <v>Bogota D.C.</v>
          </cell>
        </row>
        <row r="148">
          <cell r="A148">
            <v>901138291</v>
          </cell>
          <cell r="B148">
            <v>9</v>
          </cell>
          <cell r="C148" t="str">
            <v>EDS ESTACION LA TURISTICA DE PAIPA SAS</v>
          </cell>
          <cell r="D148" t="str">
            <v>CR 19 26 45</v>
          </cell>
          <cell r="E148" t="str">
            <v>7850137</v>
          </cell>
          <cell r="F148" t="str">
            <v>Paipa</v>
          </cell>
        </row>
        <row r="149">
          <cell r="A149">
            <v>900581542</v>
          </cell>
          <cell r="B149">
            <v>7</v>
          </cell>
          <cell r="C149" t="str">
            <v>EL FARO ELECTRICO SAS</v>
          </cell>
          <cell r="D149" t="str">
            <v>CR 11 19A 07</v>
          </cell>
          <cell r="E149" t="str">
            <v>773399</v>
          </cell>
          <cell r="F149" t="str">
            <v>Sogamoso</v>
          </cell>
        </row>
        <row r="150">
          <cell r="A150">
            <v>800046913</v>
          </cell>
          <cell r="B150">
            <v>1</v>
          </cell>
          <cell r="C150" t="str">
            <v>ELECTROPARRA LTDA</v>
          </cell>
          <cell r="D150" t="str">
            <v>CR 17 10 27 33</v>
          </cell>
          <cell r="E150" t="str">
            <v>7605887</v>
          </cell>
          <cell r="F150" t="str">
            <v>Duitama</v>
          </cell>
        </row>
        <row r="151">
          <cell r="A151">
            <v>891800219</v>
          </cell>
          <cell r="B151">
            <v>1</v>
          </cell>
          <cell r="C151" t="str">
            <v>EMPRESA DE ENERGIA DE BOYACA S.A. EMPRESA DE SERVICIOS PUBLICOS</v>
          </cell>
          <cell r="D151" t="str">
            <v>CR 10 15 87</v>
          </cell>
          <cell r="E151" t="str">
            <v>7405000</v>
          </cell>
          <cell r="F151" t="str">
            <v>Tunja</v>
          </cell>
        </row>
        <row r="152">
          <cell r="A152">
            <v>900466095</v>
          </cell>
          <cell r="B152">
            <v>4</v>
          </cell>
          <cell r="C152" t="str">
            <v>ESTACION DE SERVICIO LA GRAN VIA ESPIN SAS</v>
          </cell>
          <cell r="D152" t="str">
            <v>AV LOS LIBERTADORES 23 49</v>
          </cell>
          <cell r="E152" t="str">
            <v>7850571</v>
          </cell>
          <cell r="F152" t="str">
            <v>Paipa</v>
          </cell>
        </row>
        <row r="153">
          <cell r="A153">
            <v>826002299</v>
          </cell>
          <cell r="B153">
            <v>0</v>
          </cell>
          <cell r="C153" t="str">
            <v>ESTACION DE SERVICIO LA ISLA SAS</v>
          </cell>
          <cell r="D153" t="str">
            <v>ENTRADA CIUDADELA INDUSTRIAL</v>
          </cell>
          <cell r="E153" t="str">
            <v>7638074</v>
          </cell>
          <cell r="F153" t="str">
            <v>Duitama</v>
          </cell>
        </row>
        <row r="154">
          <cell r="A154">
            <v>860063830</v>
          </cell>
          <cell r="B154">
            <v>7</v>
          </cell>
          <cell r="C154" t="str">
            <v>ESTILO INGENIERIA SA</v>
          </cell>
          <cell r="D154" t="str">
            <v>CL 127 53A 45 OF 1001 CE COLPATRIA TORRE II</v>
          </cell>
          <cell r="E154" t="str">
            <v>3106077</v>
          </cell>
          <cell r="F154" t="str">
            <v>Bogota D.C.</v>
          </cell>
        </row>
        <row r="155">
          <cell r="A155">
            <v>900013681</v>
          </cell>
          <cell r="B155">
            <v>7</v>
          </cell>
          <cell r="C155" t="str">
            <v>EUROLIFT SAS</v>
          </cell>
          <cell r="D155" t="str">
            <v>CL 12 39 71</v>
          </cell>
          <cell r="E155" t="str">
            <v>2776103</v>
          </cell>
          <cell r="F155" t="str">
            <v>Bogota D.C.</v>
          </cell>
        </row>
        <row r="156">
          <cell r="A156">
            <v>900891195</v>
          </cell>
          <cell r="B156">
            <v>4</v>
          </cell>
          <cell r="C156" t="str">
            <v>FACCEL INGENIERIA ELECTRICA SAS</v>
          </cell>
          <cell r="D156" t="str">
            <v>DG 22 35 66</v>
          </cell>
          <cell r="F156" t="str">
            <v>Duitama</v>
          </cell>
        </row>
        <row r="157">
          <cell r="A157">
            <v>900172439</v>
          </cell>
          <cell r="B157">
            <v>1</v>
          </cell>
          <cell r="C157" t="str">
            <v>FACHADAS PERFECTAS SAS</v>
          </cell>
          <cell r="D157" t="str">
            <v>KM 1 VIA LA ARGENTINA PARQU IND EL DORADO BG 44</v>
          </cell>
          <cell r="E157" t="str">
            <v>8237577</v>
          </cell>
          <cell r="F157" t="str">
            <v>Funza</v>
          </cell>
        </row>
        <row r="158">
          <cell r="A158">
            <v>900017447</v>
          </cell>
          <cell r="B158">
            <v>8</v>
          </cell>
          <cell r="C158" t="str">
            <v>FALABELLA DE COLOMBIA SA</v>
          </cell>
          <cell r="D158" t="str">
            <v>CL 99 1A 32</v>
          </cell>
          <cell r="E158" t="str">
            <v>018000113252</v>
          </cell>
          <cell r="F158" t="str">
            <v>Duitama</v>
          </cell>
        </row>
        <row r="159">
          <cell r="A159">
            <v>830003664</v>
          </cell>
          <cell r="B159">
            <v>7</v>
          </cell>
          <cell r="C159" t="str">
            <v>FAMISANAR EPS CAFAM - COLSUBSIDIO</v>
          </cell>
          <cell r="D159" t="str">
            <v>CL 17 12 08</v>
          </cell>
          <cell r="E159" t="str">
            <v>3078069</v>
          </cell>
          <cell r="F159" t="str">
            <v>Duitama</v>
          </cell>
        </row>
        <row r="160">
          <cell r="A160">
            <v>800082665</v>
          </cell>
          <cell r="B160">
            <v>0</v>
          </cell>
          <cell r="C160" t="str">
            <v>FEDERACION COLOMBIANA DE MUNICIPIOS</v>
          </cell>
          <cell r="D160" t="str">
            <v>CR 7 74B 56 PISO 18</v>
          </cell>
          <cell r="E160" t="str">
            <v>5934020</v>
          </cell>
          <cell r="F160" t="str">
            <v>Bogota D.C.</v>
          </cell>
        </row>
        <row r="161">
          <cell r="A161">
            <v>900686007</v>
          </cell>
          <cell r="B161">
            <v>1</v>
          </cell>
          <cell r="C161" t="str">
            <v>FERRECOPLAST SAS</v>
          </cell>
          <cell r="D161" t="str">
            <v>CL 14 18 75</v>
          </cell>
          <cell r="E161" t="str">
            <v>7603634</v>
          </cell>
          <cell r="F161" t="str">
            <v>Duitama</v>
          </cell>
        </row>
        <row r="162">
          <cell r="A162">
            <v>891855753</v>
          </cell>
          <cell r="B162">
            <v>1</v>
          </cell>
          <cell r="C162" t="str">
            <v>FERRETERIA EL COMPETIDOR LTDA</v>
          </cell>
          <cell r="D162" t="str">
            <v>CL 13 18 56</v>
          </cell>
          <cell r="E162" t="str">
            <v>7603278</v>
          </cell>
          <cell r="F162" t="str">
            <v>Duitama</v>
          </cell>
        </row>
        <row r="163">
          <cell r="A163">
            <v>860024843</v>
          </cell>
          <cell r="B163">
            <v>6</v>
          </cell>
          <cell r="C163" t="str">
            <v>FERRETERIA LATINA SAS</v>
          </cell>
          <cell r="D163" t="str">
            <v>CR 27A 67 55</v>
          </cell>
          <cell r="E163" t="str">
            <v>2401540</v>
          </cell>
          <cell r="F163" t="str">
            <v>Bogota D.C.</v>
          </cell>
        </row>
        <row r="164">
          <cell r="A164">
            <v>800237412</v>
          </cell>
          <cell r="B164">
            <v>1</v>
          </cell>
          <cell r="C164" t="str">
            <v>FERRICENTROS SAS</v>
          </cell>
          <cell r="D164" t="str">
            <v>AV CARACAS 74 25</v>
          </cell>
          <cell r="E164" t="str">
            <v>6511212</v>
          </cell>
          <cell r="F164" t="str">
            <v>Bogota D.C.</v>
          </cell>
        </row>
        <row r="165">
          <cell r="A165">
            <v>830052998</v>
          </cell>
          <cell r="B165">
            <v>9</v>
          </cell>
          <cell r="C165" t="str">
            <v>FIDEICOMISOS BBVA ASSET MANAGEMENT SA</v>
          </cell>
          <cell r="D165" t="str">
            <v>CR 9 72 21</v>
          </cell>
          <cell r="F165" t="str">
            <v>Bogota D.C.</v>
          </cell>
        </row>
        <row r="166">
          <cell r="A166">
            <v>900274752</v>
          </cell>
          <cell r="B166">
            <v>0</v>
          </cell>
          <cell r="C166" t="str">
            <v>FIORAZIO COLOMBIA LTDA</v>
          </cell>
          <cell r="D166" t="str">
            <v>CL 23 116 31</v>
          </cell>
          <cell r="E166" t="str">
            <v>7460035</v>
          </cell>
          <cell r="F166" t="str">
            <v>Bogota D.C.</v>
          </cell>
        </row>
        <row r="167">
          <cell r="A167">
            <v>800227940</v>
          </cell>
          <cell r="B167">
            <v>6</v>
          </cell>
          <cell r="C167" t="str">
            <v>FONDO DE PENSIONES OBLIGATORIAS COLFONDOS MODERADO</v>
          </cell>
          <cell r="D167" t="str">
            <v>CL 67 7 94</v>
          </cell>
          <cell r="F167" t="str">
            <v>Bogota D.C.</v>
          </cell>
        </row>
        <row r="168">
          <cell r="A168">
            <v>800224808</v>
          </cell>
          <cell r="B168">
            <v>8</v>
          </cell>
          <cell r="C168" t="str">
            <v>FONDO DE PENSIONES OBLIGATORIAS PORVENIR MODERADO</v>
          </cell>
          <cell r="D168" t="str">
            <v>CRA 13 26A 65</v>
          </cell>
          <cell r="E168" t="str">
            <v>3393000</v>
          </cell>
          <cell r="F168" t="str">
            <v>Bogota D.C.</v>
          </cell>
        </row>
        <row r="169">
          <cell r="A169">
            <v>800229739</v>
          </cell>
          <cell r="B169">
            <v>0</v>
          </cell>
          <cell r="C169" t="str">
            <v>FONDO DE PENSIONES OBLIGATORIAS PROTECCION MODERADO</v>
          </cell>
          <cell r="D169" t="str">
            <v>Cl 49 63 100</v>
          </cell>
          <cell r="E169" t="str">
            <v>5109099</v>
          </cell>
          <cell r="F169" t="str">
            <v>Medellín</v>
          </cell>
        </row>
        <row r="170">
          <cell r="A170">
            <v>860402272</v>
          </cell>
          <cell r="B170">
            <v>2</v>
          </cell>
          <cell r="C170" t="str">
            <v>FONDO NACIONAL DE GARANTIAS SA</v>
          </cell>
          <cell r="D170" t="str">
            <v>CL 26A 13 97 PISO 25</v>
          </cell>
          <cell r="E170" t="str">
            <v>3239000</v>
          </cell>
          <cell r="F170" t="str">
            <v>Bogota D.C.</v>
          </cell>
        </row>
        <row r="171">
          <cell r="A171">
            <v>899999284</v>
          </cell>
          <cell r="B171">
            <v>4</v>
          </cell>
          <cell r="C171" t="str">
            <v>FONDO NACIONAL DEL AHORRO - CARLOS LLERAS RESTREPO</v>
          </cell>
        </row>
        <row r="172">
          <cell r="A172">
            <v>800148959</v>
          </cell>
          <cell r="B172">
            <v>6</v>
          </cell>
          <cell r="C172" t="str">
            <v>FONDOS DE PENSIONES Y CESANTÍA SANTANDER S.A</v>
          </cell>
        </row>
        <row r="173">
          <cell r="A173">
            <v>800111984</v>
          </cell>
          <cell r="B173">
            <v>0</v>
          </cell>
          <cell r="C173" t="str">
            <v>FORSH S.A.S</v>
          </cell>
        </row>
        <row r="174">
          <cell r="A174">
            <v>900866471</v>
          </cell>
          <cell r="B174">
            <v>7</v>
          </cell>
          <cell r="C174" t="str">
            <v>FRANJA SOLUCIONES OCUPACIONALES SAS</v>
          </cell>
          <cell r="D174" t="str">
            <v>CL 17 8 17</v>
          </cell>
          <cell r="F174" t="str">
            <v>Duitama</v>
          </cell>
        </row>
        <row r="175">
          <cell r="A175">
            <v>901608066</v>
          </cell>
          <cell r="B175">
            <v>5</v>
          </cell>
          <cell r="C175" t="str">
            <v>FUNDACION LA CEIBA PAIPA</v>
          </cell>
          <cell r="D175" t="str">
            <v>CL 21 18 20</v>
          </cell>
          <cell r="E175" t="str">
            <v>3054140583</v>
          </cell>
          <cell r="F175" t="str">
            <v>Paipa</v>
          </cell>
        </row>
        <row r="176">
          <cell r="A176">
            <v>826000742</v>
          </cell>
          <cell r="B176">
            <v>3</v>
          </cell>
          <cell r="C176" t="str">
            <v>FUNDACION ROTARIA DE PAIPA BOYACA</v>
          </cell>
          <cell r="D176" t="str">
            <v>CR 19 40 86 BRR CORINTO</v>
          </cell>
          <cell r="E176" t="str">
            <v>7853863</v>
          </cell>
          <cell r="F176" t="str">
            <v>Paipa</v>
          </cell>
        </row>
        <row r="177">
          <cell r="A177">
            <v>826002636</v>
          </cell>
          <cell r="B177">
            <v>1</v>
          </cell>
          <cell r="C177" t="str">
            <v>FUNDACION SOCIEDAD AMIGOS DE PAIPA</v>
          </cell>
          <cell r="D177" t="str">
            <v>CL 25 22 40</v>
          </cell>
          <cell r="E177" t="str">
            <v>3108811930</v>
          </cell>
          <cell r="F177" t="str">
            <v>Paipa</v>
          </cell>
        </row>
        <row r="178">
          <cell r="A178">
            <v>900744770</v>
          </cell>
          <cell r="B178">
            <v>0</v>
          </cell>
          <cell r="C178" t="str">
            <v>FUNDAMOR PAIPA</v>
          </cell>
          <cell r="D178" t="str">
            <v>CR 21 N° 25 09 OF 305</v>
          </cell>
          <cell r="F178" t="str">
            <v>Paipa</v>
          </cell>
        </row>
        <row r="179">
          <cell r="A179">
            <v>800130426</v>
          </cell>
          <cell r="B179">
            <v>3</v>
          </cell>
          <cell r="C179" t="str">
            <v>G Y J FERRETERIAS S.A</v>
          </cell>
          <cell r="D179" t="str">
            <v>CL 9 25 27 AV AMERICAS</v>
          </cell>
          <cell r="E179" t="str">
            <v>7601402</v>
          </cell>
          <cell r="F179" t="str">
            <v>Duitama</v>
          </cell>
        </row>
        <row r="180">
          <cell r="A180">
            <v>890117583</v>
          </cell>
          <cell r="B180">
            <v>5</v>
          </cell>
          <cell r="C180" t="str">
            <v>GARCILLANTAS BARRANQUILLA SA</v>
          </cell>
          <cell r="D180" t="str">
            <v>CR 43 69F 3</v>
          </cell>
          <cell r="E180" t="str">
            <v>3607580</v>
          </cell>
          <cell r="F180" t="str">
            <v>Barranquilla</v>
          </cell>
        </row>
        <row r="181">
          <cell r="A181">
            <v>830045472</v>
          </cell>
          <cell r="B181">
            <v>8</v>
          </cell>
          <cell r="C181" t="str">
            <v>GAS NATURAL CUNDIBOYACENSE S.A. E.S.P.</v>
          </cell>
          <cell r="D181" t="str">
            <v>AV AMERICAS 33A 29</v>
          </cell>
          <cell r="F181" t="str">
            <v>Duitama</v>
          </cell>
        </row>
        <row r="182">
          <cell r="A182">
            <v>800007813</v>
          </cell>
          <cell r="B182">
            <v>5</v>
          </cell>
          <cell r="C182" t="str">
            <v>GAS NATURAL S.A E.S.P</v>
          </cell>
          <cell r="D182" t="str">
            <v>CL 71 A 5 38</v>
          </cell>
          <cell r="E182" t="str">
            <v>3078121</v>
          </cell>
          <cell r="F182" t="str">
            <v>Bogota D.C.</v>
          </cell>
        </row>
        <row r="183">
          <cell r="A183">
            <v>804010701</v>
          </cell>
          <cell r="B183">
            <v>4</v>
          </cell>
          <cell r="C183" t="str">
            <v>GASMOVIL LTDA</v>
          </cell>
          <cell r="D183" t="str">
            <v>AV CIRCUNVALAR  15 10</v>
          </cell>
          <cell r="F183" t="str">
            <v>Duitama</v>
          </cell>
        </row>
        <row r="184">
          <cell r="A184">
            <v>901450593</v>
          </cell>
          <cell r="B184">
            <v>4</v>
          </cell>
          <cell r="C184" t="str">
            <v>GRIFOS &amp; RESPUESTOS LA ROCA AR SAS</v>
          </cell>
          <cell r="D184" t="str">
            <v>AV 1R 45 130 03</v>
          </cell>
          <cell r="F184" t="str">
            <v>Bogota D.C.</v>
          </cell>
        </row>
        <row r="185">
          <cell r="A185">
            <v>900136498</v>
          </cell>
          <cell r="B185">
            <v>3</v>
          </cell>
          <cell r="C185" t="str">
            <v>GRUPO CANO SAS</v>
          </cell>
          <cell r="D185" t="str">
            <v>AUTOPISTA NORTE 137 62</v>
          </cell>
          <cell r="E185" t="str">
            <v>2591938</v>
          </cell>
          <cell r="F185" t="str">
            <v>Chía</v>
          </cell>
        </row>
        <row r="186">
          <cell r="A186">
            <v>900827589</v>
          </cell>
          <cell r="B186">
            <v>0</v>
          </cell>
          <cell r="C186" t="str">
            <v>GRUPO DE INGENIERIA SOLUCIONES INTEGRALES G.I.S.I  SAS</v>
          </cell>
          <cell r="D186" t="str">
            <v>CR 11 11 45 OF 602</v>
          </cell>
          <cell r="E186" t="str">
            <v>3124475183</v>
          </cell>
          <cell r="F186" t="str">
            <v>Sogamoso</v>
          </cell>
        </row>
        <row r="187">
          <cell r="A187">
            <v>900459737</v>
          </cell>
          <cell r="B187">
            <v>5</v>
          </cell>
          <cell r="C187" t="str">
            <v>GRUPO EDS AUTOGAS S.A.S</v>
          </cell>
          <cell r="D187" t="str">
            <v>CR 48 48 SUR 75 INT 129 Y  130</v>
          </cell>
          <cell r="E187" t="str">
            <v>6046071311</v>
          </cell>
          <cell r="F187" t="str">
            <v>Envigado</v>
          </cell>
        </row>
        <row r="188">
          <cell r="A188">
            <v>900487605</v>
          </cell>
          <cell r="B188">
            <v>0</v>
          </cell>
          <cell r="C188" t="str">
            <v>GRUPO FORMICENTRO S.A.S</v>
          </cell>
        </row>
        <row r="189">
          <cell r="A189">
            <v>900701915</v>
          </cell>
          <cell r="B189">
            <v>7</v>
          </cell>
          <cell r="C189" t="str">
            <v>H.R EQUIPOS PARA CONSTRUCCION SOCIEDAD POR ACCIONES SIMPLIFICADA</v>
          </cell>
          <cell r="D189" t="str">
            <v>CL 9 28 169</v>
          </cell>
          <cell r="E189" t="str">
            <v>7651089</v>
          </cell>
          <cell r="F189" t="str">
            <v>Duitama</v>
          </cell>
        </row>
        <row r="190">
          <cell r="A190">
            <v>860004875</v>
          </cell>
          <cell r="B190">
            <v>6</v>
          </cell>
          <cell r="C190" t="str">
            <v>HDI SEGUROS SA</v>
          </cell>
          <cell r="D190" t="str">
            <v>CR 7 72 13 P 8</v>
          </cell>
          <cell r="E190" t="str">
            <v>3468888</v>
          </cell>
          <cell r="F190" t="str">
            <v>Bogota D.C.</v>
          </cell>
        </row>
        <row r="191">
          <cell r="A191">
            <v>900447209</v>
          </cell>
          <cell r="B191">
            <v>6</v>
          </cell>
          <cell r="C191" t="str">
            <v>HERRERA JAIME CONSTRUCCIONES S.A.S</v>
          </cell>
          <cell r="D191" t="str">
            <v>Cl 14 19 121</v>
          </cell>
          <cell r="E191" t="str">
            <v>3214753242</v>
          </cell>
          <cell r="F191" t="str">
            <v>Paipa</v>
          </cell>
        </row>
        <row r="192">
          <cell r="A192">
            <v>800006073</v>
          </cell>
          <cell r="B192">
            <v>7</v>
          </cell>
          <cell r="C192" t="str">
            <v>HOTEL EL LAGO LTDA</v>
          </cell>
          <cell r="D192" t="str">
            <v>KM 1 VIA PISCINAS</v>
          </cell>
          <cell r="E192" t="str">
            <v>7850872</v>
          </cell>
          <cell r="F192" t="str">
            <v>Paipa</v>
          </cell>
        </row>
        <row r="193">
          <cell r="A193">
            <v>890304099</v>
          </cell>
          <cell r="B193">
            <v>3</v>
          </cell>
          <cell r="C193" t="str">
            <v>HOTELES ESTELAR S.A</v>
          </cell>
          <cell r="D193" t="str">
            <v>HOTEL ESTELAR PAIPA HOTEL Y CC A ORILLAS DEL LAGO SOCHAGOTA</v>
          </cell>
          <cell r="E193" t="str">
            <v>7625252</v>
          </cell>
          <cell r="F193" t="str">
            <v>Paipa</v>
          </cell>
        </row>
        <row r="194">
          <cell r="A194">
            <v>860050930</v>
          </cell>
          <cell r="B194">
            <v>9</v>
          </cell>
          <cell r="C194" t="str">
            <v>HSBC COLOMBIA</v>
          </cell>
        </row>
        <row r="195">
          <cell r="A195">
            <v>830006404</v>
          </cell>
          <cell r="B195">
            <v>0</v>
          </cell>
          <cell r="C195" t="str">
            <v>HUMANA VIVIR EPS</v>
          </cell>
        </row>
        <row r="196">
          <cell r="A196">
            <v>860047657</v>
          </cell>
          <cell r="B196">
            <v>1</v>
          </cell>
          <cell r="C196" t="str">
            <v>INCHCAPE COLOMBIA SAS</v>
          </cell>
          <cell r="D196" t="str">
            <v>CL 99 69C 41</v>
          </cell>
          <cell r="F196" t="str">
            <v>Bogota D.C.</v>
          </cell>
        </row>
        <row r="197">
          <cell r="A197">
            <v>900825521</v>
          </cell>
          <cell r="B197">
            <v>1</v>
          </cell>
          <cell r="C197" t="str">
            <v>INDUICOPOR S.A.S.</v>
          </cell>
          <cell r="D197" t="str">
            <v>VDA OTRO LADO LT EL TERRENO</v>
          </cell>
          <cell r="E197" t="str">
            <v>3046355482</v>
          </cell>
          <cell r="F197" t="str">
            <v>Tunja</v>
          </cell>
        </row>
        <row r="198">
          <cell r="A198">
            <v>900394820</v>
          </cell>
          <cell r="B198">
            <v>8</v>
          </cell>
          <cell r="C198" t="str">
            <v>INDUSTRIA ALFARERA VERDE DE SOGAMOSO S.A.S</v>
          </cell>
          <cell r="D198" t="str">
            <v>VDA OMBACHITA</v>
          </cell>
          <cell r="E198" t="str">
            <v>3202777692</v>
          </cell>
          <cell r="F198" t="str">
            <v>Sogamoso</v>
          </cell>
        </row>
        <row r="199">
          <cell r="A199">
            <v>900570601</v>
          </cell>
          <cell r="B199">
            <v>6</v>
          </cell>
          <cell r="C199" t="str">
            <v>INDUSTRIAL FIGUACERO SAS</v>
          </cell>
          <cell r="D199" t="str">
            <v>CL 18 19 95</v>
          </cell>
          <cell r="E199" t="str">
            <v>7603780</v>
          </cell>
          <cell r="F199" t="str">
            <v>Duitama</v>
          </cell>
        </row>
        <row r="200">
          <cell r="A200">
            <v>900937327</v>
          </cell>
          <cell r="B200">
            <v>1</v>
          </cell>
          <cell r="C200" t="str">
            <v>INDUSTRIAS OSPINA SAS</v>
          </cell>
          <cell r="D200" t="str">
            <v>CL 164 16C 15 IN 9 AP 418</v>
          </cell>
          <cell r="E200" t="str">
            <v>6747926</v>
          </cell>
          <cell r="F200" t="str">
            <v>Bogota D.C.</v>
          </cell>
        </row>
        <row r="201">
          <cell r="A201">
            <v>800124185</v>
          </cell>
          <cell r="B201">
            <v>9</v>
          </cell>
          <cell r="C201" t="str">
            <v>INGEMEC S.A.S</v>
          </cell>
          <cell r="D201" t="str">
            <v>CL 20 20 58</v>
          </cell>
          <cell r="E201" t="str">
            <v>7616706</v>
          </cell>
          <cell r="F201" t="str">
            <v>Duitama</v>
          </cell>
        </row>
        <row r="202">
          <cell r="A202">
            <v>800112602</v>
          </cell>
          <cell r="B202">
            <v>7</v>
          </cell>
          <cell r="C202" t="str">
            <v>INGENIERIA Y GEOLOGIA SAS</v>
          </cell>
          <cell r="D202" t="str">
            <v>CR 11 25 23</v>
          </cell>
          <cell r="E202" t="str">
            <v>3212701139</v>
          </cell>
          <cell r="F202" t="str">
            <v>Sogamoso</v>
          </cell>
        </row>
        <row r="203">
          <cell r="A203">
            <v>901202923</v>
          </cell>
          <cell r="B203">
            <v>9</v>
          </cell>
          <cell r="C203" t="str">
            <v>INNOVART DRYWALL Y DECORACION SAS</v>
          </cell>
          <cell r="D203" t="str">
            <v>CR 9 18 28 LOCAL 1</v>
          </cell>
          <cell r="E203" t="str">
            <v>3133476166</v>
          </cell>
          <cell r="F203" t="str">
            <v>Duitama</v>
          </cell>
        </row>
        <row r="204">
          <cell r="A204">
            <v>899999239</v>
          </cell>
          <cell r="B204">
            <v>2</v>
          </cell>
          <cell r="C204" t="str">
            <v>INSTITUTO COLOMBIANO DE BIENESTAR FAMILIAR</v>
          </cell>
          <cell r="D204" t="str">
            <v>AV CRA 68 64C 75</v>
          </cell>
          <cell r="E204" t="str">
            <v>4377630</v>
          </cell>
          <cell r="F204" t="str">
            <v>Bogota D.C.</v>
          </cell>
        </row>
        <row r="205">
          <cell r="A205">
            <v>860013616</v>
          </cell>
          <cell r="B205">
            <v>1</v>
          </cell>
          <cell r="C205" t="str">
            <v>INSTITUTO DE SEGUROS SOCIALES</v>
          </cell>
        </row>
        <row r="206">
          <cell r="A206">
            <v>899999004</v>
          </cell>
          <cell r="B206">
            <v>9</v>
          </cell>
          <cell r="C206" t="str">
            <v>INSTITUTO GEOGRAFICO AGUSTIN CODAZZI</v>
          </cell>
          <cell r="D206" t="str">
            <v>CL 18 11 31</v>
          </cell>
          <cell r="E206" t="str">
            <v>7422268</v>
          </cell>
          <cell r="F206" t="str">
            <v>Tunja</v>
          </cell>
        </row>
        <row r="207">
          <cell r="A207">
            <v>900729051</v>
          </cell>
          <cell r="B207">
            <v>0</v>
          </cell>
          <cell r="C207" t="str">
            <v>INTEGRADOR COMERCIAL SAS - PRINCIPAL</v>
          </cell>
          <cell r="D207" t="str">
            <v>CL 12B 22 41 LC 01</v>
          </cell>
          <cell r="E207" t="str">
            <v>7027581</v>
          </cell>
          <cell r="F207" t="str">
            <v>Bogota D.C.</v>
          </cell>
        </row>
        <row r="208">
          <cell r="A208">
            <v>800251569</v>
          </cell>
          <cell r="B208">
            <v>7</v>
          </cell>
          <cell r="C208" t="str">
            <v>INTER RAPIDISIMO S.A</v>
          </cell>
          <cell r="D208" t="str">
            <v>CL 18 65A 3</v>
          </cell>
          <cell r="E208" t="str">
            <v>7456000</v>
          </cell>
          <cell r="F208" t="str">
            <v>Bogota D.C.</v>
          </cell>
        </row>
        <row r="209">
          <cell r="A209">
            <v>900147832</v>
          </cell>
          <cell r="B209">
            <v>8</v>
          </cell>
          <cell r="C209" t="str">
            <v>INVERSIONES ANGLOS SA</v>
          </cell>
          <cell r="D209" t="str">
            <v>CL 25 22 71</v>
          </cell>
          <cell r="E209" t="str">
            <v>7852983</v>
          </cell>
          <cell r="F209" t="str">
            <v>Paipa</v>
          </cell>
        </row>
        <row r="210">
          <cell r="A210">
            <v>900584269</v>
          </cell>
          <cell r="B210">
            <v>4</v>
          </cell>
          <cell r="C210" t="str">
            <v>INVERSIONES CORREA LOPEZ RAMIREZ &amp; CIA S EN C</v>
          </cell>
          <cell r="D210" t="str">
            <v>CR 19 15 34/42</v>
          </cell>
          <cell r="E210" t="str">
            <v>7602112</v>
          </cell>
          <cell r="F210" t="str">
            <v>Duitama</v>
          </cell>
        </row>
        <row r="211">
          <cell r="A211">
            <v>891801193</v>
          </cell>
          <cell r="B211">
            <v>3</v>
          </cell>
          <cell r="C211" t="str">
            <v>INVERSIONES LADRILLOS MAGUNCIA SAS</v>
          </cell>
          <cell r="D211" t="str">
            <v>VIA TUNJA - PAIPA KM  27</v>
          </cell>
          <cell r="E211" t="str">
            <v>3208529250</v>
          </cell>
          <cell r="F211" t="str">
            <v>Tunja</v>
          </cell>
        </row>
        <row r="212">
          <cell r="A212">
            <v>901240494</v>
          </cell>
          <cell r="B212">
            <v>2</v>
          </cell>
          <cell r="C212" t="str">
            <v>INVERSIONES MI TIERRITA SAS</v>
          </cell>
          <cell r="D212" t="str">
            <v>CL 162 22 68</v>
          </cell>
          <cell r="F212" t="str">
            <v>Bogota D.C.</v>
          </cell>
        </row>
        <row r="213">
          <cell r="A213">
            <v>900624919</v>
          </cell>
          <cell r="B213">
            <v>6</v>
          </cell>
          <cell r="C213" t="str">
            <v>INVERSIONES PAULAN SAS</v>
          </cell>
          <cell r="D213" t="str">
            <v>CL 24 19 121</v>
          </cell>
          <cell r="E213" t="str">
            <v>7851112</v>
          </cell>
          <cell r="F213" t="str">
            <v>Paipa</v>
          </cell>
        </row>
        <row r="214">
          <cell r="A214">
            <v>826003171</v>
          </cell>
          <cell r="B214">
            <v>1</v>
          </cell>
          <cell r="C214" t="str">
            <v>INVERSIONES SOCHAGOTA SAS</v>
          </cell>
          <cell r="D214" t="str">
            <v>KM 2 VIA PISCINAS MUNICIPALES</v>
          </cell>
          <cell r="E214" t="str">
            <v>7850012</v>
          </cell>
          <cell r="F214" t="str">
            <v>Paipa</v>
          </cell>
        </row>
        <row r="215">
          <cell r="A215">
            <v>891855859</v>
          </cell>
          <cell r="B215">
            <v>1</v>
          </cell>
          <cell r="C215" t="str">
            <v>INVERSIONES Y PROMOCIONES S.A.S</v>
          </cell>
          <cell r="D215" t="str">
            <v>CR 18 CL 10 ESQUINA</v>
          </cell>
          <cell r="F215" t="str">
            <v>Duitama</v>
          </cell>
        </row>
        <row r="216">
          <cell r="A216">
            <v>900576858</v>
          </cell>
          <cell r="B216">
            <v>9</v>
          </cell>
          <cell r="C216" t="str">
            <v>IT CERTIFICA INSPECCIONES TECNICAS Y CERTIFICACIONES SAS</v>
          </cell>
          <cell r="D216" t="str">
            <v>CR 12 15 28 P 2</v>
          </cell>
          <cell r="E216" t="str">
            <v>7702314</v>
          </cell>
          <cell r="F216" t="str">
            <v>Sogamoso</v>
          </cell>
        </row>
        <row r="217">
          <cell r="A217">
            <v>901175399</v>
          </cell>
          <cell r="B217">
            <v>2</v>
          </cell>
          <cell r="C217" t="str">
            <v>J&amp;D DOBLECES INDUSTRIALES SAS</v>
          </cell>
          <cell r="D217" t="str">
            <v>CR 19 A 12 23</v>
          </cell>
          <cell r="E217" t="str">
            <v>7604403</v>
          </cell>
          <cell r="F217" t="str">
            <v>Duitama</v>
          </cell>
        </row>
        <row r="218">
          <cell r="A218">
            <v>900456485</v>
          </cell>
          <cell r="B218">
            <v>0</v>
          </cell>
          <cell r="C218" t="str">
            <v>JIREH SHAMMAH SAS</v>
          </cell>
          <cell r="D218" t="str">
            <v>CL 9 21 08</v>
          </cell>
          <cell r="E218" t="str">
            <v>3142562425</v>
          </cell>
          <cell r="F218" t="str">
            <v>Duitama</v>
          </cell>
        </row>
        <row r="219">
          <cell r="A219">
            <v>900126975</v>
          </cell>
          <cell r="B219">
            <v>2</v>
          </cell>
          <cell r="C219" t="str">
            <v>JUMACA Y CIA SAS</v>
          </cell>
          <cell r="D219" t="str">
            <v>AV CR 15 119 11 OF 302</v>
          </cell>
          <cell r="E219" t="str">
            <v>6124391</v>
          </cell>
          <cell r="F219" t="str">
            <v>Bogota D.C.</v>
          </cell>
        </row>
        <row r="220">
          <cell r="A220">
            <v>901000330</v>
          </cell>
          <cell r="B220">
            <v>4</v>
          </cell>
          <cell r="C220" t="str">
            <v>KUSHKI COLOMBIA SAS</v>
          </cell>
          <cell r="D220" t="str">
            <v>CL 80 11 42 OF 502</v>
          </cell>
          <cell r="E220" t="str">
            <v>5188170</v>
          </cell>
          <cell r="F220" t="str">
            <v>Bogota D.C.</v>
          </cell>
        </row>
        <row r="221">
          <cell r="A221">
            <v>901724763</v>
          </cell>
          <cell r="B221">
            <v>7</v>
          </cell>
          <cell r="C221" t="str">
            <v>LABORATORIO E INGENIERIA S.A.S</v>
          </cell>
          <cell r="D221" t="str">
            <v>CR 21 8 16</v>
          </cell>
          <cell r="E221" t="str">
            <v>3202116242</v>
          </cell>
          <cell r="F221" t="str">
            <v>Duitama</v>
          </cell>
        </row>
        <row r="222">
          <cell r="A222">
            <v>800100125</v>
          </cell>
          <cell r="B222">
            <v>3</v>
          </cell>
          <cell r="C222" t="str">
            <v>LADRIGRES SAS</v>
          </cell>
          <cell r="D222" t="str">
            <v>KM 48 VIA UBATE PAJARITO</v>
          </cell>
          <cell r="E222" t="str">
            <v>3112038313</v>
          </cell>
          <cell r="F222" t="str">
            <v>Tausa</v>
          </cell>
        </row>
        <row r="223">
          <cell r="A223">
            <v>901410058</v>
          </cell>
          <cell r="B223">
            <v>4</v>
          </cell>
          <cell r="C223" t="str">
            <v>LADRILLERA GRESPAN SAS</v>
          </cell>
          <cell r="D223" t="str">
            <v>KM 5 VIA ZIPAQUIRA UBATE SEC LOS CERROS</v>
          </cell>
          <cell r="E223" t="str">
            <v>3134235643</v>
          </cell>
          <cell r="F223" t="str">
            <v>Cogua</v>
          </cell>
        </row>
        <row r="224">
          <cell r="A224">
            <v>860029807</v>
          </cell>
          <cell r="B224">
            <v>3</v>
          </cell>
          <cell r="C224" t="str">
            <v>LADRILLERA HELIOS S.A.</v>
          </cell>
          <cell r="D224" t="str">
            <v>AK 15 122 39 TO 1 OF 705</v>
          </cell>
          <cell r="E224" t="str">
            <v>6193760</v>
          </cell>
          <cell r="F224" t="str">
            <v>Bogota D.C.</v>
          </cell>
        </row>
        <row r="225">
          <cell r="A225">
            <v>800185511</v>
          </cell>
          <cell r="B225">
            <v>8</v>
          </cell>
          <cell r="C225" t="str">
            <v>LADRILLOS EL ZIPA SAS</v>
          </cell>
          <cell r="D225" t="str">
            <v>VEREDA SATIVA KM 1 VIA PAIPA TUNJA</v>
          </cell>
          <cell r="E225" t="str">
            <v>7851186</v>
          </cell>
          <cell r="F225" t="str">
            <v>Paipa</v>
          </cell>
        </row>
        <row r="226">
          <cell r="A226">
            <v>901509404</v>
          </cell>
          <cell r="B226">
            <v>7</v>
          </cell>
          <cell r="C226" t="str">
            <v>LAGO VERDE CONSTRUCCIONES SAS</v>
          </cell>
          <cell r="D226" t="str">
            <v>CL 24 19 121 OF 301</v>
          </cell>
          <cell r="E226" t="str">
            <v>3156026130</v>
          </cell>
          <cell r="F226" t="str">
            <v>Paipa</v>
          </cell>
        </row>
        <row r="227">
          <cell r="A227">
            <v>901599404</v>
          </cell>
          <cell r="B227">
            <v>1</v>
          </cell>
          <cell r="C227" t="str">
            <v>LAGO VERDE CONSTRUCCIONES SAS</v>
          </cell>
          <cell r="D227" t="str">
            <v>CL 24 19 121 OF 301</v>
          </cell>
          <cell r="E227" t="str">
            <v>3156026130</v>
          </cell>
          <cell r="F227" t="str">
            <v>Paipa</v>
          </cell>
        </row>
        <row r="228">
          <cell r="A228">
            <v>900743831</v>
          </cell>
          <cell r="B228">
            <v>7</v>
          </cell>
          <cell r="C228" t="str">
            <v>LIGA DEPORTIVADE LIMITADOS AUDITIVOS BOYACA</v>
          </cell>
          <cell r="D228" t="str">
            <v>CR 10 64 BIS 03 BRR VILLAS DEL NORTE</v>
          </cell>
          <cell r="E228" t="str">
            <v>3016985233</v>
          </cell>
          <cell r="F228" t="str">
            <v>Tunja</v>
          </cell>
        </row>
        <row r="229">
          <cell r="A229">
            <v>900254020</v>
          </cell>
          <cell r="B229">
            <v>2</v>
          </cell>
          <cell r="C229" t="str">
            <v>LISTODO S.A</v>
          </cell>
          <cell r="D229" t="str">
            <v>AUT NORTE 131 65</v>
          </cell>
          <cell r="E229" t="str">
            <v>6148000</v>
          </cell>
          <cell r="F229" t="str">
            <v>Bogota D.C.</v>
          </cell>
        </row>
        <row r="230">
          <cell r="A230">
            <v>901032442</v>
          </cell>
          <cell r="B230">
            <v>8</v>
          </cell>
          <cell r="C230" t="str">
            <v>LUCTRA SAS</v>
          </cell>
          <cell r="D230" t="str">
            <v>CL 22 20 77</v>
          </cell>
          <cell r="F230" t="str">
            <v>Paipa</v>
          </cell>
        </row>
        <row r="231">
          <cell r="A231">
            <v>900892229</v>
          </cell>
          <cell r="B231">
            <v>0</v>
          </cell>
          <cell r="C231" t="str">
            <v>MACOLIN S.A.S</v>
          </cell>
          <cell r="D231" t="str">
            <v>AV JIMENEZ N° 4 - 42 OF 601</v>
          </cell>
          <cell r="F231" t="str">
            <v>Bogota D.C.</v>
          </cell>
        </row>
        <row r="232">
          <cell r="A232">
            <v>811028650</v>
          </cell>
          <cell r="B232">
            <v>1</v>
          </cell>
          <cell r="C232" t="str">
            <v>MADECENTRO COLOMBIA S.A.S</v>
          </cell>
          <cell r="D232" t="str">
            <v>CL 79A 55 24</v>
          </cell>
          <cell r="E232" t="str">
            <v>7431288</v>
          </cell>
          <cell r="F232" t="str">
            <v>Bogota D.C.</v>
          </cell>
        </row>
        <row r="233">
          <cell r="A233">
            <v>900491889</v>
          </cell>
          <cell r="B233">
            <v>0</v>
          </cell>
          <cell r="C233" t="str">
            <v>MASSER SAS</v>
          </cell>
          <cell r="D233" t="str">
            <v>VDA CARREÑO</v>
          </cell>
          <cell r="E233" t="str">
            <v>3202757602</v>
          </cell>
          <cell r="F233" t="str">
            <v>Sotaquirá</v>
          </cell>
        </row>
        <row r="234">
          <cell r="A234">
            <v>901369695</v>
          </cell>
          <cell r="B234">
            <v>1</v>
          </cell>
          <cell r="C234" t="str">
            <v>MASTERCAT CONSTRUCCIONES SAS</v>
          </cell>
          <cell r="D234" t="str">
            <v>CL 21 22 13</v>
          </cell>
          <cell r="E234" t="str">
            <v>3105946567</v>
          </cell>
          <cell r="F234" t="str">
            <v>Paipa</v>
          </cell>
        </row>
        <row r="235">
          <cell r="A235">
            <v>900198625</v>
          </cell>
          <cell r="B235">
            <v>8</v>
          </cell>
          <cell r="C235" t="str">
            <v>MASTERCAT SAS</v>
          </cell>
          <cell r="D235" t="str">
            <v>CR 73 74 66</v>
          </cell>
          <cell r="E235" t="str">
            <v>3107777733</v>
          </cell>
          <cell r="F235" t="str">
            <v>Bogota D.C.</v>
          </cell>
        </row>
        <row r="236">
          <cell r="A236">
            <v>832004104</v>
          </cell>
          <cell r="B236">
            <v>4</v>
          </cell>
          <cell r="C236" t="str">
            <v>MAXICASSA S.A.S</v>
          </cell>
          <cell r="D236" t="str">
            <v>CR 19 12 10</v>
          </cell>
          <cell r="E236" t="str">
            <v>7601019</v>
          </cell>
          <cell r="F236" t="str">
            <v>Duitama</v>
          </cell>
        </row>
        <row r="237">
          <cell r="A237">
            <v>900660468</v>
          </cell>
          <cell r="B237">
            <v>9</v>
          </cell>
          <cell r="C237" t="str">
            <v>MEDCORE SAS</v>
          </cell>
          <cell r="D237" t="str">
            <v>CR 70G 127 31</v>
          </cell>
          <cell r="E237" t="str">
            <v>8052712</v>
          </cell>
          <cell r="F237" t="str">
            <v>Bogota D.C.</v>
          </cell>
        </row>
        <row r="238">
          <cell r="A238">
            <v>901097473</v>
          </cell>
          <cell r="B238">
            <v>5</v>
          </cell>
          <cell r="C238" t="str">
            <v>MEDIMAS EPS S.A.S</v>
          </cell>
          <cell r="D238" t="str">
            <v>CR 14 18 19</v>
          </cell>
          <cell r="E238" t="str">
            <v>7651192</v>
          </cell>
          <cell r="F238" t="str">
            <v>Duitama</v>
          </cell>
        </row>
        <row r="239">
          <cell r="A239">
            <v>900109614</v>
          </cell>
          <cell r="B239">
            <v>7</v>
          </cell>
          <cell r="C239" t="str">
            <v>MEGAMATERIALES S.A.S</v>
          </cell>
          <cell r="D239" t="str">
            <v>CR 54B 127D 45</v>
          </cell>
          <cell r="E239" t="str">
            <v>6142652</v>
          </cell>
          <cell r="F239" t="str">
            <v>Bogota D.C.</v>
          </cell>
        </row>
        <row r="240">
          <cell r="A240">
            <v>900882422</v>
          </cell>
          <cell r="B240">
            <v>3</v>
          </cell>
          <cell r="C240" t="str">
            <v>MERCADERIA SAS</v>
          </cell>
          <cell r="D240" t="str">
            <v>CL 25 15 80</v>
          </cell>
          <cell r="F240" t="str">
            <v>Paipa</v>
          </cell>
        </row>
        <row r="241">
          <cell r="A241">
            <v>800230475</v>
          </cell>
          <cell r="B241">
            <v>3</v>
          </cell>
          <cell r="C241" t="str">
            <v>METROCONSTRUCCIONES SAS</v>
          </cell>
          <cell r="D241" t="str">
            <v>CL 25 17C 27</v>
          </cell>
          <cell r="E241" t="str">
            <v>7627323</v>
          </cell>
          <cell r="F241" t="str">
            <v>Duitama</v>
          </cell>
        </row>
        <row r="242">
          <cell r="A242">
            <v>899999090</v>
          </cell>
          <cell r="B242">
            <v>2</v>
          </cell>
          <cell r="C242" t="str">
            <v>MINISTERIO DE HACIENDA Y CREDITO PUBLICO</v>
          </cell>
          <cell r="D242" t="str">
            <v>CR 8 64</v>
          </cell>
          <cell r="E242" t="str">
            <v>3811700</v>
          </cell>
          <cell r="F242" t="str">
            <v>Bogota D.C.</v>
          </cell>
        </row>
        <row r="243">
          <cell r="A243">
            <v>899999055</v>
          </cell>
          <cell r="B243">
            <v>4</v>
          </cell>
          <cell r="C243" t="str">
            <v>MINISTERIO DE TRANSPORTE</v>
          </cell>
          <cell r="D243" t="str">
            <v>CL 24 62 49</v>
          </cell>
          <cell r="F243" t="str">
            <v>Bogota D.C.</v>
          </cell>
        </row>
        <row r="244">
          <cell r="A244">
            <v>800136379</v>
          </cell>
          <cell r="B244">
            <v>2</v>
          </cell>
          <cell r="C244" t="str">
            <v>MODUTRIPLEX Y CIA S.A.S</v>
          </cell>
          <cell r="D244" t="str">
            <v>AV CL 72 74A 70</v>
          </cell>
          <cell r="E244" t="str">
            <v>2761043</v>
          </cell>
          <cell r="F244" t="str">
            <v>Bogota D.C.</v>
          </cell>
        </row>
        <row r="245">
          <cell r="A245">
            <v>901388998</v>
          </cell>
          <cell r="B245">
            <v>9</v>
          </cell>
          <cell r="C245" t="str">
            <v>MUEBLES DE CATEGORIA SAS</v>
          </cell>
          <cell r="D245" t="str">
            <v>CL 46 16 51 BRR SAN RAFAEL</v>
          </cell>
          <cell r="E245" t="str">
            <v>3105602627</v>
          </cell>
          <cell r="F245" t="str">
            <v>Tunja</v>
          </cell>
        </row>
        <row r="246">
          <cell r="A246">
            <v>800157339</v>
          </cell>
          <cell r="B246">
            <v>8</v>
          </cell>
          <cell r="C246" t="str">
            <v>MULTIELECTRICOS SAS</v>
          </cell>
          <cell r="D246" t="str">
            <v>CL 11 17 46</v>
          </cell>
          <cell r="E246" t="str">
            <v>7654536</v>
          </cell>
          <cell r="F246" t="str">
            <v>Duitama</v>
          </cell>
        </row>
        <row r="247">
          <cell r="A247">
            <v>901052799</v>
          </cell>
          <cell r="B247">
            <v>7</v>
          </cell>
          <cell r="C247" t="str">
            <v>MUNDIAL DE ILUMINACION SAS</v>
          </cell>
          <cell r="D247" t="str">
            <v>CR 45 A 129-06</v>
          </cell>
          <cell r="E247" t="str">
            <v>2580422_x000D_
6011074</v>
          </cell>
          <cell r="F247" t="str">
            <v>Bogota D.C.</v>
          </cell>
        </row>
        <row r="248">
          <cell r="A248">
            <v>891855138</v>
          </cell>
          <cell r="B248">
            <v>1</v>
          </cell>
          <cell r="C248" t="str">
            <v>MUNICIPIO DE DUITAMA</v>
          </cell>
          <cell r="D248" t="str">
            <v>DUITAMA</v>
          </cell>
          <cell r="F248" t="str">
            <v>Duitama</v>
          </cell>
        </row>
        <row r="249">
          <cell r="A249">
            <v>891801240</v>
          </cell>
          <cell r="B249">
            <v>1</v>
          </cell>
          <cell r="C249" t="str">
            <v>MUNICIPIO DE PAIPA</v>
          </cell>
          <cell r="D249" t="str">
            <v>CENTRO PAIPA</v>
          </cell>
          <cell r="F249" t="str">
            <v>Paipa</v>
          </cell>
        </row>
        <row r="250">
          <cell r="A250">
            <v>891855361</v>
          </cell>
          <cell r="B250">
            <v>6</v>
          </cell>
          <cell r="C250" t="str">
            <v>MUNICIPIO DE TIBASOSA</v>
          </cell>
          <cell r="D250" t="str">
            <v>CR 10 3 25</v>
          </cell>
          <cell r="E250" t="str">
            <v>3103158881</v>
          </cell>
          <cell r="F250" t="str">
            <v>Tibasosa</v>
          </cell>
        </row>
        <row r="251">
          <cell r="A251">
            <v>900448328</v>
          </cell>
          <cell r="B251">
            <v>9</v>
          </cell>
          <cell r="C251" t="str">
            <v>NACIONAL DE TORNILLOS Y MANGUERAS SAS</v>
          </cell>
          <cell r="D251" t="str">
            <v>AV LIBERTADORES 26 60</v>
          </cell>
          <cell r="E251" t="str">
            <v>7852433</v>
          </cell>
          <cell r="F251" t="str">
            <v>Paipa</v>
          </cell>
        </row>
        <row r="252">
          <cell r="A252">
            <v>900963516</v>
          </cell>
          <cell r="B252">
            <v>5</v>
          </cell>
          <cell r="C252" t="str">
            <v>NAKAWE SAS</v>
          </cell>
          <cell r="D252" t="str">
            <v>CR 9 19 23 APTO 503</v>
          </cell>
          <cell r="E252" t="str">
            <v>3102173104</v>
          </cell>
          <cell r="F252" t="str">
            <v>Duitama</v>
          </cell>
        </row>
        <row r="253">
          <cell r="A253">
            <v>891800215</v>
          </cell>
          <cell r="B253">
            <v>2</v>
          </cell>
          <cell r="C253" t="str">
            <v>NOGO BOYACA LIMITADA</v>
          </cell>
          <cell r="D253" t="str">
            <v>CL 14 18 59</v>
          </cell>
          <cell r="E253" t="str">
            <v>7602372</v>
          </cell>
          <cell r="F253" t="str">
            <v>Duitama</v>
          </cell>
        </row>
        <row r="254">
          <cell r="A254">
            <v>900156264</v>
          </cell>
          <cell r="B254">
            <v>2</v>
          </cell>
          <cell r="C254" t="str">
            <v>NUEVA EMPRESA PROMOTORA DE SALUD S.A.</v>
          </cell>
          <cell r="D254" t="str">
            <v>CRA 85K 46A 66 P 2</v>
          </cell>
          <cell r="E254" t="str">
            <v>3077022</v>
          </cell>
          <cell r="F254" t="str">
            <v>Bogota D.C.</v>
          </cell>
        </row>
        <row r="255">
          <cell r="A255">
            <v>900549700</v>
          </cell>
          <cell r="B255">
            <v>1</v>
          </cell>
          <cell r="C255" t="str">
            <v>NUEVO ACERO S.A.S</v>
          </cell>
          <cell r="D255" t="str">
            <v>CR 27 67 53</v>
          </cell>
          <cell r="E255" t="str">
            <v>2407184</v>
          </cell>
          <cell r="F255" t="str">
            <v>Bogota D.C.</v>
          </cell>
        </row>
        <row r="256">
          <cell r="A256">
            <v>901212557</v>
          </cell>
          <cell r="B256">
            <v>9</v>
          </cell>
          <cell r="C256" t="str">
            <v>OIL &amp; SERVICES SAS</v>
          </cell>
          <cell r="D256" t="str">
            <v>AV LIBERTADORES 23 49</v>
          </cell>
          <cell r="E256" t="str">
            <v>3162581953</v>
          </cell>
          <cell r="F256" t="str">
            <v>Paipa</v>
          </cell>
        </row>
        <row r="257">
          <cell r="A257">
            <v>826000212</v>
          </cell>
          <cell r="B257">
            <v>1</v>
          </cell>
          <cell r="C257" t="str">
            <v>ORGANIZACIÓN AGUINALDO PAIPANO</v>
          </cell>
          <cell r="D257" t="str">
            <v>CL 25 20 20</v>
          </cell>
          <cell r="E257" t="str">
            <v>7852989</v>
          </cell>
          <cell r="F257" t="str">
            <v>Paipa</v>
          </cell>
        </row>
        <row r="258">
          <cell r="A258">
            <v>890206592</v>
          </cell>
          <cell r="B258">
            <v>3</v>
          </cell>
          <cell r="C258" t="str">
            <v>ORLANDO RIASCOS F. DISMACOR S.A.S.</v>
          </cell>
          <cell r="D258" t="str">
            <v>CL 45 33 40</v>
          </cell>
          <cell r="E258" t="str">
            <v>3514133</v>
          </cell>
          <cell r="F258" t="str">
            <v>Barranquilla</v>
          </cell>
        </row>
        <row r="259">
          <cell r="A259">
            <v>900824186</v>
          </cell>
          <cell r="B259">
            <v>2</v>
          </cell>
          <cell r="C259" t="str">
            <v>ORTOPEDICOS FUTURO COLOMBIA SAS</v>
          </cell>
          <cell r="D259" t="str">
            <v>CR 14 19 71</v>
          </cell>
          <cell r="E259" t="str">
            <v>2181212</v>
          </cell>
          <cell r="F259" t="str">
            <v>Bogota D.C.</v>
          </cell>
        </row>
        <row r="260">
          <cell r="A260">
            <v>900303413</v>
          </cell>
          <cell r="B260">
            <v>4</v>
          </cell>
          <cell r="C260" t="str">
            <v>OSTEOCOL SAS</v>
          </cell>
          <cell r="D260" t="str">
            <v>CL 126 7 26 OF 606 ED CL 126</v>
          </cell>
          <cell r="E260" t="str">
            <v>7447293</v>
          </cell>
          <cell r="F260" t="str">
            <v>Bogota D.C.</v>
          </cell>
        </row>
        <row r="261">
          <cell r="A261">
            <v>800256769</v>
          </cell>
          <cell r="B261">
            <v>6</v>
          </cell>
          <cell r="C261" t="str">
            <v>PATRIMONIOS AUTONOMOS FIDUCIARIA CORFICOLOMBIANA SA</v>
          </cell>
          <cell r="D261" t="str">
            <v>SACHICA</v>
          </cell>
          <cell r="E261" t="str">
            <v>018000971097</v>
          </cell>
          <cell r="F261" t="str">
            <v>Sáchica</v>
          </cell>
        </row>
        <row r="262">
          <cell r="A262">
            <v>900356500</v>
          </cell>
          <cell r="B262">
            <v>4</v>
          </cell>
          <cell r="C262" t="str">
            <v>PINTUMEZCLAS BOYACA S. A. S</v>
          </cell>
          <cell r="D262" t="str">
            <v>AV DE LAS AMERICAS 24 80</v>
          </cell>
          <cell r="F262" t="str">
            <v>Duitama</v>
          </cell>
        </row>
        <row r="263">
          <cell r="A263">
            <v>900364670</v>
          </cell>
          <cell r="B263">
            <v>1</v>
          </cell>
          <cell r="C263" t="str">
            <v>PLACACENTROS MASISA COLOMBIA S.A.S</v>
          </cell>
          <cell r="D263" t="str">
            <v>AV CL 72 72A 54</v>
          </cell>
          <cell r="E263" t="str">
            <v>5879300</v>
          </cell>
          <cell r="F263" t="str">
            <v>Bogota D.C.</v>
          </cell>
        </row>
        <row r="264">
          <cell r="A264">
            <v>900076922</v>
          </cell>
          <cell r="B264">
            <v>7</v>
          </cell>
          <cell r="C264" t="str">
            <v>PORCELANATOS Y PISOS DE COLOMBIA S.A.S</v>
          </cell>
          <cell r="D264" t="str">
            <v>TOBERIN CR 21 166 45</v>
          </cell>
          <cell r="F264" t="str">
            <v>Bogota D.C.</v>
          </cell>
        </row>
        <row r="265">
          <cell r="A265">
            <v>800144331</v>
          </cell>
          <cell r="B265">
            <v>3</v>
          </cell>
          <cell r="C265" t="str">
            <v>PORVENIR S.A. AFPC</v>
          </cell>
          <cell r="D265" t="str">
            <v>CR 13 26A 65</v>
          </cell>
          <cell r="E265" t="str">
            <v>3393000</v>
          </cell>
          <cell r="F265" t="str">
            <v>Bogota D.C.</v>
          </cell>
        </row>
        <row r="266">
          <cell r="A266">
            <v>860011153</v>
          </cell>
          <cell r="B266">
            <v>6</v>
          </cell>
          <cell r="C266" t="str">
            <v>POSITIVA COMPAÑÍA DE SEGUROS S. A.</v>
          </cell>
          <cell r="D266" t="str">
            <v>CL 11 12 78 Piso 5</v>
          </cell>
          <cell r="E266" t="str">
            <v>7716776</v>
          </cell>
          <cell r="F266" t="str">
            <v>Sogamoso</v>
          </cell>
        </row>
        <row r="267">
          <cell r="A267">
            <v>900827178</v>
          </cell>
          <cell r="B267">
            <v>7</v>
          </cell>
          <cell r="C267" t="str">
            <v>PREFABRICADOS DE DUITAMA COLOMBIA SAS</v>
          </cell>
          <cell r="D267" t="str">
            <v>KM 8 VIA DUITAMA PAIPA</v>
          </cell>
          <cell r="E267" t="str">
            <v>31780030800</v>
          </cell>
          <cell r="F267" t="str">
            <v>Duitama</v>
          </cell>
        </row>
        <row r="268">
          <cell r="A268">
            <v>900319753</v>
          </cell>
          <cell r="B268">
            <v>3</v>
          </cell>
          <cell r="C268" t="str">
            <v>PRICESMART COLOMBIA SAS</v>
          </cell>
          <cell r="D268" t="str">
            <v>CL 94 A 11A 53</v>
          </cell>
          <cell r="E268" t="str">
            <v>7424114</v>
          </cell>
          <cell r="F268" t="str">
            <v>Bogota D.C.</v>
          </cell>
        </row>
        <row r="269">
          <cell r="A269">
            <v>900759539</v>
          </cell>
          <cell r="B269">
            <v>0</v>
          </cell>
          <cell r="C269" t="str">
            <v>PRINCIPAL DE INVERSIONES Y MANGUERAS SAS</v>
          </cell>
          <cell r="D269" t="str">
            <v>CR 19 14 45</v>
          </cell>
          <cell r="E269" t="str">
            <v>3115137232</v>
          </cell>
          <cell r="F269" t="str">
            <v>Duitama</v>
          </cell>
        </row>
        <row r="270">
          <cell r="A270">
            <v>800138188</v>
          </cell>
          <cell r="B270">
            <v>1</v>
          </cell>
          <cell r="C270" t="str">
            <v>PROTECCIÓN S.A. AFPC</v>
          </cell>
          <cell r="D270" t="str">
            <v>CR 11 17 25</v>
          </cell>
          <cell r="E270" t="str">
            <v>7446635</v>
          </cell>
          <cell r="F270" t="str">
            <v>Tunja</v>
          </cell>
        </row>
        <row r="271">
          <cell r="A271">
            <v>901875830</v>
          </cell>
          <cell r="B271">
            <v>1</v>
          </cell>
          <cell r="C271" t="str">
            <v>PROYECTOS Y MATERIALES ELECTRICOS S.A.S</v>
          </cell>
          <cell r="D271" t="str">
            <v>CL 16 A 17 02</v>
          </cell>
          <cell r="E271" t="str">
            <v>3134846047</v>
          </cell>
          <cell r="F271" t="str">
            <v>Sogamoso</v>
          </cell>
        </row>
        <row r="272">
          <cell r="A272">
            <v>900281187</v>
          </cell>
          <cell r="B272">
            <v>8</v>
          </cell>
          <cell r="C272" t="str">
            <v>PROYECTOS Y OBRAS CIVILES SOLANO PACHECO SOCIEDAD POR ACCIONES SIMPLIFICADA</v>
          </cell>
          <cell r="D272" t="str">
            <v>CL 25 21 16</v>
          </cell>
          <cell r="E272" t="str">
            <v>7850811</v>
          </cell>
          <cell r="F272" t="str">
            <v>Paipa</v>
          </cell>
        </row>
        <row r="273">
          <cell r="A273">
            <v>830093663</v>
          </cell>
          <cell r="B273">
            <v>2</v>
          </cell>
          <cell r="C273" t="str">
            <v>QUICK OIL COLOMBIA LTDA</v>
          </cell>
          <cell r="D273" t="str">
            <v>AV CL 127 18C 05</v>
          </cell>
          <cell r="E273" t="str">
            <v>6729001</v>
          </cell>
          <cell r="F273" t="str">
            <v>Bogota D.C.</v>
          </cell>
        </row>
        <row r="274">
          <cell r="A274">
            <v>800141903</v>
          </cell>
          <cell r="B274">
            <v>2</v>
          </cell>
          <cell r="C274" t="str">
            <v>QUIMICOS INDUSTRIALES ASOCIADOS SAS</v>
          </cell>
          <cell r="D274" t="str">
            <v>KM 2 VIA PAIPA DUITAMA</v>
          </cell>
          <cell r="E274" t="str">
            <v>3125221488</v>
          </cell>
          <cell r="F274" t="str">
            <v>Paipa</v>
          </cell>
        </row>
        <row r="275">
          <cell r="A275">
            <v>800199454</v>
          </cell>
          <cell r="B275">
            <v>7</v>
          </cell>
          <cell r="C275" t="str">
            <v>QUINTERO Y ASOCIADOS DISTRIBUCIONES SAS</v>
          </cell>
          <cell r="D275" t="str">
            <v>VDA SAN LORENZO ABAJO</v>
          </cell>
          <cell r="E275" t="str">
            <v>7628817</v>
          </cell>
          <cell r="F275" t="str">
            <v>Duitama</v>
          </cell>
        </row>
        <row r="276">
          <cell r="A276">
            <v>890200722</v>
          </cell>
          <cell r="B276">
            <v>7</v>
          </cell>
          <cell r="C276" t="str">
            <v>RAFAEL J. TURBAY S.A.S</v>
          </cell>
          <cell r="D276" t="str">
            <v>CL 17 16 55</v>
          </cell>
          <cell r="E276" t="str">
            <v>7651208</v>
          </cell>
          <cell r="F276" t="str">
            <v>Duitama</v>
          </cell>
        </row>
        <row r="277">
          <cell r="A277">
            <v>830096513</v>
          </cell>
          <cell r="B277">
            <v>1</v>
          </cell>
          <cell r="C277" t="str">
            <v>RED SALUD EPS</v>
          </cell>
        </row>
        <row r="278">
          <cell r="A278">
            <v>900259348</v>
          </cell>
          <cell r="B278">
            <v>5</v>
          </cell>
          <cell r="C278" t="str">
            <v>RED VITAL S.A E.S.P</v>
          </cell>
          <cell r="D278" t="str">
            <v>CR 17 A N° 23A 05</v>
          </cell>
          <cell r="E278" t="str">
            <v>7853051</v>
          </cell>
          <cell r="F278" t="str">
            <v>Paipa</v>
          </cell>
        </row>
        <row r="279">
          <cell r="A279">
            <v>901162983</v>
          </cell>
          <cell r="B279">
            <v>8</v>
          </cell>
          <cell r="C279" t="str">
            <v>REINA MARIA IPS S.A.S</v>
          </cell>
          <cell r="D279" t="str">
            <v>CR 16 14 54</v>
          </cell>
          <cell r="E279" t="str">
            <v>3115331899</v>
          </cell>
          <cell r="F279" t="str">
            <v>Duitama</v>
          </cell>
        </row>
        <row r="280">
          <cell r="A280">
            <v>900118838</v>
          </cell>
          <cell r="B280">
            <v>8</v>
          </cell>
          <cell r="C280" t="str">
            <v>RUTA DEL SOL II SAS</v>
          </cell>
        </row>
        <row r="281">
          <cell r="A281">
            <v>900987911</v>
          </cell>
          <cell r="B281">
            <v>5</v>
          </cell>
          <cell r="C281" t="str">
            <v>SABAJON CIPRES SOCIEDADES POR ACCIONES SIMPLIFICADA</v>
          </cell>
          <cell r="D281" t="str">
            <v>CR 19 19 07</v>
          </cell>
          <cell r="E281" t="str">
            <v>3133867736</v>
          </cell>
          <cell r="F281" t="str">
            <v>Paipa</v>
          </cell>
        </row>
        <row r="282">
          <cell r="A282">
            <v>805021984</v>
          </cell>
          <cell r="B282">
            <v>2</v>
          </cell>
          <cell r="C282" t="str">
            <v>SALUD COLOMBIA EPS</v>
          </cell>
        </row>
        <row r="283">
          <cell r="A283">
            <v>860512237</v>
          </cell>
          <cell r="B283">
            <v>6</v>
          </cell>
          <cell r="C283" t="str">
            <v>SALUD COLPATRIA EPS</v>
          </cell>
        </row>
        <row r="284">
          <cell r="A284">
            <v>800130907</v>
          </cell>
          <cell r="B284">
            <v>4</v>
          </cell>
          <cell r="C284" t="str">
            <v>SALUD TOTAL EPS</v>
          </cell>
        </row>
        <row r="285">
          <cell r="A285">
            <v>830074184</v>
          </cell>
          <cell r="B285">
            <v>5</v>
          </cell>
          <cell r="C285" t="str">
            <v>SALUD VIDA EPS</v>
          </cell>
        </row>
        <row r="286">
          <cell r="A286">
            <v>800250119</v>
          </cell>
          <cell r="B286">
            <v>1</v>
          </cell>
          <cell r="C286" t="str">
            <v>SALUDCOOP EPS</v>
          </cell>
        </row>
        <row r="287">
          <cell r="A287">
            <v>800251440</v>
          </cell>
          <cell r="B287">
            <v>6</v>
          </cell>
          <cell r="C287" t="str">
            <v>SANITAS EPS</v>
          </cell>
          <cell r="D287" t="str">
            <v>CL 100 11B 67</v>
          </cell>
          <cell r="F287" t="str">
            <v>Bogota D.C.</v>
          </cell>
        </row>
        <row r="288">
          <cell r="A288">
            <v>899999061</v>
          </cell>
          <cell r="B288">
            <v>9</v>
          </cell>
          <cell r="C288" t="str">
            <v>SECRETARIA DE HACIENDA DISTRITAL</v>
          </cell>
        </row>
        <row r="289">
          <cell r="A289">
            <v>890903790</v>
          </cell>
          <cell r="B289">
            <v>5</v>
          </cell>
          <cell r="C289" t="str">
            <v>SEGUROS DE VIDA SURAMERICANA S.A</v>
          </cell>
          <cell r="D289" t="str">
            <v>CL 21 10 51</v>
          </cell>
          <cell r="E289" t="str">
            <v>7423115</v>
          </cell>
          <cell r="F289" t="str">
            <v>Tunja</v>
          </cell>
        </row>
        <row r="290">
          <cell r="A290">
            <v>846000244</v>
          </cell>
          <cell r="B290">
            <v>1</v>
          </cell>
          <cell r="C290" t="str">
            <v>SELVASALUD EPS</v>
          </cell>
        </row>
        <row r="291">
          <cell r="A291">
            <v>901644223</v>
          </cell>
          <cell r="B291">
            <v>8</v>
          </cell>
          <cell r="C291" t="str">
            <v>SENDEROS DE LAGO VERDE PROPIEDAD HORIZONTAL</v>
          </cell>
          <cell r="D291" t="str">
            <v>CR 10 25 62</v>
          </cell>
          <cell r="F291" t="str">
            <v>Paipa</v>
          </cell>
        </row>
        <row r="292">
          <cell r="A292">
            <v>800014898</v>
          </cell>
          <cell r="B292">
            <v>1</v>
          </cell>
          <cell r="C292" t="str">
            <v>SERVIAGRICOLA LTDA</v>
          </cell>
          <cell r="D292" t="str">
            <v>CL 11 N° 16 44</v>
          </cell>
          <cell r="E292" t="str">
            <v>7704161</v>
          </cell>
          <cell r="F292" t="str">
            <v>Sogamoso</v>
          </cell>
        </row>
        <row r="293">
          <cell r="A293">
            <v>899999034</v>
          </cell>
          <cell r="B293">
            <v>1</v>
          </cell>
          <cell r="C293" t="str">
            <v>SERVICIO NACIONAL DE APRENDIZAJE</v>
          </cell>
          <cell r="D293" t="str">
            <v>CLL 57 8 69</v>
          </cell>
          <cell r="E293" t="str">
            <v>5461500</v>
          </cell>
          <cell r="F293" t="str">
            <v>Bogota D.C.</v>
          </cell>
        </row>
        <row r="294">
          <cell r="A294">
            <v>805001157</v>
          </cell>
          <cell r="B294">
            <v>2</v>
          </cell>
          <cell r="C294" t="str">
            <v>SERVICIO OCCIDENTAL DE SALUD</v>
          </cell>
        </row>
        <row r="295">
          <cell r="A295">
            <v>900102229</v>
          </cell>
          <cell r="B295">
            <v>2</v>
          </cell>
          <cell r="C295" t="str">
            <v>SERVICIOS HIDROPROTECCION SAS</v>
          </cell>
          <cell r="D295" t="str">
            <v>KM 1 VIA LA ARGENTINA PARQ IND EL DORADO BG 44</v>
          </cell>
          <cell r="E295" t="str">
            <v>6780046</v>
          </cell>
          <cell r="F295" t="str">
            <v>Funza</v>
          </cell>
        </row>
        <row r="296">
          <cell r="A296">
            <v>826002633</v>
          </cell>
          <cell r="B296">
            <v>8</v>
          </cell>
          <cell r="C296" t="str">
            <v>SERVICIOS INTEGRALES DE INGENIERIA GEOTECNIA Y CONSTRUCCION LTDA</v>
          </cell>
          <cell r="D296" t="str">
            <v>AV SAN MARTIN TV 17 20 21</v>
          </cell>
          <cell r="E296" t="str">
            <v>7712474</v>
          </cell>
          <cell r="F296" t="str">
            <v>Sogamoso</v>
          </cell>
        </row>
        <row r="297">
          <cell r="A297">
            <v>901512283</v>
          </cell>
          <cell r="B297">
            <v>3</v>
          </cell>
          <cell r="C297" t="str">
            <v>SERVICIOS INTEGRALES GUIO SOCIEDAD POR ACCIONES SIMPLIFICADA</v>
          </cell>
          <cell r="D297" t="str">
            <v>KM 7 SEC VIA PAIPA TRINIDAD VDA CRUZ BONSA</v>
          </cell>
          <cell r="E297" t="str">
            <v>3115117496</v>
          </cell>
          <cell r="F297" t="str">
            <v>Paipa</v>
          </cell>
        </row>
        <row r="298">
          <cell r="A298">
            <v>860512330</v>
          </cell>
          <cell r="B298">
            <v>3</v>
          </cell>
          <cell r="C298" t="str">
            <v>SERVIENTREGA S.A</v>
          </cell>
          <cell r="D298" t="str">
            <v>AV CL 6 34 A 11</v>
          </cell>
          <cell r="E298" t="str">
            <v>7700200</v>
          </cell>
          <cell r="F298" t="str">
            <v>Bogota D.C.</v>
          </cell>
        </row>
        <row r="299">
          <cell r="A299">
            <v>901398882</v>
          </cell>
          <cell r="B299">
            <v>6</v>
          </cell>
          <cell r="C299" t="str">
            <v>SISTEMAS Y SOLUCIONES INTEGRALES EBENEZER SAS</v>
          </cell>
          <cell r="D299" t="str">
            <v>CR 13 12 50_x000D_
CR 13 12 50</v>
          </cell>
          <cell r="E299" t="str">
            <v>3219525209</v>
          </cell>
          <cell r="F299" t="str">
            <v>Duitama</v>
          </cell>
        </row>
        <row r="300">
          <cell r="A300">
            <v>800148514</v>
          </cell>
          <cell r="B300">
            <v>2</v>
          </cell>
          <cell r="C300" t="str">
            <v>SKANDIA S.A. AFPC</v>
          </cell>
        </row>
        <row r="301">
          <cell r="A301">
            <v>900031780</v>
          </cell>
          <cell r="B301">
            <v>4</v>
          </cell>
          <cell r="C301" t="str">
            <v>SM ASOCIADOS S.A.</v>
          </cell>
          <cell r="D301" t="str">
            <v>AV LIBERTADORES 22 - 71</v>
          </cell>
          <cell r="E301" t="str">
            <v>3105518809</v>
          </cell>
          <cell r="F301" t="str">
            <v>Paipa</v>
          </cell>
        </row>
        <row r="302">
          <cell r="A302">
            <v>900923281</v>
          </cell>
          <cell r="B302">
            <v>9</v>
          </cell>
          <cell r="C302" t="str">
            <v>SMART LIVING SOLUTIONS S.A.S</v>
          </cell>
          <cell r="D302" t="str">
            <v>CL 137 53 A 06</v>
          </cell>
          <cell r="F302" t="str">
            <v>Bogota D.C.</v>
          </cell>
        </row>
        <row r="303">
          <cell r="A303">
            <v>901128826</v>
          </cell>
          <cell r="B303">
            <v>6</v>
          </cell>
          <cell r="C303" t="str">
            <v>SOCIAL SOLAR SAS</v>
          </cell>
          <cell r="D303" t="str">
            <v>CR 19 28 60 LOCAL 103</v>
          </cell>
          <cell r="E303" t="str">
            <v>3204679942</v>
          </cell>
          <cell r="F303" t="str">
            <v>Paipa</v>
          </cell>
        </row>
        <row r="304">
          <cell r="A304">
            <v>900998272</v>
          </cell>
          <cell r="B304">
            <v>4</v>
          </cell>
          <cell r="C304" t="str">
            <v>SOCIEDAD DE DE INVERSIONES HOTELERAS Y DE ALIMENTOS LA FLORESTA SAS</v>
          </cell>
          <cell r="D304" t="str">
            <v>CL 59 45 20</v>
          </cell>
          <cell r="E304" t="str">
            <v>4634207</v>
          </cell>
          <cell r="F304" t="str">
            <v>Bogota D.C.</v>
          </cell>
        </row>
        <row r="305">
          <cell r="A305">
            <v>800242106</v>
          </cell>
          <cell r="B305">
            <v>2</v>
          </cell>
          <cell r="C305" t="str">
            <v>SODIMAC COLOMBIA SA</v>
          </cell>
          <cell r="D305" t="str">
            <v>CR 68 D 8070</v>
          </cell>
          <cell r="F305" t="str">
            <v>Bogota D.C.</v>
          </cell>
        </row>
        <row r="306">
          <cell r="A306">
            <v>891801918</v>
          </cell>
          <cell r="B306">
            <v>6</v>
          </cell>
          <cell r="C306" t="str">
            <v>SOELCO S.A.S</v>
          </cell>
          <cell r="D306" t="str">
            <v>AV NORTE 37 45</v>
          </cell>
          <cell r="E306" t="str">
            <v>3009122122</v>
          </cell>
          <cell r="F306" t="str">
            <v>Tunja</v>
          </cell>
        </row>
        <row r="307">
          <cell r="A307">
            <v>901589959</v>
          </cell>
          <cell r="B307">
            <v>4</v>
          </cell>
          <cell r="C307" t="str">
            <v>SOLDIMONTAJES MASTER S.A.S</v>
          </cell>
          <cell r="D307" t="str">
            <v>CR 19 10 A 30 BRR MARIA AUXILIADORA</v>
          </cell>
          <cell r="E307" t="str">
            <v>3213464492</v>
          </cell>
          <cell r="F307" t="str">
            <v>Duitama</v>
          </cell>
        </row>
        <row r="308">
          <cell r="A308">
            <v>804001273</v>
          </cell>
          <cell r="B308">
            <v>5</v>
          </cell>
          <cell r="C308" t="str">
            <v>SOLSALUD EPS</v>
          </cell>
        </row>
        <row r="309">
          <cell r="A309">
            <v>891855991</v>
          </cell>
          <cell r="B309">
            <v>6</v>
          </cell>
          <cell r="C309" t="str">
            <v>SUPER SERVICIOS BOYACA S.A.S</v>
          </cell>
          <cell r="D309" t="str">
            <v>CR 148 7 41</v>
          </cell>
          <cell r="E309" t="str">
            <v>7603911</v>
          </cell>
          <cell r="F309" t="str">
            <v>Duitama</v>
          </cell>
        </row>
        <row r="310">
          <cell r="A310">
            <v>899999007</v>
          </cell>
          <cell r="B310">
            <v>0</v>
          </cell>
          <cell r="C310" t="str">
            <v>SUPERINTENDENCIA DE NOTARIADO Y REGISTRO</v>
          </cell>
          <cell r="D310" t="str">
            <v>CL 26 13 49</v>
          </cell>
          <cell r="E310" t="str">
            <v>3282121</v>
          </cell>
          <cell r="F310" t="str">
            <v>Bogota D.C.</v>
          </cell>
        </row>
        <row r="311">
          <cell r="A311">
            <v>800088702</v>
          </cell>
          <cell r="B311">
            <v>2</v>
          </cell>
          <cell r="C311" t="str">
            <v>SUSALUD EPS</v>
          </cell>
        </row>
        <row r="312">
          <cell r="A312">
            <v>800025690</v>
          </cell>
          <cell r="B312">
            <v>2</v>
          </cell>
          <cell r="C312" t="str">
            <v>TAX TURISTICO PAIPA SA</v>
          </cell>
          <cell r="D312" t="str">
            <v>AV LIBERTADORES 34 11</v>
          </cell>
          <cell r="E312" t="str">
            <v>7853578</v>
          </cell>
          <cell r="F312" t="str">
            <v>Paipa</v>
          </cell>
        </row>
        <row r="313">
          <cell r="A313">
            <v>860000867</v>
          </cell>
          <cell r="B313">
            <v>9</v>
          </cell>
          <cell r="C313" t="str">
            <v>TEJIDOS LAV SAS</v>
          </cell>
          <cell r="D313" t="str">
            <v>AK 19 114A 05</v>
          </cell>
          <cell r="E313" t="str">
            <v>6017945459</v>
          </cell>
          <cell r="F313" t="str">
            <v>Cajicá</v>
          </cell>
        </row>
        <row r="314">
          <cell r="A314">
            <v>99</v>
          </cell>
          <cell r="C314" t="str">
            <v>TERCERO CONTROL</v>
          </cell>
        </row>
        <row r="315">
          <cell r="A315">
            <v>901289237</v>
          </cell>
          <cell r="B315">
            <v>8</v>
          </cell>
          <cell r="C315" t="str">
            <v>TERMOVENTANAS SAS</v>
          </cell>
          <cell r="D315" t="str">
            <v>CL 2 1 A 91 P 1 B D CD CIUDADEL INDUSTRIAL</v>
          </cell>
          <cell r="E315" t="str">
            <v>3232910645</v>
          </cell>
          <cell r="F315" t="str">
            <v>Duitama</v>
          </cell>
        </row>
        <row r="316">
          <cell r="A316">
            <v>890209654</v>
          </cell>
          <cell r="B316">
            <v>5</v>
          </cell>
          <cell r="C316" t="str">
            <v>TIENEX SOCIEDAD POR ACCIONES SIMPLIFICADA</v>
          </cell>
          <cell r="D316" t="str">
            <v>CL 48 22 56 BRR LA CONCORDIA</v>
          </cell>
          <cell r="E316" t="str">
            <v>6422121</v>
          </cell>
          <cell r="F316" t="str">
            <v>Bucaramanga</v>
          </cell>
        </row>
        <row r="317">
          <cell r="A317">
            <v>800138218</v>
          </cell>
          <cell r="B317">
            <v>4</v>
          </cell>
          <cell r="C317" t="str">
            <v>TRADICIONALES DULCINEA Y CIA S C A</v>
          </cell>
          <cell r="D317" t="str">
            <v>CL 105 23 89  AP 302</v>
          </cell>
          <cell r="E317" t="str">
            <v>6367382</v>
          </cell>
          <cell r="F317" t="str">
            <v>Bogota D.C.</v>
          </cell>
        </row>
        <row r="318">
          <cell r="A318">
            <v>900353231</v>
          </cell>
          <cell r="B318">
            <v>4</v>
          </cell>
          <cell r="C318" t="str">
            <v>TRIPLEX HOLGUIN S.A.S</v>
          </cell>
          <cell r="D318" t="str">
            <v>CL 79B 53 16</v>
          </cell>
          <cell r="E318" t="str">
            <v>2251108</v>
          </cell>
          <cell r="F318" t="str">
            <v>Bogota D.C.</v>
          </cell>
        </row>
        <row r="319">
          <cell r="A319">
            <v>830087848</v>
          </cell>
          <cell r="B319">
            <v>3</v>
          </cell>
          <cell r="C319" t="str">
            <v>TUGO SAS</v>
          </cell>
          <cell r="D319" t="str">
            <v>AUTOPISTA 197</v>
          </cell>
          <cell r="F319" t="str">
            <v>Bogota D.C.</v>
          </cell>
        </row>
        <row r="320">
          <cell r="A320">
            <v>900315198</v>
          </cell>
          <cell r="B320">
            <v>7</v>
          </cell>
          <cell r="C320" t="str">
            <v>TUMATERA TUVIVERO SAS</v>
          </cell>
          <cell r="D320" t="str">
            <v>KM 1 VIA CHIA COTA</v>
          </cell>
          <cell r="E320" t="str">
            <v>8859814</v>
          </cell>
          <cell r="F320" t="str">
            <v>Chía</v>
          </cell>
        </row>
        <row r="321">
          <cell r="A321">
            <v>901190402</v>
          </cell>
          <cell r="B321">
            <v>1</v>
          </cell>
          <cell r="C321" t="str">
            <v>UNIVERSAL DE TORNILLOS Y FERRETERIA SAS</v>
          </cell>
          <cell r="D321" t="str">
            <v>CR 19 14 35</v>
          </cell>
          <cell r="E321" t="str">
            <v>7611777</v>
          </cell>
          <cell r="F321" t="str">
            <v>Duitama</v>
          </cell>
        </row>
        <row r="322">
          <cell r="A322">
            <v>860042784</v>
          </cell>
          <cell r="B322">
            <v>6</v>
          </cell>
          <cell r="C322" t="str">
            <v>VIDRIERIA UNIVERSAL AVELLA RIVEROS &amp; CIA SAS</v>
          </cell>
          <cell r="D322" t="str">
            <v>CR 10A 2 40</v>
          </cell>
          <cell r="E322" t="str">
            <v>2892229</v>
          </cell>
          <cell r="F322" t="str">
            <v>Bogota D.C.</v>
          </cell>
        </row>
        <row r="323">
          <cell r="A323">
            <v>900534356</v>
          </cell>
          <cell r="B323">
            <v>3</v>
          </cell>
          <cell r="C323" t="str">
            <v>WORLD OFFICE COLOMBIA S.A.S</v>
          </cell>
          <cell r="D323" t="str">
            <v>AV CL 26 N° 69D 91 OF 805</v>
          </cell>
          <cell r="F323" t="str">
            <v>Bogota D.C.</v>
          </cell>
        </row>
        <row r="324">
          <cell r="A324">
            <v>900373092</v>
          </cell>
          <cell r="B324">
            <v>2</v>
          </cell>
          <cell r="C324" t="str">
            <v>YUMA CONCESIONARIA SA EN REORGANIZACION</v>
          </cell>
        </row>
        <row r="325">
          <cell r="A325">
            <v>74381590</v>
          </cell>
          <cell r="C325" t="str">
            <v>ABELLA ACERI CESAR AUGUSTO</v>
          </cell>
          <cell r="D325" t="str">
            <v>BARRIO SAN MIGUEL</v>
          </cell>
          <cell r="E325" t="str">
            <v>3203220589</v>
          </cell>
          <cell r="F325" t="str">
            <v>Paipa</v>
          </cell>
        </row>
        <row r="326">
          <cell r="C326" t="str">
            <v>ABRIL MALAGON ABDENAGO</v>
          </cell>
          <cell r="D326" t="str">
            <v>CR 22 20A 38</v>
          </cell>
          <cell r="F326" t="str">
            <v>Paipa</v>
          </cell>
        </row>
        <row r="327">
          <cell r="A327">
            <v>74379533</v>
          </cell>
          <cell r="B327">
            <v>0</v>
          </cell>
          <cell r="C327" t="str">
            <v>ACERO CELY MAURICIO</v>
          </cell>
          <cell r="D327" t="str">
            <v>CL 22 22 55</v>
          </cell>
          <cell r="F327" t="str">
            <v>Paipa</v>
          </cell>
        </row>
        <row r="328">
          <cell r="A328">
            <v>1002460696</v>
          </cell>
          <cell r="C328" t="str">
            <v>ACOSTA REYES WILLIAM ALEXANDER</v>
          </cell>
          <cell r="D328" t="str">
            <v>CR 18 A 4 17</v>
          </cell>
          <cell r="E328" t="str">
            <v>3206676626</v>
          </cell>
          <cell r="F328" t="str">
            <v>Duitama</v>
          </cell>
        </row>
        <row r="329">
          <cell r="C329" t="str">
            <v>ACOSTA SALAZAR DANIEL</v>
          </cell>
        </row>
        <row r="330">
          <cell r="A330">
            <v>39696324</v>
          </cell>
          <cell r="B330">
            <v>1</v>
          </cell>
          <cell r="C330" t="str">
            <v>AGREDA PEREZ MAGDALENA ARACELY</v>
          </cell>
          <cell r="D330" t="str">
            <v>CONDOMINIO EL PARAISO PARCELA B6 VIA DUITAMA-EL PANTANO DE VARGAS</v>
          </cell>
          <cell r="E330" t="str">
            <v>5612534091</v>
          </cell>
          <cell r="F330" t="str">
            <v>Duitama</v>
          </cell>
        </row>
        <row r="331">
          <cell r="C331" t="str">
            <v>AGUIRRE ALVARADO DORY MILENA</v>
          </cell>
        </row>
        <row r="332">
          <cell r="A332">
            <v>1018424013</v>
          </cell>
          <cell r="B332">
            <v>2</v>
          </cell>
          <cell r="C332" t="str">
            <v>ALARCON NITOLA DANIEL FERNANDO</v>
          </cell>
          <cell r="D332" t="str">
            <v>CR 6 11 25</v>
          </cell>
          <cell r="F332" t="str">
            <v>Duitama</v>
          </cell>
        </row>
        <row r="333">
          <cell r="A333">
            <v>24091237</v>
          </cell>
          <cell r="B333">
            <v>5</v>
          </cell>
          <cell r="C333" t="str">
            <v>ALBARRACIN JANCY MILENA</v>
          </cell>
          <cell r="D333" t="str">
            <v>CR 16 12 49</v>
          </cell>
          <cell r="E333" t="str">
            <v>3202087822</v>
          </cell>
          <cell r="F333" t="str">
            <v>Duitama</v>
          </cell>
        </row>
        <row r="334">
          <cell r="A334">
            <v>21030757</v>
          </cell>
          <cell r="B334">
            <v>1</v>
          </cell>
          <cell r="C334" t="str">
            <v>ALFONSO GARZON ANA JUDITH</v>
          </cell>
          <cell r="D334" t="str">
            <v>CR 23 7 26</v>
          </cell>
          <cell r="F334" t="str">
            <v>Duitama</v>
          </cell>
        </row>
        <row r="335">
          <cell r="A335">
            <v>51698458</v>
          </cell>
          <cell r="C335" t="str">
            <v>ALGARRA SUAREZ ANA GRACIELA</v>
          </cell>
          <cell r="D335" t="str">
            <v>CR 10 25 61 APTO 804</v>
          </cell>
          <cell r="E335" t="str">
            <v>2760880</v>
          </cell>
          <cell r="F335" t="str">
            <v>Paipa</v>
          </cell>
        </row>
        <row r="336">
          <cell r="C336" t="str">
            <v>ALGARRA SUAREZ GLORIA ESTELLA</v>
          </cell>
          <cell r="D336" t="str">
            <v>CL 160 72 51 TORRE 1 apto 1504</v>
          </cell>
          <cell r="E336" t="str">
            <v>3208401652</v>
          </cell>
          <cell r="F336" t="str">
            <v>Bogota D.C.</v>
          </cell>
        </row>
        <row r="337">
          <cell r="A337" t="str">
            <v>especial</v>
          </cell>
          <cell r="B337" t="str">
            <v>de</v>
          </cell>
          <cell r="C337" t="str">
            <v>ALTUVE AGULERA FRANCISCO ALEXIS</v>
          </cell>
          <cell r="D337" t="str">
            <v>ESTACION ALEJANDRIA, MANZANA 24 BLOQUE C CASA 17</v>
          </cell>
          <cell r="E337" t="str">
            <v>3223159874</v>
          </cell>
          <cell r="F337" t="str">
            <v>Paipa</v>
          </cell>
        </row>
        <row r="338">
          <cell r="A338">
            <v>1052389508</v>
          </cell>
          <cell r="C338" t="str">
            <v>ALVARADO BRAVO MAURICIO ANDRES</v>
          </cell>
          <cell r="D338" t="str">
            <v>CR 36A 7 39</v>
          </cell>
          <cell r="E338" t="str">
            <v>3112301888</v>
          </cell>
          <cell r="F338" t="str">
            <v>Duitama</v>
          </cell>
        </row>
        <row r="339">
          <cell r="A339">
            <v>51817638</v>
          </cell>
          <cell r="C339" t="str">
            <v>ALVARADO CONSUELO DIAZ</v>
          </cell>
        </row>
        <row r="340">
          <cell r="A340">
            <v>74324177</v>
          </cell>
          <cell r="B340">
            <v>5</v>
          </cell>
          <cell r="C340" t="str">
            <v>ALVARADO DIAZ HENRY ALEJANDRO</v>
          </cell>
          <cell r="D340" t="str">
            <v>CR 19 21 42</v>
          </cell>
          <cell r="E340" t="str">
            <v>3108763962</v>
          </cell>
          <cell r="F340" t="str">
            <v>Paipa</v>
          </cell>
        </row>
        <row r="341">
          <cell r="A341">
            <v>74322885</v>
          </cell>
          <cell r="B341">
            <v>2</v>
          </cell>
          <cell r="C341" t="str">
            <v>ALVARADO DIAZ LUIS OBDULIO</v>
          </cell>
          <cell r="D341" t="str">
            <v>CL 19 21 42</v>
          </cell>
          <cell r="E341" t="str">
            <v>3212327803</v>
          </cell>
          <cell r="F341" t="str">
            <v>Paipa</v>
          </cell>
        </row>
        <row r="342">
          <cell r="C342" t="str">
            <v>ALVARADO DIAZ MARIA DEL ROSARIO</v>
          </cell>
          <cell r="D342" t="str">
            <v>CR 19 No. 21 42</v>
          </cell>
          <cell r="E342" t="str">
            <v>3118083403</v>
          </cell>
          <cell r="F342" t="str">
            <v>Paipa</v>
          </cell>
        </row>
        <row r="343">
          <cell r="A343">
            <v>23856427</v>
          </cell>
          <cell r="B343">
            <v>9</v>
          </cell>
          <cell r="C343" t="str">
            <v>ALVARADO DIAZ MERCEDES DEL PILAR</v>
          </cell>
          <cell r="D343" t="str">
            <v>CR 19 21 48</v>
          </cell>
          <cell r="E343" t="str">
            <v>3134949499_x000D_
3134949499</v>
          </cell>
          <cell r="F343" t="str">
            <v>Paipa</v>
          </cell>
        </row>
        <row r="344">
          <cell r="A344">
            <v>24048375</v>
          </cell>
          <cell r="B344">
            <v>1</v>
          </cell>
          <cell r="C344" t="str">
            <v>ALVARADO SILVA CENAIDA</v>
          </cell>
        </row>
        <row r="345">
          <cell r="A345">
            <v>6762013</v>
          </cell>
          <cell r="C345" t="str">
            <v>ALVARADO UMAÑA MAURICIO FERNAN</v>
          </cell>
        </row>
        <row r="346">
          <cell r="A346">
            <v>1002607923</v>
          </cell>
          <cell r="C346" t="str">
            <v>ALVARADO VARGAS LUIS CARLOS</v>
          </cell>
          <cell r="D346" t="str">
            <v>CR 6A 1 05</v>
          </cell>
          <cell r="E346" t="str">
            <v>3134187632</v>
          </cell>
          <cell r="F346" t="str">
            <v>Tibasosa</v>
          </cell>
        </row>
        <row r="347">
          <cell r="A347">
            <v>1019088125</v>
          </cell>
          <cell r="C347" t="str">
            <v>ALVAREZ CORREA LUISA FERNANDA</v>
          </cell>
          <cell r="D347" t="str">
            <v>CONDOMINIO LA TOSCANA CASA 53 VDA LA VIOLETA</v>
          </cell>
          <cell r="E347" t="str">
            <v>3115871973</v>
          </cell>
          <cell r="F347" t="str">
            <v>Sopó</v>
          </cell>
        </row>
        <row r="348">
          <cell r="C348" t="str">
            <v>ALVAREZ HERNANDEZ JOSE SANTIAGO</v>
          </cell>
          <cell r="D348" t="str">
            <v>CONDOMINIO LA TOSCANA, CASA 53 VDA LA VIOLETA</v>
          </cell>
          <cell r="E348" t="str">
            <v>3115829409</v>
          </cell>
          <cell r="F348" t="str">
            <v>Sopó</v>
          </cell>
        </row>
        <row r="349">
          <cell r="A349">
            <v>7224123</v>
          </cell>
          <cell r="C349" t="str">
            <v>ALVAREZ HOLGUIN BELARMINO</v>
          </cell>
          <cell r="D349" t="str">
            <v>CR 7 1 11</v>
          </cell>
          <cell r="E349" t="str">
            <v>3209096669</v>
          </cell>
          <cell r="F349" t="str">
            <v>Santa Rosa De Viterbo</v>
          </cell>
        </row>
        <row r="350">
          <cell r="A350">
            <v>46452966</v>
          </cell>
          <cell r="B350">
            <v>6</v>
          </cell>
          <cell r="C350" t="str">
            <v>AMADOR CALDERON NUBIA MARISOL</v>
          </cell>
          <cell r="D350" t="str">
            <v>CL 23 22 55</v>
          </cell>
          <cell r="E350" t="str">
            <v>3105631358</v>
          </cell>
          <cell r="F350" t="str">
            <v>Paipa</v>
          </cell>
        </row>
        <row r="351">
          <cell r="A351">
            <v>1052408328</v>
          </cell>
          <cell r="B351">
            <v>3</v>
          </cell>
          <cell r="C351" t="str">
            <v>ANAYA CAMACHO NIXON AUGUSTO</v>
          </cell>
        </row>
        <row r="352">
          <cell r="C352" t="str">
            <v>ANGARITA MARTINEZ LUIS ALBERTO</v>
          </cell>
          <cell r="D352" t="str">
            <v>AV AMERICAS 24 - 72</v>
          </cell>
          <cell r="F352" t="str">
            <v>Duitama</v>
          </cell>
        </row>
        <row r="353">
          <cell r="A353">
            <v>9524528</v>
          </cell>
          <cell r="B353">
            <v>9</v>
          </cell>
          <cell r="C353" t="str">
            <v>AREVALO PIÑEROS WILLIAM ISAURO</v>
          </cell>
          <cell r="D353" t="str">
            <v>CL 26 22 31</v>
          </cell>
          <cell r="E353" t="str">
            <v>3208412466</v>
          </cell>
          <cell r="F353" t="str">
            <v>Paipa</v>
          </cell>
        </row>
        <row r="354">
          <cell r="A354">
            <v>52972844</v>
          </cell>
          <cell r="C354" t="str">
            <v>ARIAS PEREZ YURY ALEXANDRA</v>
          </cell>
          <cell r="D354" t="str">
            <v>CR 38 SUR K 72K 50</v>
          </cell>
          <cell r="E354" t="str">
            <v>3134189031</v>
          </cell>
          <cell r="F354" t="str">
            <v>Bogota D.C.</v>
          </cell>
        </row>
        <row r="355">
          <cell r="A355">
            <v>1053610031</v>
          </cell>
          <cell r="B355">
            <v>1</v>
          </cell>
          <cell r="C355" t="str">
            <v>ARISTIZABAL DIAZ LISETH JOHANA</v>
          </cell>
          <cell r="D355" t="str">
            <v>CL 25 19 134</v>
          </cell>
          <cell r="E355" t="str">
            <v>7850891</v>
          </cell>
          <cell r="F355" t="str">
            <v>Paipa</v>
          </cell>
        </row>
        <row r="356">
          <cell r="A356">
            <v>105361031</v>
          </cell>
          <cell r="B356">
            <v>8</v>
          </cell>
          <cell r="C356" t="str">
            <v>ARISTIZABAL DIAZ LISETH JOHANA</v>
          </cell>
          <cell r="D356" t="str">
            <v>CL 25 20 09</v>
          </cell>
          <cell r="E356" t="str">
            <v>7851448</v>
          </cell>
          <cell r="F356" t="str">
            <v>Paipa</v>
          </cell>
        </row>
        <row r="357">
          <cell r="A357">
            <v>8752058</v>
          </cell>
          <cell r="C357" t="str">
            <v>ARRIETA LEMOS NESTOR EDUARDO</v>
          </cell>
          <cell r="D357" t="str">
            <v>CONDOMINIO EL PARAISO PARCEL B6 VIA DUITAMA EL PANTANO DE VARGAS</v>
          </cell>
          <cell r="E357" t="str">
            <v>5612534095</v>
          </cell>
          <cell r="F357" t="str">
            <v>Duitama</v>
          </cell>
        </row>
        <row r="358">
          <cell r="A358">
            <v>74323677</v>
          </cell>
          <cell r="C358" t="str">
            <v>AVELLA COY LUIS FIDEL</v>
          </cell>
          <cell r="D358" t="str">
            <v>CR 19 17 64</v>
          </cell>
          <cell r="E358" t="str">
            <v>3203220589</v>
          </cell>
          <cell r="F358" t="str">
            <v>Paipa</v>
          </cell>
        </row>
        <row r="359">
          <cell r="A359">
            <v>46683221</v>
          </cell>
          <cell r="B359">
            <v>9</v>
          </cell>
          <cell r="C359" t="str">
            <v>AVELLA NIÑO CATALINA</v>
          </cell>
          <cell r="D359" t="str">
            <v>CL 25 22 73</v>
          </cell>
          <cell r="E359" t="str">
            <v>7852161</v>
          </cell>
          <cell r="F359" t="str">
            <v>Paipa</v>
          </cell>
        </row>
        <row r="360">
          <cell r="A360">
            <v>1053605001</v>
          </cell>
          <cell r="C360" t="str">
            <v>AVELLA OCHOA VICTOR ALFONSO</v>
          </cell>
          <cell r="D360" t="str">
            <v>CHARITE LLANO GRANDE</v>
          </cell>
          <cell r="E360" t="str">
            <v>3204284371</v>
          </cell>
          <cell r="F360" t="str">
            <v>Paipa</v>
          </cell>
        </row>
        <row r="361">
          <cell r="A361">
            <v>74360841</v>
          </cell>
          <cell r="C361" t="str">
            <v>AVELLA OCHOA YIME RICARDO</v>
          </cell>
          <cell r="D361" t="str">
            <v>CL 30 24 H 15 BARRIO EL BOSQUE</v>
          </cell>
          <cell r="E361" t="str">
            <v>3124705068</v>
          </cell>
          <cell r="F361" t="str">
            <v>Paipa</v>
          </cell>
        </row>
        <row r="362">
          <cell r="A362">
            <v>74359038</v>
          </cell>
          <cell r="C362" t="str">
            <v>AVELLANEDA RAMOS DOMINGO</v>
          </cell>
          <cell r="D362" t="str">
            <v>VDA VENTA DE LLANO</v>
          </cell>
          <cell r="E362" t="str">
            <v>3203344226</v>
          </cell>
          <cell r="F362" t="str">
            <v>Paipa</v>
          </cell>
        </row>
        <row r="363">
          <cell r="A363">
            <v>23856303</v>
          </cell>
          <cell r="C363" t="str">
            <v>AVENDAÑO AVELLA NELLY</v>
          </cell>
          <cell r="D363" t="str">
            <v>CR 22 25 44</v>
          </cell>
          <cell r="E363" t="str">
            <v>7853364</v>
          </cell>
          <cell r="F363" t="str">
            <v>Paipa</v>
          </cell>
        </row>
        <row r="364">
          <cell r="A364">
            <v>17110776</v>
          </cell>
          <cell r="B364">
            <v>0</v>
          </cell>
          <cell r="C364" t="str">
            <v>BAQUERO RAMIREZ ALBERTO</v>
          </cell>
          <cell r="D364" t="str">
            <v>CR 9A 107 31</v>
          </cell>
          <cell r="E364" t="str">
            <v>2145150</v>
          </cell>
          <cell r="F364" t="str">
            <v>Bogota D.C.</v>
          </cell>
        </row>
        <row r="365">
          <cell r="A365">
            <v>52221230</v>
          </cell>
          <cell r="B365">
            <v>5</v>
          </cell>
          <cell r="C365" t="str">
            <v>BARINAS CORREDOR NANCY ASTRID</v>
          </cell>
          <cell r="D365" t="str">
            <v>CL 16 14 41  ED PALMA OF 805</v>
          </cell>
          <cell r="E365" t="str">
            <v>7630037</v>
          </cell>
          <cell r="F365" t="str">
            <v>Duitama</v>
          </cell>
        </row>
        <row r="366">
          <cell r="A366">
            <v>1053610469</v>
          </cell>
          <cell r="B366">
            <v>1</v>
          </cell>
          <cell r="C366" t="str">
            <v>BARON DIAZ MARCO ANTONIO</v>
          </cell>
          <cell r="D366" t="str">
            <v>CR 26 28 A 65</v>
          </cell>
          <cell r="E366" t="str">
            <v>3142707921</v>
          </cell>
          <cell r="F366" t="str">
            <v>Paipa</v>
          </cell>
        </row>
        <row r="367">
          <cell r="A367">
            <v>4190178</v>
          </cell>
          <cell r="B367">
            <v>0</v>
          </cell>
          <cell r="C367" t="str">
            <v>BARON TOVAR BALBINO</v>
          </cell>
        </row>
        <row r="368">
          <cell r="A368">
            <v>19265272</v>
          </cell>
          <cell r="B368">
            <v>3</v>
          </cell>
          <cell r="C368" t="str">
            <v>BARRERA EDGAR</v>
          </cell>
        </row>
        <row r="369">
          <cell r="A369">
            <v>19056163</v>
          </cell>
          <cell r="C369" t="str">
            <v>BARRERA JAIME JESUS</v>
          </cell>
        </row>
        <row r="370">
          <cell r="A370">
            <v>79442424</v>
          </cell>
          <cell r="B370">
            <v>3</v>
          </cell>
          <cell r="C370" t="str">
            <v>BARRERA JIMENEZ YINO</v>
          </cell>
          <cell r="D370" t="str">
            <v>DG 15A 99A 30 BL 5 AP 103</v>
          </cell>
          <cell r="E370" t="str">
            <v>7479101</v>
          </cell>
          <cell r="F370" t="str">
            <v>Bogota D.C.</v>
          </cell>
        </row>
        <row r="371">
          <cell r="A371">
            <v>52232677</v>
          </cell>
          <cell r="C371" t="str">
            <v>BARRERA LASSO DIANA MARITZA</v>
          </cell>
          <cell r="D371" t="str">
            <v>CR 22 20 A 38 APTO 602</v>
          </cell>
          <cell r="E371" t="str">
            <v>3138881185</v>
          </cell>
          <cell r="F371" t="str">
            <v>Paipa</v>
          </cell>
        </row>
        <row r="372">
          <cell r="A372">
            <v>4123005</v>
          </cell>
          <cell r="B372">
            <v>1</v>
          </cell>
          <cell r="C372" t="str">
            <v>BARRERA MARTINEZ ISIDORO</v>
          </cell>
          <cell r="D372" t="str">
            <v>CR 9 2 21</v>
          </cell>
          <cell r="E372" t="str">
            <v>3202896070</v>
          </cell>
          <cell r="F372" t="str">
            <v>Tunja</v>
          </cell>
        </row>
        <row r="373">
          <cell r="A373">
            <v>1052400139</v>
          </cell>
          <cell r="C373" t="str">
            <v>BARRERA PEREZ FERNANDO ALVEIRO</v>
          </cell>
          <cell r="D373" t="str">
            <v>CR 1 B 20 38</v>
          </cell>
          <cell r="E373" t="str">
            <v>3204403895</v>
          </cell>
          <cell r="F373" t="str">
            <v>Duitama</v>
          </cell>
        </row>
        <row r="374">
          <cell r="A374">
            <v>1052394477</v>
          </cell>
          <cell r="C374" t="str">
            <v>BARRERA PEREZ JORGE ANDRES</v>
          </cell>
        </row>
        <row r="375">
          <cell r="A375">
            <v>1052380964</v>
          </cell>
          <cell r="C375" t="str">
            <v>BARRETO  LUIS CARLOS</v>
          </cell>
          <cell r="D375" t="str">
            <v>VDA LA TRINIDAD</v>
          </cell>
          <cell r="E375" t="str">
            <v>3118378964</v>
          </cell>
          <cell r="F375" t="str">
            <v>Duitama</v>
          </cell>
        </row>
        <row r="376">
          <cell r="A376">
            <v>4119261</v>
          </cell>
          <cell r="B376">
            <v>3</v>
          </cell>
          <cell r="C376" t="str">
            <v>BAUTISTA CUBILLOS ALVARO</v>
          </cell>
          <cell r="D376" t="str">
            <v>CL 11 6 264</v>
          </cell>
          <cell r="E376" t="str">
            <v>3115015591</v>
          </cell>
          <cell r="F376" t="str">
            <v>Duitama</v>
          </cell>
        </row>
        <row r="377">
          <cell r="A377">
            <v>1053606869</v>
          </cell>
          <cell r="B377">
            <v>9</v>
          </cell>
          <cell r="C377" t="str">
            <v>BAUTISTA MARTINEZ EBER</v>
          </cell>
          <cell r="D377" t="str">
            <v>CL 26 21 54</v>
          </cell>
          <cell r="E377" t="str">
            <v>3115804994</v>
          </cell>
          <cell r="F377" t="str">
            <v>Paipa</v>
          </cell>
        </row>
        <row r="378">
          <cell r="A378">
            <v>1053606869</v>
          </cell>
          <cell r="C378" t="str">
            <v>BAUTISTA RAMIREZ EBER</v>
          </cell>
          <cell r="D378" t="str">
            <v>CL 25 22 40 ED MARIA MERCEDES</v>
          </cell>
          <cell r="F378" t="str">
            <v>Paipa</v>
          </cell>
        </row>
        <row r="379">
          <cell r="A379">
            <v>1053606869</v>
          </cell>
          <cell r="C379" t="str">
            <v>BAUTISTA RAMIREZ EBER</v>
          </cell>
          <cell r="D379" t="str">
            <v>CL 26 21 54</v>
          </cell>
          <cell r="E379" t="str">
            <v>3115804994</v>
          </cell>
          <cell r="F379" t="str">
            <v>Paipa</v>
          </cell>
        </row>
        <row r="380">
          <cell r="A380">
            <v>74130981</v>
          </cell>
          <cell r="C380" t="str">
            <v>BAYONA LEMUS MIGUEL ANGEL</v>
          </cell>
          <cell r="D380" t="str">
            <v>VDA ROMITA</v>
          </cell>
          <cell r="E380" t="str">
            <v>3214578817</v>
          </cell>
          <cell r="F380" t="str">
            <v>Paipa</v>
          </cell>
        </row>
        <row r="381">
          <cell r="A381">
            <v>74381494</v>
          </cell>
          <cell r="B381">
            <v>8</v>
          </cell>
          <cell r="C381" t="str">
            <v>BECERRA BECERRA HENRY DANIEL</v>
          </cell>
          <cell r="D381" t="str">
            <v>VDA QUEBRADA DE BECERRA</v>
          </cell>
          <cell r="E381" t="str">
            <v>3124100472</v>
          </cell>
          <cell r="F381" t="str">
            <v>Duitama</v>
          </cell>
        </row>
        <row r="382">
          <cell r="A382">
            <v>41670074</v>
          </cell>
          <cell r="B382">
            <v>8</v>
          </cell>
          <cell r="C382" t="str">
            <v>BECERRA CARO MARTHA YANETH</v>
          </cell>
          <cell r="D382" t="str">
            <v>CR 22 20A 38 APTO 401</v>
          </cell>
          <cell r="F382" t="str">
            <v>Paipa</v>
          </cell>
        </row>
        <row r="383">
          <cell r="A383">
            <v>74323951</v>
          </cell>
          <cell r="C383" t="str">
            <v>BECERRA ESPEJO JORGE ANSELMO</v>
          </cell>
          <cell r="D383" t="str">
            <v>DIG 23 29 46</v>
          </cell>
          <cell r="E383" t="str">
            <v>3115301489</v>
          </cell>
          <cell r="F383" t="str">
            <v>Paipa</v>
          </cell>
        </row>
        <row r="384">
          <cell r="A384">
            <v>41312862</v>
          </cell>
          <cell r="C384" t="str">
            <v>BECERRA MYRIAM HELENA</v>
          </cell>
        </row>
        <row r="385">
          <cell r="A385">
            <v>1052392097</v>
          </cell>
          <cell r="B385">
            <v>5</v>
          </cell>
          <cell r="C385" t="str">
            <v>BECERRA PEDRAZA EDGAR ANDRES</v>
          </cell>
          <cell r="D385" t="str">
            <v>CL 19 A 4 55</v>
          </cell>
          <cell r="E385" t="str">
            <v>3102053609</v>
          </cell>
          <cell r="F385" t="str">
            <v>Duitama</v>
          </cell>
        </row>
        <row r="386">
          <cell r="A386">
            <v>1047632</v>
          </cell>
          <cell r="B386">
            <v>1</v>
          </cell>
          <cell r="C386" t="str">
            <v>BECERRA PEREZ ALVARO</v>
          </cell>
          <cell r="F386" t="str">
            <v>Duitama</v>
          </cell>
        </row>
        <row r="387">
          <cell r="A387">
            <v>7221776</v>
          </cell>
          <cell r="B387">
            <v>0</v>
          </cell>
          <cell r="C387" t="str">
            <v>BECERRA RAMIREZ JOSE DANIEL</v>
          </cell>
          <cell r="D387" t="str">
            <v>VDA QUEBRADA DE BECERRAS</v>
          </cell>
          <cell r="E387" t="str">
            <v>31036421766</v>
          </cell>
          <cell r="F387" t="str">
            <v>Duitama</v>
          </cell>
        </row>
        <row r="388">
          <cell r="A388">
            <v>7222425</v>
          </cell>
          <cell r="C388" t="str">
            <v>BECERRA RAMIREZ JOSE FRANCISCO</v>
          </cell>
          <cell r="D388" t="str">
            <v>QUEBRADA DE BECERRAS</v>
          </cell>
          <cell r="E388" t="str">
            <v>3125550686</v>
          </cell>
          <cell r="F388" t="str">
            <v>Paipa</v>
          </cell>
        </row>
        <row r="389">
          <cell r="A389">
            <v>7222071</v>
          </cell>
          <cell r="C389" t="str">
            <v>BECERRA RAMIREZ JOSE SILVINO</v>
          </cell>
          <cell r="D389" t="str">
            <v>VDA QUEBRADA DE BECERRA</v>
          </cell>
          <cell r="E389" t="str">
            <v>3107360090</v>
          </cell>
          <cell r="F389" t="str">
            <v>Duitama</v>
          </cell>
        </row>
        <row r="390">
          <cell r="A390">
            <v>1007475459</v>
          </cell>
          <cell r="C390" t="str">
            <v>BECERRA RUIZ JOSE MIGUEL</v>
          </cell>
          <cell r="D390" t="str">
            <v>CL 18 21 73</v>
          </cell>
          <cell r="E390" t="str">
            <v>3123248277</v>
          </cell>
          <cell r="F390" t="str">
            <v>Paipa</v>
          </cell>
        </row>
        <row r="391">
          <cell r="A391">
            <v>74323613</v>
          </cell>
          <cell r="B391">
            <v>0</v>
          </cell>
          <cell r="C391" t="str">
            <v>BECERRA SANTIAGO</v>
          </cell>
        </row>
        <row r="392">
          <cell r="A392">
            <v>7219763</v>
          </cell>
          <cell r="B392">
            <v>9</v>
          </cell>
          <cell r="C392" t="str">
            <v>BECERRA SOSA JOSE RAFAEL</v>
          </cell>
          <cell r="D392" t="str">
            <v>VDA QUEBRADA DE BECERRAS</v>
          </cell>
          <cell r="F392" t="str">
            <v>Duitama</v>
          </cell>
        </row>
        <row r="393">
          <cell r="A393">
            <v>7227957</v>
          </cell>
          <cell r="C393" t="str">
            <v>BECERRA VALDERRAMA GERARDO</v>
          </cell>
          <cell r="D393" t="str">
            <v>VEREDA QUEBRADA BECERRAS</v>
          </cell>
          <cell r="E393" t="str">
            <v>3208997782</v>
          </cell>
          <cell r="F393" t="str">
            <v>Duitama</v>
          </cell>
        </row>
        <row r="394">
          <cell r="A394">
            <v>4136432</v>
          </cell>
          <cell r="B394">
            <v>8</v>
          </cell>
          <cell r="C394" t="str">
            <v>BECERRA VELANDIA EDGAR ORLANDO</v>
          </cell>
          <cell r="D394" t="str">
            <v>CL 19 A INT 5 BRR MANZANAREZ</v>
          </cell>
          <cell r="E394" t="str">
            <v>7618070</v>
          </cell>
          <cell r="F394" t="str">
            <v>Duitama</v>
          </cell>
        </row>
        <row r="395">
          <cell r="A395">
            <v>39716241</v>
          </cell>
          <cell r="B395">
            <v>4</v>
          </cell>
          <cell r="C395" t="str">
            <v>BEJARANO ACOSTA MARIA ROSALBINA</v>
          </cell>
          <cell r="D395" t="str">
            <v>AV CIRCUNVALAR 10 208</v>
          </cell>
          <cell r="E395" t="str">
            <v>7620611</v>
          </cell>
          <cell r="F395" t="str">
            <v>Duitama</v>
          </cell>
        </row>
        <row r="396">
          <cell r="A396">
            <v>40375153</v>
          </cell>
          <cell r="B396">
            <v>3</v>
          </cell>
          <cell r="C396" t="str">
            <v>BELTRAN CRUZ MARIA NELCY</v>
          </cell>
          <cell r="D396" t="str">
            <v>CR 19 16 57</v>
          </cell>
          <cell r="E396" t="str">
            <v>3046328801</v>
          </cell>
          <cell r="F396" t="str">
            <v>Duitama</v>
          </cell>
        </row>
        <row r="397">
          <cell r="A397">
            <v>23854180</v>
          </cell>
          <cell r="C397" t="str">
            <v>BENITEZ DE VASQUEZ LUZ ANGELA</v>
          </cell>
        </row>
        <row r="398">
          <cell r="A398">
            <v>7222482</v>
          </cell>
          <cell r="C398" t="str">
            <v>BERNAL COLMENARES CARLOS ARTURO</v>
          </cell>
          <cell r="D398" t="str">
            <v>VEREDA CRUZ DE BONZA</v>
          </cell>
          <cell r="E398" t="str">
            <v>3112261062</v>
          </cell>
          <cell r="F398" t="str">
            <v>Paipa</v>
          </cell>
        </row>
        <row r="399">
          <cell r="A399">
            <v>79707752</v>
          </cell>
          <cell r="C399" t="str">
            <v>BLANCO CANTOR EDWIN ANDRES</v>
          </cell>
          <cell r="D399" t="str">
            <v>CR 38 N° 13 129</v>
          </cell>
          <cell r="E399" t="str">
            <v>3102373147</v>
          </cell>
          <cell r="F399" t="str">
            <v>Paipa</v>
          </cell>
        </row>
        <row r="400">
          <cell r="A400">
            <v>41428067</v>
          </cell>
          <cell r="C400" t="str">
            <v>BLANCO RIVERO MARY STELLA</v>
          </cell>
        </row>
        <row r="401">
          <cell r="A401">
            <v>91222813</v>
          </cell>
          <cell r="B401">
            <v>5</v>
          </cell>
          <cell r="C401" t="str">
            <v>BLANCO VALENCIA LUIS GUILLERMO</v>
          </cell>
          <cell r="D401" t="str">
            <v>CL 17 14 23</v>
          </cell>
          <cell r="E401" t="str">
            <v>7651059</v>
          </cell>
          <cell r="F401" t="str">
            <v>Duitama</v>
          </cell>
        </row>
        <row r="402">
          <cell r="A402">
            <v>46681167</v>
          </cell>
          <cell r="B402">
            <v>1</v>
          </cell>
          <cell r="C402" t="str">
            <v>BOLIVAR CRUZ EMILCE</v>
          </cell>
          <cell r="D402" t="str">
            <v>CL 25 22 49</v>
          </cell>
          <cell r="E402" t="str">
            <v>7851709</v>
          </cell>
          <cell r="F402" t="str">
            <v>Paipa</v>
          </cell>
        </row>
        <row r="403">
          <cell r="A403">
            <v>4081531</v>
          </cell>
          <cell r="C403" t="str">
            <v>BOLIVAR NOPE ARMANDO</v>
          </cell>
          <cell r="D403" t="str">
            <v>KM 3 VIA TUNJA A PAIPA VDA SAN ONOFRE</v>
          </cell>
          <cell r="F403" t="str">
            <v>Cómbita</v>
          </cell>
        </row>
        <row r="404">
          <cell r="A404">
            <v>46457860</v>
          </cell>
          <cell r="C404" t="str">
            <v>BOTIA PEÑA LEIDY JOHANA</v>
          </cell>
          <cell r="D404" t="str">
            <v>CRA 20 8 58 APTO 204</v>
          </cell>
          <cell r="E404" t="str">
            <v>7600862</v>
          </cell>
          <cell r="F404" t="str">
            <v>Duitama</v>
          </cell>
        </row>
        <row r="405">
          <cell r="A405">
            <v>4192001</v>
          </cell>
          <cell r="C405" t="str">
            <v>BRAVO TAMAYO CARLOS</v>
          </cell>
        </row>
        <row r="406">
          <cell r="A406">
            <v>23549039</v>
          </cell>
          <cell r="B406">
            <v>8</v>
          </cell>
          <cell r="C406" t="str">
            <v>BRICEÑO DE GUEVARA MARIA DOLORES</v>
          </cell>
          <cell r="D406" t="str">
            <v>CR 16 10 120</v>
          </cell>
          <cell r="E406" t="str">
            <v>7626842</v>
          </cell>
          <cell r="F406" t="str">
            <v>Duitama</v>
          </cell>
        </row>
        <row r="407">
          <cell r="C407" t="str">
            <v>BRIJALDO RAMIREZ MARIA HELENA</v>
          </cell>
          <cell r="D407" t="str">
            <v>CR 12 36 63 APTO 732</v>
          </cell>
          <cell r="E407" t="str">
            <v>3209320674||</v>
          </cell>
          <cell r="F407" t="str">
            <v>Tunja</v>
          </cell>
        </row>
        <row r="408">
          <cell r="A408">
            <v>79819716</v>
          </cell>
          <cell r="B408">
            <v>9</v>
          </cell>
          <cell r="C408" t="str">
            <v>BUSTAMANTE QUINTANA FERNEY</v>
          </cell>
          <cell r="D408" t="str">
            <v>CR 16 12 49</v>
          </cell>
          <cell r="E408" t="str">
            <v>3123422772</v>
          </cell>
          <cell r="F408" t="str">
            <v>Duitama</v>
          </cell>
        </row>
        <row r="409">
          <cell r="A409">
            <v>23928544</v>
          </cell>
          <cell r="C409" t="str">
            <v>CACERES CACERES AMINTA</v>
          </cell>
          <cell r="D409" t="str">
            <v>CL 21 22 13 APTO 604</v>
          </cell>
          <cell r="E409" t="str">
            <v>3142255526</v>
          </cell>
          <cell r="F409" t="str">
            <v>Paipa</v>
          </cell>
        </row>
        <row r="410">
          <cell r="C410" t="str">
            <v>CACERES CACERES GLADYS</v>
          </cell>
          <cell r="D410" t="str">
            <v>CL 21 22 13 APTO 304</v>
          </cell>
          <cell r="E410" t="str">
            <v>3142255526</v>
          </cell>
          <cell r="F410" t="str">
            <v>Paipa</v>
          </cell>
        </row>
        <row r="411">
          <cell r="A411">
            <v>4239340</v>
          </cell>
          <cell r="B411">
            <v>1</v>
          </cell>
          <cell r="C411" t="str">
            <v>CACERES DUARTE JOSE MIGUEL</v>
          </cell>
          <cell r="D411" t="str">
            <v>CL 29 19 61  URB SANTO DOMINGO</v>
          </cell>
          <cell r="E411" t="str">
            <v>32031746102</v>
          </cell>
          <cell r="F411" t="str">
            <v>Duitama</v>
          </cell>
        </row>
        <row r="412">
          <cell r="A412">
            <v>23857672</v>
          </cell>
          <cell r="B412">
            <v>1</v>
          </cell>
          <cell r="C412" t="str">
            <v>CAMACHO JULIA INES</v>
          </cell>
          <cell r="D412" t="str">
            <v>CR 19 25 58</v>
          </cell>
          <cell r="E412" t="str">
            <v>7851523</v>
          </cell>
          <cell r="F412" t="str">
            <v>Paipa</v>
          </cell>
        </row>
        <row r="413">
          <cell r="A413">
            <v>46680873</v>
          </cell>
          <cell r="B413">
            <v>7</v>
          </cell>
          <cell r="C413" t="str">
            <v>CAMACHO NUBIA YANETH</v>
          </cell>
          <cell r="D413" t="str">
            <v>CL  25 22 38</v>
          </cell>
          <cell r="E413" t="str">
            <v>7850468</v>
          </cell>
          <cell r="F413" t="str">
            <v>Paipa</v>
          </cell>
        </row>
        <row r="414">
          <cell r="A414">
            <v>7217326</v>
          </cell>
          <cell r="C414" t="str">
            <v>CAMARGO  ROBERTO NEL</v>
          </cell>
          <cell r="D414" t="str">
            <v>VDA CRUZ DE BONZA</v>
          </cell>
          <cell r="E414" t="str">
            <v>3177421067</v>
          </cell>
          <cell r="F414" t="str">
            <v>Paipa</v>
          </cell>
        </row>
        <row r="415">
          <cell r="C415" t="str">
            <v>CAMARGO ARIAS PEDRO ENRIQUE</v>
          </cell>
          <cell r="D415" t="str">
            <v>CL 137 55 42 TORRE 1 APTO 1205</v>
          </cell>
          <cell r="E415" t="str">
            <v>3232734745</v>
          </cell>
          <cell r="F415" t="str">
            <v>Bogota D.C.</v>
          </cell>
        </row>
        <row r="416">
          <cell r="C416" t="str">
            <v>CAMARGO CAMARGO MIRYAM</v>
          </cell>
          <cell r="D416" t="str">
            <v>CR 111 C 88 15 INT 3 APTO 302 CIUDADELA COLSUBSIDIO</v>
          </cell>
          <cell r="E416" t="str">
            <v>3134187414</v>
          </cell>
          <cell r="F416" t="str">
            <v>Bogota D.C.</v>
          </cell>
        </row>
        <row r="417">
          <cell r="A417">
            <v>46680612</v>
          </cell>
          <cell r="B417">
            <v>1</v>
          </cell>
          <cell r="C417" t="str">
            <v>CAMARGO CUERVO EDDY CRISTINA</v>
          </cell>
          <cell r="D417" t="str">
            <v>CL 23 25 00</v>
          </cell>
          <cell r="E417" t="str">
            <v>3143239509</v>
          </cell>
          <cell r="F417" t="str">
            <v>Paipa</v>
          </cell>
        </row>
        <row r="418">
          <cell r="A418">
            <v>23853741</v>
          </cell>
          <cell r="B418">
            <v>3</v>
          </cell>
          <cell r="C418" t="str">
            <v>CAMARGO DE SALAMANCA ALEJANDRINA</v>
          </cell>
          <cell r="D418" t="str">
            <v>CR 20 19 74</v>
          </cell>
          <cell r="E418" t="str">
            <v>3162065307</v>
          </cell>
          <cell r="F418" t="str">
            <v>Paipa</v>
          </cell>
        </row>
        <row r="419">
          <cell r="A419">
            <v>23857575</v>
          </cell>
          <cell r="C419" t="str">
            <v>CAMARGO ECHEVERRIA BERENICE</v>
          </cell>
          <cell r="D419" t="str">
            <v>CR 22 25 47 LC 203</v>
          </cell>
          <cell r="F419" t="str">
            <v>Paipa</v>
          </cell>
        </row>
        <row r="420">
          <cell r="A420">
            <v>7229352</v>
          </cell>
          <cell r="B420">
            <v>8</v>
          </cell>
          <cell r="C420" t="str">
            <v>CAMARGO HIGUERA MARCO AURELIO</v>
          </cell>
          <cell r="D420" t="str">
            <v>CENTRO DUITAMA</v>
          </cell>
          <cell r="F420" t="str">
            <v>Duitama</v>
          </cell>
        </row>
        <row r="421">
          <cell r="C421" t="str">
            <v>CAMARGO HUERTAS JULIO ALBERTO</v>
          </cell>
        </row>
        <row r="422">
          <cell r="C422" t="str">
            <v>CAMARGO PEDRAZA RAFAEL ALEJANDRO</v>
          </cell>
          <cell r="D422" t="str">
            <v>CL 23 22 45</v>
          </cell>
          <cell r="E422" t="str">
            <v>3164521924</v>
          </cell>
          <cell r="F422" t="str">
            <v>Paipa</v>
          </cell>
        </row>
        <row r="423">
          <cell r="A423">
            <v>7167199</v>
          </cell>
          <cell r="B423">
            <v>1</v>
          </cell>
          <cell r="C423" t="str">
            <v>CAMARGO PUERTO JORGE ALEJANDRO</v>
          </cell>
          <cell r="D423" t="str">
            <v>CL 25 20 49</v>
          </cell>
          <cell r="E423" t="str">
            <v>7851785</v>
          </cell>
          <cell r="F423" t="str">
            <v>Paipa</v>
          </cell>
        </row>
        <row r="424">
          <cell r="A424">
            <v>23552817</v>
          </cell>
          <cell r="B424">
            <v>2</v>
          </cell>
          <cell r="C424" t="str">
            <v>CAMARGO RITA MARIA</v>
          </cell>
          <cell r="D424" t="str">
            <v>CL 15 17 36</v>
          </cell>
          <cell r="E424" t="str">
            <v>7613987</v>
          </cell>
          <cell r="F424" t="str">
            <v>Duitama</v>
          </cell>
        </row>
        <row r="425">
          <cell r="C425" t="str">
            <v>CAMARGO RODRIGUEZ LUZ MARINA</v>
          </cell>
          <cell r="D425" t="str">
            <v>CL 27 15 52 CASA 3 MZ 1 BARRIO EL BOSQUE</v>
          </cell>
          <cell r="E425" t="str">
            <v>3138648449</v>
          </cell>
          <cell r="F425" t="str">
            <v>Paipa</v>
          </cell>
        </row>
        <row r="426">
          <cell r="A426">
            <v>4192525</v>
          </cell>
          <cell r="C426" t="str">
            <v>CAMARGO RUIZ MARDOQUEO</v>
          </cell>
          <cell r="D426" t="str">
            <v>VEREDA CRUZ DE BONZA</v>
          </cell>
          <cell r="E426" t="str">
            <v>3204286412</v>
          </cell>
          <cell r="F426" t="str">
            <v>Paipa</v>
          </cell>
        </row>
        <row r="427">
          <cell r="A427">
            <v>40012642</v>
          </cell>
          <cell r="B427">
            <v>6</v>
          </cell>
          <cell r="C427" t="str">
            <v>CARDENAS CASTELBLANCO NIDIA MARLEN</v>
          </cell>
          <cell r="E427" t="str">
            <v>3108561992</v>
          </cell>
          <cell r="F427" t="str">
            <v>Paipa</v>
          </cell>
        </row>
        <row r="428">
          <cell r="A428">
            <v>74187713</v>
          </cell>
          <cell r="C428" t="str">
            <v>CARDENAS MEDINA FABIAN ORLANDO</v>
          </cell>
          <cell r="D428" t="str">
            <v>CL 11 15 09</v>
          </cell>
          <cell r="F428" t="str">
            <v>Sogamoso</v>
          </cell>
        </row>
        <row r="429">
          <cell r="A429">
            <v>46359460</v>
          </cell>
          <cell r="B429">
            <v>4</v>
          </cell>
          <cell r="C429" t="str">
            <v>CARDOZO CARDENAS ROSA EMMA</v>
          </cell>
          <cell r="D429" t="str">
            <v>CL 8 20 30</v>
          </cell>
          <cell r="E429" t="str">
            <v>7622974</v>
          </cell>
          <cell r="F429" t="str">
            <v>Duitama</v>
          </cell>
        </row>
        <row r="430">
          <cell r="C430" t="str">
            <v>CARDOZO SANCHEZ HILDA MARY</v>
          </cell>
          <cell r="D430" t="str">
            <v>AV CALLE 63 N° 73 A 31 APTO 307B</v>
          </cell>
          <cell r="F430" t="str">
            <v>Bogota D.C.</v>
          </cell>
        </row>
        <row r="431">
          <cell r="A431">
            <v>41774119</v>
          </cell>
          <cell r="B431">
            <v>8</v>
          </cell>
          <cell r="C431" t="str">
            <v>CARMONA DAZA GLORIA PATRICIA</v>
          </cell>
        </row>
        <row r="432">
          <cell r="C432" t="str">
            <v>CARO PUENTES PAOLA ANDREA</v>
          </cell>
          <cell r="D432" t="str">
            <v>CL 19 30 72 TO 15 AP 202</v>
          </cell>
          <cell r="E432" t="str">
            <v>3142705656</v>
          </cell>
          <cell r="F432" t="str">
            <v>Duitama</v>
          </cell>
        </row>
        <row r="433">
          <cell r="A433">
            <v>37943663</v>
          </cell>
          <cell r="B433">
            <v>4</v>
          </cell>
          <cell r="C433" t="str">
            <v>CARVAJAL ARAQUE NOEMI</v>
          </cell>
          <cell r="D433" t="str">
            <v>CR 25 19 36</v>
          </cell>
          <cell r="E433" t="str">
            <v>7850016</v>
          </cell>
          <cell r="F433" t="str">
            <v>Paipa</v>
          </cell>
        </row>
        <row r="434">
          <cell r="A434">
            <v>40030917</v>
          </cell>
          <cell r="B434">
            <v>2</v>
          </cell>
          <cell r="C434" t="str">
            <v>CASALLAS QUIJANO ROSA AURA</v>
          </cell>
          <cell r="D434" t="str">
            <v>CR 19 14 73</v>
          </cell>
          <cell r="E434" t="str">
            <v>3112073301</v>
          </cell>
          <cell r="F434" t="str">
            <v>Duitama</v>
          </cell>
        </row>
        <row r="435">
          <cell r="A435">
            <v>4277308</v>
          </cell>
          <cell r="B435">
            <v>7</v>
          </cell>
          <cell r="C435" t="str">
            <v>CASTIBLANCO TORRES RAUL OSVALDO</v>
          </cell>
          <cell r="D435" t="str">
            <v>CL 6 6 24 P 2</v>
          </cell>
          <cell r="E435" t="str">
            <v>3142094286</v>
          </cell>
          <cell r="F435" t="str">
            <v>Tibasosa</v>
          </cell>
        </row>
        <row r="436">
          <cell r="A436">
            <v>46361078</v>
          </cell>
          <cell r="B436">
            <v>1</v>
          </cell>
          <cell r="C436" t="str">
            <v>CASTILLO NIÑO MARIA OFELIA</v>
          </cell>
          <cell r="D436" t="str">
            <v>CL 13 18 32</v>
          </cell>
          <cell r="E436" t="str">
            <v>3202776175</v>
          </cell>
          <cell r="F436" t="str">
            <v>Duitama</v>
          </cell>
        </row>
        <row r="437">
          <cell r="A437">
            <v>91216727</v>
          </cell>
          <cell r="B437">
            <v>5</v>
          </cell>
          <cell r="C437" t="str">
            <v>CASTILLO PEREZ LUIS EDUARDO</v>
          </cell>
          <cell r="D437" t="str">
            <v>KM 7 VIA PIEDECUESTA</v>
          </cell>
          <cell r="F437" t="str">
            <v>Piedecuesta</v>
          </cell>
        </row>
        <row r="438">
          <cell r="A438">
            <v>41949297</v>
          </cell>
          <cell r="C438" t="str">
            <v>CASTRILLON JENNY</v>
          </cell>
          <cell r="D438" t="str">
            <v>CL 130 45 63</v>
          </cell>
          <cell r="E438" t="str">
            <v>2583872</v>
          </cell>
          <cell r="F438" t="str">
            <v>Bogota D.C.</v>
          </cell>
        </row>
        <row r="439">
          <cell r="A439">
            <v>1052385101</v>
          </cell>
          <cell r="C439" t="str">
            <v>CASTRO BAEZ RAUL ALFREDO</v>
          </cell>
          <cell r="D439" t="str">
            <v>CRA 1A 17 24</v>
          </cell>
          <cell r="E439" t="str">
            <v>3112638560</v>
          </cell>
          <cell r="F439" t="str">
            <v>Duitama</v>
          </cell>
        </row>
        <row r="440">
          <cell r="A440">
            <v>1053609625</v>
          </cell>
          <cell r="C440" t="str">
            <v>CASTRO CAMARGO NELSON</v>
          </cell>
          <cell r="D440" t="str">
            <v>CL 25 26 93</v>
          </cell>
          <cell r="E440" t="str">
            <v>3205631385</v>
          </cell>
          <cell r="F440" t="str">
            <v>Paipa</v>
          </cell>
        </row>
        <row r="441">
          <cell r="A441">
            <v>7218116</v>
          </cell>
          <cell r="C441" t="str">
            <v>CASTRO DIAZ CARLOS</v>
          </cell>
          <cell r="D441" t="str">
            <v>CL 9 B 6 80</v>
          </cell>
          <cell r="E441" t="str">
            <v>3118582563</v>
          </cell>
          <cell r="F441" t="str">
            <v>Duitama</v>
          </cell>
        </row>
        <row r="442">
          <cell r="A442">
            <v>7229578</v>
          </cell>
          <cell r="C442" t="str">
            <v>CASTRO DIAZ RAUL ANTONIO</v>
          </cell>
          <cell r="D442" t="str">
            <v>CL 9 6 80</v>
          </cell>
          <cell r="E442" t="str">
            <v>3123886807</v>
          </cell>
          <cell r="F442" t="str">
            <v>Duitama</v>
          </cell>
        </row>
        <row r="443">
          <cell r="A443">
            <v>1053606827</v>
          </cell>
          <cell r="B443">
            <v>1</v>
          </cell>
          <cell r="C443" t="str">
            <v>CASTRO RODRIGUEZ EDGAR AUGUSTO</v>
          </cell>
          <cell r="D443" t="str">
            <v>SEC SITIO EL LAGO</v>
          </cell>
          <cell r="E443" t="str">
            <v>3123609856</v>
          </cell>
          <cell r="F443" t="str">
            <v>Paipa</v>
          </cell>
        </row>
        <row r="444">
          <cell r="A444">
            <v>1072649304</v>
          </cell>
          <cell r="C444" t="str">
            <v>CASTRO SUAREZ DIEGO ALEXANDER</v>
          </cell>
          <cell r="D444" t="str">
            <v>CR 18 22 29</v>
          </cell>
          <cell r="E444" t="str">
            <v>3208442675</v>
          </cell>
          <cell r="F444" t="str">
            <v>Paipa</v>
          </cell>
        </row>
        <row r="445">
          <cell r="A445" t="str">
            <v>especial</v>
          </cell>
          <cell r="B445" t="str">
            <v>de</v>
          </cell>
          <cell r="C445" t="str">
            <v>CASTRO ZAPATA NELSON LUIS</v>
          </cell>
          <cell r="D445" t="str">
            <v>CR 19 35 56</v>
          </cell>
          <cell r="E445" t="str">
            <v>3219584370</v>
          </cell>
          <cell r="F445" t="str">
            <v>Paipa</v>
          </cell>
        </row>
        <row r="446">
          <cell r="A446">
            <v>74130510</v>
          </cell>
          <cell r="B446">
            <v>1</v>
          </cell>
          <cell r="C446" t="str">
            <v>CELY GABRIEL ECHEVERIA</v>
          </cell>
          <cell r="D446" t="str">
            <v>CR 13 24 B 78 BARIO VILLA PANORAMA</v>
          </cell>
          <cell r="E446" t="str">
            <v>3132962253</v>
          </cell>
          <cell r="F446" t="str">
            <v>Paipa</v>
          </cell>
        </row>
        <row r="447">
          <cell r="A447">
            <v>74359094</v>
          </cell>
          <cell r="C447" t="str">
            <v>CEPEDA DIAZ PABLO CESAR</v>
          </cell>
          <cell r="D447" t="str">
            <v>CL 25 22 40 ED MM</v>
          </cell>
          <cell r="E447" t="str">
            <v>3102051660</v>
          </cell>
          <cell r="F447" t="str">
            <v>Paipa</v>
          </cell>
        </row>
        <row r="448">
          <cell r="A448">
            <v>1055226639</v>
          </cell>
          <cell r="C448" t="str">
            <v>CHAPARRO MORENO LUIS ALBERTO</v>
          </cell>
          <cell r="D448" t="str">
            <v>CL 23 C 44 - 12</v>
          </cell>
          <cell r="E448" t="str">
            <v>3115294616</v>
          </cell>
          <cell r="F448" t="str">
            <v>Duitama</v>
          </cell>
        </row>
        <row r="449">
          <cell r="A449">
            <v>1053604989</v>
          </cell>
          <cell r="C449" t="str">
            <v>CHIA DIAZ MARCO ALEJANDRO</v>
          </cell>
        </row>
        <row r="450">
          <cell r="A450">
            <v>4120386</v>
          </cell>
          <cell r="B450">
            <v>7</v>
          </cell>
          <cell r="C450" t="str">
            <v>CHINOME CHINOME JOSE ANTONIO</v>
          </cell>
          <cell r="D450" t="str">
            <v>CR 19 16 04</v>
          </cell>
          <cell r="E450" t="str">
            <v>7629944</v>
          </cell>
          <cell r="F450" t="str">
            <v>Duitama</v>
          </cell>
        </row>
        <row r="451">
          <cell r="A451">
            <v>7219619</v>
          </cell>
          <cell r="B451">
            <v>6</v>
          </cell>
          <cell r="C451" t="str">
            <v>CHIRIVI ANGARITA GUSTAVO</v>
          </cell>
          <cell r="D451" t="str">
            <v>AV LIBERTADORES 26 53</v>
          </cell>
          <cell r="E451" t="str">
            <v>3208014413</v>
          </cell>
          <cell r="F451" t="str">
            <v>Paipa</v>
          </cell>
        </row>
        <row r="452">
          <cell r="A452">
            <v>1052390370</v>
          </cell>
          <cell r="B452">
            <v>2</v>
          </cell>
          <cell r="C452" t="str">
            <v>CHISINO MANOSALVA FABIAN LEONARDO</v>
          </cell>
          <cell r="D452" t="str">
            <v>CL 14 16 36</v>
          </cell>
          <cell r="E452" t="str">
            <v>3138086213</v>
          </cell>
          <cell r="F452" t="str">
            <v>Duitama</v>
          </cell>
        </row>
        <row r="453">
          <cell r="A453">
            <v>7212812</v>
          </cell>
          <cell r="B453">
            <v>1</v>
          </cell>
          <cell r="C453" t="str">
            <v>CIENDUA CRUZ JOSE BERTULFO</v>
          </cell>
          <cell r="D453" t="str">
            <v>CR 19 13 76</v>
          </cell>
          <cell r="E453" t="str">
            <v>7619397</v>
          </cell>
          <cell r="F453" t="str">
            <v>Duitama</v>
          </cell>
        </row>
        <row r="454">
          <cell r="A454">
            <v>13372372</v>
          </cell>
          <cell r="B454">
            <v>8</v>
          </cell>
          <cell r="C454" t="str">
            <v>CLAVIJO NUÑEZ JUAN CARLOS</v>
          </cell>
          <cell r="D454" t="str">
            <v>CR 19 9 15</v>
          </cell>
          <cell r="E454" t="str">
            <v>3115989564</v>
          </cell>
          <cell r="F454" t="str">
            <v>Duitama</v>
          </cell>
        </row>
        <row r="455">
          <cell r="A455">
            <v>1049634802</v>
          </cell>
          <cell r="B455">
            <v>0</v>
          </cell>
          <cell r="C455" t="str">
            <v>CLAVIJO SANGUINO CRISTIAN DANIEL</v>
          </cell>
          <cell r="D455" t="str">
            <v>CR 19 9 51</v>
          </cell>
          <cell r="E455" t="str">
            <v>3208056554</v>
          </cell>
          <cell r="F455" t="str">
            <v>Duitama</v>
          </cell>
        </row>
        <row r="456">
          <cell r="A456">
            <v>1031163215</v>
          </cell>
          <cell r="C456" t="str">
            <v>COBOS GARZON BRAYAN CAMILO</v>
          </cell>
          <cell r="D456" t="str">
            <v>CL 9 6 80</v>
          </cell>
          <cell r="E456" t="str">
            <v>3202029221</v>
          </cell>
          <cell r="F456" t="str">
            <v>Duitama</v>
          </cell>
        </row>
        <row r="457">
          <cell r="A457" t="str">
            <v>de</v>
          </cell>
          <cell r="B457" t="str">
            <v>identificación</v>
          </cell>
          <cell r="C457" t="str">
            <v>COLMENARES PEREA ARGENIS JOSE</v>
          </cell>
          <cell r="D457" t="str">
            <v>JAZMINAL PAIPA</v>
          </cell>
          <cell r="E457" t="str">
            <v>3143040749</v>
          </cell>
          <cell r="F457" t="str">
            <v>Duitama</v>
          </cell>
        </row>
        <row r="458">
          <cell r="A458">
            <v>40030550</v>
          </cell>
          <cell r="B458">
            <v>3</v>
          </cell>
          <cell r="C458" t="str">
            <v>COMBARIZA MARIA YANETH</v>
          </cell>
          <cell r="D458" t="str">
            <v>CL 2A 15A 13 BRR BALCONES DE LA VILLA</v>
          </cell>
          <cell r="E458" t="str">
            <v>3103488107</v>
          </cell>
          <cell r="F458" t="str">
            <v>Tunja</v>
          </cell>
        </row>
        <row r="459">
          <cell r="A459">
            <v>40441708</v>
          </cell>
          <cell r="C459" t="str">
            <v>CONTENTO DIAZ YANIA MELINA</v>
          </cell>
          <cell r="D459" t="str">
            <v>CL 25 21 18 OF 601</v>
          </cell>
          <cell r="E459" t="str">
            <v>3118063164</v>
          </cell>
          <cell r="F459" t="str">
            <v>Paipa</v>
          </cell>
        </row>
        <row r="460">
          <cell r="A460">
            <v>1020839632</v>
          </cell>
          <cell r="C460" t="str">
            <v>CONTRERAS CARDENAS JUAN CAMILO</v>
          </cell>
          <cell r="D460" t="str">
            <v>CR 21 128D 25</v>
          </cell>
          <cell r="E460" t="str">
            <v>3148098367</v>
          </cell>
          <cell r="F460" t="str">
            <v>Bogota D.C.</v>
          </cell>
        </row>
        <row r="461">
          <cell r="A461">
            <v>4052880</v>
          </cell>
          <cell r="B461">
            <v>2</v>
          </cell>
          <cell r="C461" t="str">
            <v>CORDOBA RAFAEL</v>
          </cell>
        </row>
        <row r="462">
          <cell r="A462">
            <v>7172196</v>
          </cell>
          <cell r="B462">
            <v>8</v>
          </cell>
          <cell r="C462" t="str">
            <v>CORREDOR CARLOS</v>
          </cell>
          <cell r="D462" t="str">
            <v>CL 23 17A 83</v>
          </cell>
          <cell r="E462" t="str">
            <v>3153528678</v>
          </cell>
          <cell r="F462" t="str">
            <v>Paipa</v>
          </cell>
        </row>
        <row r="463">
          <cell r="A463">
            <v>23856708</v>
          </cell>
          <cell r="B463">
            <v>3</v>
          </cell>
          <cell r="C463" t="str">
            <v>CORREDOR DIAZ ANA ELVIA</v>
          </cell>
          <cell r="D463" t="str">
            <v>CR 21 23 31</v>
          </cell>
          <cell r="E463" t="str">
            <v>3112782017</v>
          </cell>
          <cell r="F463" t="str">
            <v>Paipa</v>
          </cell>
        </row>
        <row r="464">
          <cell r="A464">
            <v>74373794</v>
          </cell>
          <cell r="B464">
            <v>9</v>
          </cell>
          <cell r="C464" t="str">
            <v>CORREDOR IBAÑEZ JUAN CARLOS</v>
          </cell>
          <cell r="D464" t="str">
            <v>CL 11 14 42</v>
          </cell>
          <cell r="E464" t="str">
            <v>3202081868</v>
          </cell>
          <cell r="F464" t="str">
            <v>Duitama</v>
          </cell>
        </row>
        <row r="465">
          <cell r="A465">
            <v>74375905</v>
          </cell>
          <cell r="C465" t="str">
            <v>CORREDOR JUAN PABLO</v>
          </cell>
          <cell r="D465" t="str">
            <v>TV 14 10 53</v>
          </cell>
          <cell r="E465" t="str">
            <v>3214443245</v>
          </cell>
          <cell r="F465" t="str">
            <v>Duitama</v>
          </cell>
        </row>
        <row r="466">
          <cell r="A466">
            <v>74324034</v>
          </cell>
          <cell r="B466">
            <v>0</v>
          </cell>
          <cell r="C466" t="str">
            <v>CORREDOR PEDRAZA EDGAR</v>
          </cell>
          <cell r="D466" t="str">
            <v>CR 22 19 31</v>
          </cell>
          <cell r="E466" t="str">
            <v>3143667829</v>
          </cell>
          <cell r="F466" t="str">
            <v>Paipa</v>
          </cell>
        </row>
        <row r="467">
          <cell r="A467">
            <v>7223582</v>
          </cell>
          <cell r="C467" t="str">
            <v>CORREDOR RIVEROS JOSE MAXIMILIANO</v>
          </cell>
          <cell r="D467" t="str">
            <v>VDA QUEBRADA DE BECERRAS</v>
          </cell>
          <cell r="E467" t="str">
            <v>3202413285</v>
          </cell>
          <cell r="F467" t="str">
            <v>Duitama</v>
          </cell>
        </row>
        <row r="468">
          <cell r="A468">
            <v>1026557583</v>
          </cell>
          <cell r="C468" t="str">
            <v>COY RUSSI ZAMIR ESAU</v>
          </cell>
          <cell r="D468" t="str">
            <v>CR 22 11 A 60 BARRIO LAS DELICIAS</v>
          </cell>
          <cell r="E468" t="str">
            <v>3203686647</v>
          </cell>
          <cell r="F468" t="str">
            <v>Paipa</v>
          </cell>
        </row>
        <row r="469">
          <cell r="A469">
            <v>1052413978</v>
          </cell>
          <cell r="C469" t="str">
            <v>CRUZ CRUZ CARLOS ANDRES</v>
          </cell>
          <cell r="D469" t="str">
            <v>CR 17 6 12</v>
          </cell>
          <cell r="E469" t="str">
            <v>3227266655</v>
          </cell>
          <cell r="F469" t="str">
            <v>Duitama</v>
          </cell>
        </row>
        <row r="470">
          <cell r="A470">
            <v>1100525</v>
          </cell>
          <cell r="B470">
            <v>8</v>
          </cell>
          <cell r="C470" t="str">
            <v>CRUZ PIAMONTE JOSE JACINTO</v>
          </cell>
          <cell r="D470" t="str">
            <v>VDA CENTRO</v>
          </cell>
          <cell r="E470" t="str">
            <v>3132765985</v>
          </cell>
          <cell r="F470" t="str">
            <v>Oicatá</v>
          </cell>
        </row>
        <row r="471">
          <cell r="A471">
            <v>74375732</v>
          </cell>
          <cell r="C471" t="str">
            <v>CUCAITA WILLIAM JAVIER</v>
          </cell>
          <cell r="D471" t="str">
            <v>CL 11 24 181</v>
          </cell>
          <cell r="E471" t="str">
            <v>3142573424</v>
          </cell>
          <cell r="F471" t="str">
            <v>Sogamoso</v>
          </cell>
        </row>
        <row r="472">
          <cell r="A472">
            <v>1052392761</v>
          </cell>
          <cell r="B472">
            <v>8</v>
          </cell>
          <cell r="C472" t="str">
            <v>CUCHIA DIAZ LIZETH VANESSA</v>
          </cell>
          <cell r="D472" t="str">
            <v>CL 17 13 65</v>
          </cell>
          <cell r="E472" t="str">
            <v>3112444425</v>
          </cell>
          <cell r="F472" t="str">
            <v>Duitama</v>
          </cell>
        </row>
        <row r="473">
          <cell r="A473">
            <v>23857436</v>
          </cell>
          <cell r="B473">
            <v>1</v>
          </cell>
          <cell r="C473" t="str">
            <v>CUCUNUBA ERNESTINA SANCHEZ</v>
          </cell>
          <cell r="D473" t="str">
            <v>CR 20 23 81</v>
          </cell>
          <cell r="E473" t="str">
            <v>3137170349</v>
          </cell>
          <cell r="F473" t="str">
            <v>Paipa</v>
          </cell>
        </row>
        <row r="474">
          <cell r="A474">
            <v>1055332675</v>
          </cell>
          <cell r="B474">
            <v>7</v>
          </cell>
          <cell r="C474" t="str">
            <v>CUERVO SUAREZ EDWIN GIOVANY</v>
          </cell>
          <cell r="D474" t="str">
            <v>VDA EL MORAL</v>
          </cell>
          <cell r="E474" t="str">
            <v>3196306761</v>
          </cell>
          <cell r="F474" t="str">
            <v>Sotaquirá</v>
          </cell>
        </row>
        <row r="475">
          <cell r="A475">
            <v>1052390741</v>
          </cell>
          <cell r="C475" t="str">
            <v>CUY MANOSALVA HECTOR MELESIO</v>
          </cell>
          <cell r="D475" t="str">
            <v>CL 16 9 24</v>
          </cell>
          <cell r="E475" t="str">
            <v>3127424581</v>
          </cell>
          <cell r="F475" t="str">
            <v>Duitama</v>
          </cell>
        </row>
        <row r="476">
          <cell r="A476">
            <v>74323653</v>
          </cell>
          <cell r="B476">
            <v>5</v>
          </cell>
          <cell r="C476" t="str">
            <v>DAZA HIGUERA VICTOR JULIO</v>
          </cell>
          <cell r="D476" t="str">
            <v>CR 19 25 29</v>
          </cell>
          <cell r="E476" t="str">
            <v>3116601965</v>
          </cell>
          <cell r="F476" t="str">
            <v>Paipa</v>
          </cell>
        </row>
        <row r="477">
          <cell r="A477">
            <v>1056592712</v>
          </cell>
          <cell r="B477">
            <v>1</v>
          </cell>
          <cell r="C477" t="str">
            <v>DELGADO PRIETO CRISTIAN FERNANDO</v>
          </cell>
          <cell r="D477" t="str">
            <v>CR 20 23 44</v>
          </cell>
          <cell r="E477" t="str">
            <v>3187956738</v>
          </cell>
          <cell r="F477" t="str">
            <v>Paipa</v>
          </cell>
        </row>
        <row r="478">
          <cell r="A478">
            <v>23855940</v>
          </cell>
          <cell r="C478" t="str">
            <v>DIAZ CAMARGO ELDA ENITH</v>
          </cell>
        </row>
        <row r="479">
          <cell r="A479">
            <v>46681140</v>
          </cell>
          <cell r="B479">
            <v>1</v>
          </cell>
          <cell r="C479" t="str">
            <v>DIAZ CLAVIJO EMMA CAROLINA</v>
          </cell>
          <cell r="D479" t="str">
            <v>CL 22 22 58 PISO 2</v>
          </cell>
          <cell r="E479" t="str">
            <v>3114561651</v>
          </cell>
          <cell r="F479" t="str">
            <v>Paipa</v>
          </cell>
        </row>
        <row r="480">
          <cell r="C480" t="str">
            <v>DIAZ DIAZ JOSE MIGUEL</v>
          </cell>
        </row>
        <row r="481">
          <cell r="A481">
            <v>23553519</v>
          </cell>
          <cell r="B481">
            <v>7</v>
          </cell>
          <cell r="C481" t="str">
            <v>DIAZ ESLAVA ELIZABETH DE LAS MERCEDES</v>
          </cell>
          <cell r="D481" t="str">
            <v>CR 17 14 53</v>
          </cell>
          <cell r="E481" t="str">
            <v>7600905</v>
          </cell>
          <cell r="F481" t="str">
            <v>Duitama</v>
          </cell>
        </row>
        <row r="482">
          <cell r="A482">
            <v>74322257</v>
          </cell>
          <cell r="C482" t="str">
            <v>DIAZ FONSECA NEPO</v>
          </cell>
        </row>
        <row r="483">
          <cell r="A483">
            <v>46681225</v>
          </cell>
          <cell r="C483" t="str">
            <v>DIAZ GARCIA MARIA GLADYS</v>
          </cell>
          <cell r="D483" t="str">
            <v>CR 26A 28A 65 BRR SAN FELIPE</v>
          </cell>
          <cell r="E483" t="str">
            <v>3132099890</v>
          </cell>
          <cell r="F483" t="str">
            <v>Paipa</v>
          </cell>
        </row>
        <row r="484">
          <cell r="A484">
            <v>1053611012</v>
          </cell>
          <cell r="C484" t="str">
            <v>DIAZ HILLON JOHAN MANUEL</v>
          </cell>
          <cell r="D484" t="str">
            <v>VDA ROMITA</v>
          </cell>
          <cell r="E484" t="str">
            <v>3105587089</v>
          </cell>
          <cell r="F484" t="str">
            <v>Paipa</v>
          </cell>
        </row>
        <row r="485">
          <cell r="A485">
            <v>700111999</v>
          </cell>
          <cell r="B485">
            <v>8</v>
          </cell>
          <cell r="C485" t="str">
            <v>DIAZ MARIN GEYNER</v>
          </cell>
          <cell r="D485" t="str">
            <v>CL 25 19 24</v>
          </cell>
          <cell r="E485" t="str">
            <v>3203283517</v>
          </cell>
          <cell r="F485" t="str">
            <v>Paipa</v>
          </cell>
        </row>
        <row r="486">
          <cell r="A486">
            <v>1052379781</v>
          </cell>
          <cell r="C486" t="str">
            <v>DIAZ PACHECO DIEGO ALEJANDRO</v>
          </cell>
          <cell r="D486" t="str">
            <v>CL 16 5 95 BRR SANTANDES</v>
          </cell>
          <cell r="E486" t="str">
            <v>3214684597</v>
          </cell>
          <cell r="F486" t="str">
            <v>Duitama</v>
          </cell>
        </row>
        <row r="487">
          <cell r="C487" t="str">
            <v>DIAZ PEDRO MANUEL</v>
          </cell>
          <cell r="D487" t="str">
            <v>CR 23 25 41</v>
          </cell>
          <cell r="E487" t="str">
            <v>3124103852</v>
          </cell>
          <cell r="F487" t="str">
            <v>Paipa</v>
          </cell>
        </row>
        <row r="488">
          <cell r="A488">
            <v>1057572872</v>
          </cell>
          <cell r="B488">
            <v>8</v>
          </cell>
          <cell r="C488" t="str">
            <v>DIAZ PLAZAS PAULA NATHALIA</v>
          </cell>
          <cell r="D488" t="str">
            <v>CL 13 13 27</v>
          </cell>
          <cell r="E488" t="str">
            <v>7604026</v>
          </cell>
          <cell r="F488" t="str">
            <v>Duitama</v>
          </cell>
        </row>
        <row r="489">
          <cell r="A489">
            <v>19231886</v>
          </cell>
          <cell r="B489">
            <v>9</v>
          </cell>
          <cell r="C489" t="str">
            <v>DIAZ TELLEZ MIGUEL ANGEL</v>
          </cell>
          <cell r="D489" t="str">
            <v>AV CARACAS 75 69</v>
          </cell>
          <cell r="E489" t="str">
            <v>3457558</v>
          </cell>
          <cell r="F489" t="str">
            <v>Bogota D.C.</v>
          </cell>
        </row>
        <row r="490">
          <cell r="A490">
            <v>51938876</v>
          </cell>
          <cell r="C490" t="str">
            <v>DURAN RIVERA ANA DIALIDE</v>
          </cell>
        </row>
        <row r="491">
          <cell r="A491">
            <v>9527933</v>
          </cell>
          <cell r="C491" t="str">
            <v>ECHEVERRIA SALAMANCA CARLOS FERNANDO</v>
          </cell>
          <cell r="D491" t="str">
            <v>CR 20 6 45 OF 100</v>
          </cell>
          <cell r="E491" t="str">
            <v>6349636</v>
          </cell>
          <cell r="F491" t="str">
            <v>Yopal</v>
          </cell>
        </row>
        <row r="492">
          <cell r="A492">
            <v>4238511</v>
          </cell>
          <cell r="C492" t="str">
            <v>ESCOBAR DUITAMA JUAN DE JESUS</v>
          </cell>
          <cell r="D492" t="str">
            <v>CR 73A 2A 24</v>
          </cell>
          <cell r="E492" t="str">
            <v>3134189031</v>
          </cell>
        </row>
        <row r="493">
          <cell r="A493">
            <v>71635049</v>
          </cell>
          <cell r="B493">
            <v>4</v>
          </cell>
          <cell r="C493" t="str">
            <v>ESCOBAR VALENCIA CAMILO ARTURO</v>
          </cell>
          <cell r="D493" t="str">
            <v>CL 22 22 58 P 2</v>
          </cell>
          <cell r="E493" t="str">
            <v>3114561651</v>
          </cell>
          <cell r="F493" t="str">
            <v>Paipa</v>
          </cell>
        </row>
        <row r="494">
          <cell r="A494">
            <v>7213708</v>
          </cell>
          <cell r="B494">
            <v>6</v>
          </cell>
          <cell r="C494" t="str">
            <v>ESPEJO CAMARGO JOSE MARIO</v>
          </cell>
          <cell r="D494" t="str">
            <v>CR 20 26 36</v>
          </cell>
          <cell r="E494" t="str">
            <v>7600194</v>
          </cell>
          <cell r="F494" t="str">
            <v>Duitama</v>
          </cell>
        </row>
        <row r="495">
          <cell r="A495">
            <v>21103352</v>
          </cell>
          <cell r="B495">
            <v>7</v>
          </cell>
          <cell r="C495" t="str">
            <v>ESPINOSA SALAMANCA MARIA ILBA</v>
          </cell>
          <cell r="D495" t="str">
            <v>CR 8 0 18</v>
          </cell>
          <cell r="E495" t="str">
            <v>3107762867</v>
          </cell>
          <cell r="F495" t="str">
            <v>Paipa</v>
          </cell>
        </row>
        <row r="496">
          <cell r="A496">
            <v>13956926</v>
          </cell>
          <cell r="B496">
            <v>5</v>
          </cell>
          <cell r="C496" t="str">
            <v>ESPITIA PALOMINO HERMES JOANI</v>
          </cell>
          <cell r="D496" t="str">
            <v>APTO 204 TORRE 7 CON VILLA OLGA</v>
          </cell>
          <cell r="E496" t="str">
            <v>3102232096</v>
          </cell>
          <cell r="F496" t="str">
            <v>Zipaquirá</v>
          </cell>
        </row>
        <row r="497">
          <cell r="A497">
            <v>1019031712</v>
          </cell>
          <cell r="C497" t="str">
            <v>ESTEBAN BECERRA CRISTHIAN HARLEY</v>
          </cell>
          <cell r="D497" t="str">
            <v>CL 29 14 63</v>
          </cell>
          <cell r="E497" t="str">
            <v>3118164700</v>
          </cell>
          <cell r="F497" t="str">
            <v>Paipa</v>
          </cell>
        </row>
        <row r="498">
          <cell r="A498">
            <v>4078952</v>
          </cell>
          <cell r="C498" t="str">
            <v>ESTEPA ALBARRACIN CLAUDIO DE JESUS</v>
          </cell>
        </row>
        <row r="499">
          <cell r="A499">
            <v>7222514</v>
          </cell>
          <cell r="C499" t="str">
            <v>ESTUPIÑAN MESA JORGE EDGAR</v>
          </cell>
          <cell r="D499" t="str">
            <v>TV 29 AV CIRCUNVALAR 14 74</v>
          </cell>
          <cell r="F499" t="str">
            <v>Duitama</v>
          </cell>
        </row>
        <row r="500">
          <cell r="A500">
            <v>1049628255</v>
          </cell>
          <cell r="B500">
            <v>7</v>
          </cell>
          <cell r="C500" t="str">
            <v>FAGUA PORRAS GIMBER FERNANDO</v>
          </cell>
          <cell r="D500" t="str">
            <v>CR 3 ESTE 19 12</v>
          </cell>
          <cell r="E500" t="str">
            <v>3124986414</v>
          </cell>
          <cell r="F500" t="str">
            <v>Tunja</v>
          </cell>
        </row>
        <row r="501">
          <cell r="A501">
            <v>1051588410</v>
          </cell>
          <cell r="B501">
            <v>7</v>
          </cell>
          <cell r="C501" t="str">
            <v>FAGUA PORRAS JHON ARLEY</v>
          </cell>
          <cell r="D501" t="str">
            <v>VDA CENTRO</v>
          </cell>
          <cell r="E501" t="str">
            <v>3203602701</v>
          </cell>
          <cell r="F501" t="str">
            <v>Oicatá</v>
          </cell>
        </row>
        <row r="502">
          <cell r="A502">
            <v>1052389642</v>
          </cell>
          <cell r="C502" t="str">
            <v>FANDIÑO GONZALEZ YENNYFER</v>
          </cell>
          <cell r="F502" t="str">
            <v>Duitama</v>
          </cell>
        </row>
        <row r="503">
          <cell r="A503">
            <v>1053613555</v>
          </cell>
          <cell r="B503">
            <v>0</v>
          </cell>
          <cell r="C503" t="str">
            <v>FARFAN ORTIZ JAVIER ANDRES</v>
          </cell>
          <cell r="D503" t="str">
            <v>CR 17 A 23A 89</v>
          </cell>
          <cell r="E503" t="str">
            <v>3118698004</v>
          </cell>
          <cell r="F503" t="str">
            <v>Paipa</v>
          </cell>
        </row>
        <row r="504">
          <cell r="A504">
            <v>7178995</v>
          </cell>
          <cell r="C504" t="str">
            <v>FONSECA CARLOS DANIEL</v>
          </cell>
        </row>
        <row r="505">
          <cell r="A505">
            <v>18385806</v>
          </cell>
          <cell r="B505">
            <v>7</v>
          </cell>
          <cell r="C505" t="str">
            <v>FONSECA ECHEVERRIA MARCO</v>
          </cell>
          <cell r="D505" t="str">
            <v>AV LIBERTADORES 26A 05</v>
          </cell>
          <cell r="E505" t="str">
            <v>3143972569</v>
          </cell>
          <cell r="F505" t="str">
            <v>Paipa</v>
          </cell>
        </row>
        <row r="506">
          <cell r="A506">
            <v>7212532</v>
          </cell>
          <cell r="B506">
            <v>2</v>
          </cell>
          <cell r="C506" t="str">
            <v>FONSECA NOVA HECTOR ALFONSO</v>
          </cell>
          <cell r="D506" t="str">
            <v>CR 18 19 75</v>
          </cell>
          <cell r="E506" t="str">
            <v>7623709</v>
          </cell>
          <cell r="F506" t="str">
            <v>Duitama</v>
          </cell>
        </row>
        <row r="507">
          <cell r="A507">
            <v>1049615545</v>
          </cell>
          <cell r="B507">
            <v>1</v>
          </cell>
          <cell r="C507" t="str">
            <v>FONSECA OJEDA JUAN SEBASTIAN</v>
          </cell>
          <cell r="D507" t="str">
            <v>KM 3 VIA TUNJA A PAIPA</v>
          </cell>
          <cell r="E507" t="str">
            <v>3112871254</v>
          </cell>
          <cell r="F507" t="str">
            <v>Tunja</v>
          </cell>
        </row>
        <row r="508">
          <cell r="A508">
            <v>74322408</v>
          </cell>
          <cell r="C508" t="str">
            <v>FONSECA PEREZ LUIS RODULFO</v>
          </cell>
          <cell r="D508" t="str">
            <v>VDA CRUZ DE BONZA</v>
          </cell>
          <cell r="E508" t="str">
            <v>3118406608</v>
          </cell>
          <cell r="F508" t="str">
            <v>Paipa</v>
          </cell>
        </row>
        <row r="509">
          <cell r="A509">
            <v>52814494</v>
          </cell>
          <cell r="B509">
            <v>8</v>
          </cell>
          <cell r="C509" t="str">
            <v>FONSECA ROJAS MARIA NANCY</v>
          </cell>
          <cell r="D509" t="str">
            <v>CL 25 13 70</v>
          </cell>
          <cell r="E509" t="str">
            <v>3142561581</v>
          </cell>
          <cell r="F509" t="str">
            <v>Paipa</v>
          </cell>
        </row>
        <row r="510">
          <cell r="A510">
            <v>4288244</v>
          </cell>
          <cell r="C510" t="str">
            <v>FONSECA SOSA JOSE DANIEL</v>
          </cell>
          <cell r="D510" t="str">
            <v>AV LIBERTADORES 5 09</v>
          </cell>
          <cell r="E510" t="str">
            <v>3208292555</v>
          </cell>
          <cell r="F510" t="str">
            <v>Paipa</v>
          </cell>
        </row>
        <row r="511">
          <cell r="A511">
            <v>1053604581</v>
          </cell>
          <cell r="B511">
            <v>4</v>
          </cell>
          <cell r="C511" t="str">
            <v>FONSECA SUESCA DIANA CAROLINA</v>
          </cell>
          <cell r="D511" t="str">
            <v>CL 27 17 21</v>
          </cell>
          <cell r="E511" t="str">
            <v>3115662727</v>
          </cell>
          <cell r="F511" t="str">
            <v>Paipa</v>
          </cell>
        </row>
        <row r="512">
          <cell r="A512">
            <v>74365863</v>
          </cell>
          <cell r="C512" t="str">
            <v>FONSECA VARGAS LUIS CARLOS</v>
          </cell>
          <cell r="D512" t="str">
            <v>CL 11 14 30</v>
          </cell>
          <cell r="E512" t="str">
            <v>3124863585</v>
          </cell>
          <cell r="F512" t="str">
            <v>Paipa</v>
          </cell>
        </row>
        <row r="513">
          <cell r="C513" t="str">
            <v>FORERO SILVA ALVARO</v>
          </cell>
          <cell r="D513" t="str">
            <v>CL 23 13 35</v>
          </cell>
          <cell r="E513" t="str">
            <v>3115081825</v>
          </cell>
          <cell r="F513" t="str">
            <v>Fusagasugá</v>
          </cell>
        </row>
        <row r="514">
          <cell r="C514" t="str">
            <v>FORERO SILVA CARLOS EDUARDO</v>
          </cell>
          <cell r="D514" t="str">
            <v>MOLIVENTO DE LAS VILLAS I MZ 6,CS 17 BARRIO LOS MOLINOS</v>
          </cell>
          <cell r="E514" t="str">
            <v>3104157751</v>
          </cell>
          <cell r="F514" t="str">
            <v>Dosquebradas</v>
          </cell>
        </row>
        <row r="515">
          <cell r="C515" t="str">
            <v>FORERO SILVA MARIA ISABEL</v>
          </cell>
          <cell r="D515" t="str">
            <v>CR 8 61 137 METROPOLIS 2 TORRE 2 APTO 402 CIUDADELA REAL DE MINAS</v>
          </cell>
          <cell r="E515" t="str">
            <v>3108327266</v>
          </cell>
          <cell r="F515" t="str">
            <v>Bucaramanga</v>
          </cell>
        </row>
        <row r="516">
          <cell r="A516">
            <v>1052407516</v>
          </cell>
          <cell r="C516" t="str">
            <v>FUENTES CUY CRISTIAN FABIAN</v>
          </cell>
          <cell r="D516" t="str">
            <v>CR 41 B 19 72</v>
          </cell>
          <cell r="E516" t="str">
            <v>3224812994</v>
          </cell>
          <cell r="F516" t="str">
            <v>Duitama</v>
          </cell>
        </row>
        <row r="517">
          <cell r="A517">
            <v>1052836476</v>
          </cell>
          <cell r="B517">
            <v>0</v>
          </cell>
          <cell r="C517" t="str">
            <v>GAITAN MOLINA BRAINER JOHAN</v>
          </cell>
          <cell r="D517" t="str">
            <v>CL 3 5 57 BRR RINCON DEL CARGUA</v>
          </cell>
          <cell r="E517" t="str">
            <v>3502521839</v>
          </cell>
          <cell r="F517" t="str">
            <v>Duitama</v>
          </cell>
        </row>
        <row r="518">
          <cell r="A518">
            <v>7227560</v>
          </cell>
          <cell r="B518">
            <v>4</v>
          </cell>
          <cell r="C518" t="str">
            <v>GAITAN SARMIENTO LUIS HUMBERTO</v>
          </cell>
          <cell r="D518" t="str">
            <v>CL 3 5 57</v>
          </cell>
          <cell r="E518" t="str">
            <v>3142555709</v>
          </cell>
          <cell r="F518" t="str">
            <v>Duitama</v>
          </cell>
        </row>
        <row r="519">
          <cell r="A519">
            <v>24201675</v>
          </cell>
          <cell r="C519" t="str">
            <v>GALAN JIMENEZ NELLY DEL CARMEN</v>
          </cell>
          <cell r="D519" t="str">
            <v>CL 23 17A 50 BARRIO LAS QUINTAS</v>
          </cell>
          <cell r="E519" t="str">
            <v>3138918186</v>
          </cell>
          <cell r="F519" t="str">
            <v>Paipa</v>
          </cell>
        </row>
        <row r="520">
          <cell r="C520" t="str">
            <v>GALAN JIMENEZ NOHORA YOLANDA</v>
          </cell>
          <cell r="D520" t="str">
            <v>CL 27B 15 14</v>
          </cell>
          <cell r="E520" t="str">
            <v>312479266</v>
          </cell>
          <cell r="F520" t="str">
            <v>Paipa</v>
          </cell>
        </row>
        <row r="521">
          <cell r="A521">
            <v>7213359</v>
          </cell>
          <cell r="B521">
            <v>9</v>
          </cell>
          <cell r="C521" t="str">
            <v>GALINDO ALVAREZ JOSE FRANCISCO</v>
          </cell>
          <cell r="D521" t="str">
            <v>CL 20 19 70</v>
          </cell>
          <cell r="E521" t="str">
            <v>7604017</v>
          </cell>
          <cell r="F521" t="str">
            <v>Duitama</v>
          </cell>
        </row>
        <row r="522">
          <cell r="A522">
            <v>40028126</v>
          </cell>
          <cell r="B522">
            <v>7</v>
          </cell>
          <cell r="C522" t="str">
            <v>GAMA DOZA ROSALBA</v>
          </cell>
          <cell r="D522" t="str">
            <v>CR 14 18 15 BRR EL TOPO</v>
          </cell>
          <cell r="E522" t="str">
            <v>3114750543</v>
          </cell>
          <cell r="F522" t="str">
            <v>Tunja</v>
          </cell>
        </row>
        <row r="523">
          <cell r="A523">
            <v>74323035</v>
          </cell>
          <cell r="B523">
            <v>3</v>
          </cell>
          <cell r="C523" t="str">
            <v>GAMBOA JOSE</v>
          </cell>
          <cell r="D523" t="str">
            <v>PAIPA</v>
          </cell>
          <cell r="E523" t="str">
            <v>3132206211</v>
          </cell>
          <cell r="F523" t="str">
            <v>Paipa</v>
          </cell>
        </row>
        <row r="524">
          <cell r="A524">
            <v>17649998</v>
          </cell>
          <cell r="C524" t="str">
            <v>GARCIA  HECTOR RAMOS</v>
          </cell>
          <cell r="D524" t="str">
            <v>PANTANO DE VARGAS</v>
          </cell>
          <cell r="E524" t="str">
            <v>3104648470</v>
          </cell>
          <cell r="F524" t="str">
            <v>Paipa</v>
          </cell>
        </row>
        <row r="525">
          <cell r="C525" t="str">
            <v>GARCIA NOVOA ALBA ELISABETH</v>
          </cell>
        </row>
        <row r="526">
          <cell r="A526">
            <v>46681794</v>
          </cell>
          <cell r="B526">
            <v>8</v>
          </cell>
          <cell r="C526" t="str">
            <v>GARCIA NOVOA ANDREA DEL PILAR</v>
          </cell>
        </row>
        <row r="527">
          <cell r="A527">
            <v>1053604206</v>
          </cell>
          <cell r="B527">
            <v>7</v>
          </cell>
          <cell r="C527" t="str">
            <v>GARZON GUIO OSCAR</v>
          </cell>
        </row>
        <row r="528">
          <cell r="A528">
            <v>1055314923</v>
          </cell>
          <cell r="B528">
            <v>2</v>
          </cell>
          <cell r="C528" t="str">
            <v>GARZON SIERRA CRISTIAN ORLANDO</v>
          </cell>
          <cell r="D528" t="str">
            <v>VDA SANTA TERESA NOBSA</v>
          </cell>
          <cell r="F528" t="str">
            <v>Paipa</v>
          </cell>
        </row>
        <row r="529">
          <cell r="A529">
            <v>7222844</v>
          </cell>
          <cell r="B529">
            <v>8</v>
          </cell>
          <cell r="C529" t="str">
            <v>GIL CELY JAIRO</v>
          </cell>
          <cell r="D529" t="str">
            <v>CL 16 19 27</v>
          </cell>
          <cell r="E529" t="str">
            <v>7624228</v>
          </cell>
          <cell r="F529" t="str">
            <v>Duitama</v>
          </cell>
        </row>
        <row r="530">
          <cell r="A530">
            <v>23553824</v>
          </cell>
          <cell r="B530">
            <v>9</v>
          </cell>
          <cell r="C530" t="str">
            <v>GOMEZ AGUDELO INES</v>
          </cell>
          <cell r="D530" t="str">
            <v>CR 17 18 32</v>
          </cell>
          <cell r="F530" t="str">
            <v>Duitama</v>
          </cell>
        </row>
        <row r="531">
          <cell r="A531">
            <v>74378941</v>
          </cell>
          <cell r="B531">
            <v>8</v>
          </cell>
          <cell r="C531" t="str">
            <v>GOMEZ BECERRA WILLMER DARIO</v>
          </cell>
          <cell r="D531" t="str">
            <v>CL5 0 18</v>
          </cell>
          <cell r="E531" t="str">
            <v>3133476166</v>
          </cell>
          <cell r="F531" t="str">
            <v>Duitama</v>
          </cell>
        </row>
        <row r="532">
          <cell r="A532">
            <v>1122136535</v>
          </cell>
          <cell r="B532">
            <v>7</v>
          </cell>
          <cell r="C532" t="str">
            <v>GOMEZ DANIELA</v>
          </cell>
          <cell r="D532" t="str">
            <v>CR 20 24 38</v>
          </cell>
          <cell r="F532" t="str">
            <v>Paipa</v>
          </cell>
        </row>
        <row r="533">
          <cell r="C533" t="str">
            <v>GOMEZ DIAZ ALVARO</v>
          </cell>
          <cell r="D533" t="str">
            <v>CR 15 11 55 OF 307 ED ZENTIH</v>
          </cell>
          <cell r="E533" t="str">
            <v>3202714057</v>
          </cell>
          <cell r="F533" t="str">
            <v>Duitama</v>
          </cell>
        </row>
        <row r="534">
          <cell r="A534">
            <v>46662907</v>
          </cell>
          <cell r="B534">
            <v>2</v>
          </cell>
          <cell r="C534" t="str">
            <v>GOMEZ DIAZ BLANCA FLOR</v>
          </cell>
          <cell r="D534" t="str">
            <v>CR 9 19 A 23 AP 703</v>
          </cell>
          <cell r="E534" t="str">
            <v>3102173104</v>
          </cell>
          <cell r="F534" t="str">
            <v>Duitama</v>
          </cell>
        </row>
        <row r="535">
          <cell r="A535">
            <v>23555250</v>
          </cell>
          <cell r="B535">
            <v>0</v>
          </cell>
          <cell r="C535" t="str">
            <v>GOMEZ GARCIA ALICIA DEL CARMEN</v>
          </cell>
          <cell r="D535" t="str">
            <v>CL 14 18 36</v>
          </cell>
          <cell r="E535" t="str">
            <v>7611107</v>
          </cell>
          <cell r="F535" t="str">
            <v>Duitama</v>
          </cell>
        </row>
        <row r="536">
          <cell r="A536">
            <v>1007382589</v>
          </cell>
          <cell r="B536">
            <v>0</v>
          </cell>
          <cell r="C536" t="str">
            <v>GOMEZ GOMEZ KAREN NATALIA</v>
          </cell>
          <cell r="D536" t="str">
            <v>CR 23 27 A 38</v>
          </cell>
          <cell r="E536" t="str">
            <v>3148925547</v>
          </cell>
          <cell r="F536" t="str">
            <v>Paipa</v>
          </cell>
        </row>
        <row r="537">
          <cell r="A537">
            <v>46661822</v>
          </cell>
          <cell r="B537">
            <v>0</v>
          </cell>
          <cell r="C537" t="str">
            <v>GOMEZ HIGUERA LIBIA PAULINA</v>
          </cell>
          <cell r="D537" t="str">
            <v>CL 16 14 46</v>
          </cell>
          <cell r="E537" t="str">
            <v>7602524</v>
          </cell>
          <cell r="F537" t="str">
            <v>Duitama</v>
          </cell>
        </row>
        <row r="538">
          <cell r="A538">
            <v>1052386470</v>
          </cell>
          <cell r="B538">
            <v>5</v>
          </cell>
          <cell r="C538" t="str">
            <v>GOMEZ LARA DIEGO FRANCISCO</v>
          </cell>
          <cell r="D538" t="str">
            <v>CR 19 11 17</v>
          </cell>
          <cell r="E538" t="str">
            <v>3212040516</v>
          </cell>
          <cell r="F538" t="str">
            <v>Duitama</v>
          </cell>
        </row>
        <row r="539">
          <cell r="A539">
            <v>7212963</v>
          </cell>
          <cell r="B539">
            <v>3</v>
          </cell>
          <cell r="C539" t="str">
            <v>GOMEZ LIZARAZO JESUS</v>
          </cell>
          <cell r="D539" t="str">
            <v>CL 9 19 53</v>
          </cell>
          <cell r="E539" t="str">
            <v>7603312</v>
          </cell>
          <cell r="F539" t="str">
            <v>Duitama</v>
          </cell>
        </row>
        <row r="540">
          <cell r="A540">
            <v>88210623</v>
          </cell>
          <cell r="B540">
            <v>1</v>
          </cell>
          <cell r="C540" t="str">
            <v>GOMEZ PARADA WILLIAM OMAR</v>
          </cell>
          <cell r="D540" t="str">
            <v>CL 27 99 70 LC 21</v>
          </cell>
          <cell r="E540" t="str">
            <v>4603525</v>
          </cell>
          <cell r="F540" t="str">
            <v>Bogota D.C.</v>
          </cell>
        </row>
        <row r="541">
          <cell r="A541">
            <v>1053615123</v>
          </cell>
          <cell r="B541">
            <v>1</v>
          </cell>
          <cell r="C541" t="str">
            <v>GOMEZ PATARROYO JHOAN CAMILO</v>
          </cell>
          <cell r="D541" t="str">
            <v>BODEGA CL 19 5 45</v>
          </cell>
          <cell r="E541" t="str">
            <v>3144211191</v>
          </cell>
          <cell r="F541" t="str">
            <v>Moniquirá</v>
          </cell>
        </row>
        <row r="542">
          <cell r="C542" t="str">
            <v>GONZALEZ CUTA ROBERTO</v>
          </cell>
          <cell r="D542" t="str">
            <v>KM 1 VIA PISCINAS</v>
          </cell>
          <cell r="E542" t="str">
            <v>3153171389</v>
          </cell>
          <cell r="F542" t="str">
            <v>Paipa</v>
          </cell>
        </row>
        <row r="543">
          <cell r="A543">
            <v>52321781</v>
          </cell>
          <cell r="C543" t="str">
            <v>GONZALEZ MONTOYA LUZ HELENA</v>
          </cell>
          <cell r="D543" t="str">
            <v>CL 25 20 46</v>
          </cell>
          <cell r="F543" t="str">
            <v>Paipa</v>
          </cell>
        </row>
        <row r="544">
          <cell r="A544">
            <v>7229552</v>
          </cell>
          <cell r="B544">
            <v>4</v>
          </cell>
          <cell r="C544" t="str">
            <v>GONZALEZ RUIZ LUIS HUMBERTO</v>
          </cell>
          <cell r="D544" t="str">
            <v>CR 19 14 45</v>
          </cell>
          <cell r="E544" t="str">
            <v>7613547</v>
          </cell>
          <cell r="F544" t="str">
            <v>Duitama</v>
          </cell>
        </row>
        <row r="545">
          <cell r="A545">
            <v>7219944</v>
          </cell>
          <cell r="B545">
            <v>5</v>
          </cell>
          <cell r="C545" t="str">
            <v>GONZALEZ VIVAS JUAN CARLOS</v>
          </cell>
          <cell r="D545" t="str">
            <v>TV 10 12 53</v>
          </cell>
          <cell r="E545" t="str">
            <v>7601576</v>
          </cell>
          <cell r="F545" t="str">
            <v>Duitama</v>
          </cell>
        </row>
        <row r="546">
          <cell r="C546" t="str">
            <v>GORDILLO JIMENEZ GLORIA IVONNE</v>
          </cell>
          <cell r="D546" t="str">
            <v>CL 75B 100B 35 BOGOTA</v>
          </cell>
          <cell r="E546" t="str">
            <v>3164705220</v>
          </cell>
          <cell r="F546" t="str">
            <v>Bogota D.C.</v>
          </cell>
        </row>
        <row r="547">
          <cell r="A547">
            <v>74322909</v>
          </cell>
          <cell r="B547">
            <v>0</v>
          </cell>
          <cell r="C547" t="str">
            <v>GRANADOS VASQUEZ VICTOR FELIPE</v>
          </cell>
          <cell r="D547" t="str">
            <v>CR 21 25 09 OF 305</v>
          </cell>
          <cell r="E547" t="str">
            <v>3157938449</v>
          </cell>
          <cell r="F547" t="str">
            <v>Paipa</v>
          </cell>
        </row>
        <row r="548">
          <cell r="A548" t="str">
            <v>de</v>
          </cell>
          <cell r="B548" t="str">
            <v>identificación</v>
          </cell>
          <cell r="C548" t="str">
            <v>GREGORY GEAN GRANT</v>
          </cell>
          <cell r="D548" t="str">
            <v>CR 22 20 A 38 APT 302</v>
          </cell>
          <cell r="E548" t="str">
            <v>3202227876</v>
          </cell>
          <cell r="F548" t="str">
            <v>Paipa</v>
          </cell>
        </row>
        <row r="549">
          <cell r="A549">
            <v>4190910</v>
          </cell>
          <cell r="C549" t="str">
            <v>GUATIBONZA HIGUERA JOSE ANTONIO</v>
          </cell>
          <cell r="D549" t="str">
            <v>CR 21 21 79</v>
          </cell>
          <cell r="E549" t="str">
            <v>3164458678</v>
          </cell>
          <cell r="F549" t="str">
            <v>Paipa</v>
          </cell>
        </row>
        <row r="550">
          <cell r="A550">
            <v>74326691</v>
          </cell>
          <cell r="C550" t="str">
            <v>GUERRERO GUERRERO EDGAR DE JESUS</v>
          </cell>
          <cell r="D550" t="str">
            <v>CL 6 2 48</v>
          </cell>
          <cell r="E550" t="str">
            <v>3134182371</v>
          </cell>
          <cell r="F550" t="str">
            <v>Santa Rosa De Viterbo</v>
          </cell>
        </row>
        <row r="551">
          <cell r="A551">
            <v>7210795</v>
          </cell>
          <cell r="B551">
            <v>3</v>
          </cell>
          <cell r="C551" t="str">
            <v>GUEVARA JUAN AGUSTIN</v>
          </cell>
          <cell r="D551" t="str">
            <v>CL 23 19 20</v>
          </cell>
          <cell r="E551" t="str">
            <v>3132526559</v>
          </cell>
          <cell r="F551" t="str">
            <v>Paipa</v>
          </cell>
        </row>
        <row r="552">
          <cell r="A552">
            <v>4119370</v>
          </cell>
          <cell r="C552" t="str">
            <v>GUEZGUAN JOSE PARMENIO</v>
          </cell>
          <cell r="D552" t="str">
            <v>CR 22 22 04</v>
          </cell>
          <cell r="E552" t="str">
            <v>3115916604</v>
          </cell>
          <cell r="F552" t="str">
            <v>Paipa</v>
          </cell>
        </row>
        <row r="553">
          <cell r="A553">
            <v>1002537787</v>
          </cell>
          <cell r="C553" t="str">
            <v>GUEZGUAN PATARROYO YIMY PARMENIO</v>
          </cell>
          <cell r="D553" t="str">
            <v>CIUDADELA INDUSTRIAL</v>
          </cell>
          <cell r="E553" t="str">
            <v>3106451707</v>
          </cell>
          <cell r="F553" t="str">
            <v>Duitama</v>
          </cell>
        </row>
        <row r="554">
          <cell r="A554">
            <v>1053615764</v>
          </cell>
          <cell r="C554" t="str">
            <v>GUIO CIPAGAUTA JEFFERSON ENRIQUE</v>
          </cell>
          <cell r="D554" t="str">
            <v>VEREDA CRUZ DE BONZA</v>
          </cell>
          <cell r="E554" t="str">
            <v>3223141925</v>
          </cell>
          <cell r="F554" t="str">
            <v>Paipa</v>
          </cell>
        </row>
        <row r="555">
          <cell r="A555">
            <v>74360528</v>
          </cell>
          <cell r="C555" t="str">
            <v>GUIO SABOYA CARLOS ARTURO</v>
          </cell>
          <cell r="D555" t="str">
            <v>VDA CRUZ DE BONZA</v>
          </cell>
          <cell r="E555" t="str">
            <v>3115777496</v>
          </cell>
          <cell r="F555" t="str">
            <v>Paipa</v>
          </cell>
        </row>
        <row r="556">
          <cell r="A556">
            <v>52251361</v>
          </cell>
          <cell r="B556">
            <v>1</v>
          </cell>
          <cell r="C556" t="str">
            <v>GUTIERREZ GARCIA MARIA TERESA</v>
          </cell>
          <cell r="D556" t="str">
            <v>CON ALTOS DE SURBA Y BONZA CA A 3</v>
          </cell>
          <cell r="E556" t="str">
            <v>3118278143</v>
          </cell>
          <cell r="F556" t="str">
            <v>Duitama</v>
          </cell>
        </row>
        <row r="557">
          <cell r="A557">
            <v>12532210</v>
          </cell>
          <cell r="C557" t="str">
            <v>GUTIERREZ JIMENEZ JOSE HELIO</v>
          </cell>
          <cell r="D557" t="str">
            <v>CL 175 30 51 APTO 405</v>
          </cell>
          <cell r="E557" t="str">
            <v>3144589595</v>
          </cell>
          <cell r="F557" t="str">
            <v>Bogota D.C.</v>
          </cell>
        </row>
        <row r="558">
          <cell r="A558">
            <v>46452280</v>
          </cell>
          <cell r="B558">
            <v>2</v>
          </cell>
          <cell r="C558" t="str">
            <v>GUZMAN ROJAS CLAUDIA MILENA</v>
          </cell>
          <cell r="D558" t="str">
            <v>cr 19 14 17</v>
          </cell>
          <cell r="E558" t="str">
            <v>3108059140</v>
          </cell>
          <cell r="F558" t="str">
            <v>Paipa</v>
          </cell>
        </row>
        <row r="559">
          <cell r="A559">
            <v>74381782</v>
          </cell>
          <cell r="C559" t="str">
            <v>HERNANDEZ CELY MARIO</v>
          </cell>
          <cell r="D559" t="str">
            <v>VEREDA LA PARROQUIA</v>
          </cell>
          <cell r="E559" t="str">
            <v>3219602005</v>
          </cell>
          <cell r="F559" t="str">
            <v>Duitama</v>
          </cell>
        </row>
        <row r="560">
          <cell r="A560">
            <v>19488252</v>
          </cell>
          <cell r="B560">
            <v>3</v>
          </cell>
          <cell r="C560" t="str">
            <v>HERNANDEZ FLOREZ LUIS JORGE</v>
          </cell>
          <cell r="D560" t="str">
            <v>CR 32A 25B 75</v>
          </cell>
          <cell r="E560" t="str">
            <v>3105633851</v>
          </cell>
          <cell r="F560" t="str">
            <v>Bogota D.C.</v>
          </cell>
        </row>
        <row r="561">
          <cell r="A561">
            <v>1049613851</v>
          </cell>
          <cell r="B561">
            <v>1</v>
          </cell>
          <cell r="C561" t="str">
            <v>HERNANDEZ GOMEZ VICTOR ALFONSO</v>
          </cell>
          <cell r="D561" t="str">
            <v>CR 3 16 A 13</v>
          </cell>
          <cell r="E561" t="str">
            <v>3133232183</v>
          </cell>
          <cell r="F561" t="str">
            <v>Tunja</v>
          </cell>
        </row>
        <row r="562">
          <cell r="A562">
            <v>40027163</v>
          </cell>
          <cell r="B562">
            <v>5</v>
          </cell>
          <cell r="C562" t="str">
            <v>HERNANDEZ MARIN NANCY ROSMERY</v>
          </cell>
          <cell r="D562" t="str">
            <v>CR 18 18 41</v>
          </cell>
          <cell r="E562" t="str">
            <v>7627133</v>
          </cell>
          <cell r="F562" t="str">
            <v>Duitama</v>
          </cell>
        </row>
        <row r="563">
          <cell r="A563">
            <v>3024596</v>
          </cell>
          <cell r="B563">
            <v>2</v>
          </cell>
          <cell r="C563" t="str">
            <v>HERNANDEZ RAUL HERNANDEZ</v>
          </cell>
          <cell r="D563" t="str">
            <v>CONDOMINIO SAUSALITO VIA CAJICA CENTRO CHIA</v>
          </cell>
          <cell r="E563" t="str">
            <v>3147952900</v>
          </cell>
          <cell r="F563" t="str">
            <v>Cajicá</v>
          </cell>
        </row>
        <row r="564">
          <cell r="A564">
            <v>63482886</v>
          </cell>
          <cell r="B564">
            <v>5</v>
          </cell>
          <cell r="C564" t="str">
            <v>HERNANDEZ RODRIGUEZ SONIA MILENA</v>
          </cell>
        </row>
        <row r="565">
          <cell r="A565">
            <v>74322007</v>
          </cell>
          <cell r="B565">
            <v>2</v>
          </cell>
          <cell r="C565" t="str">
            <v>HERNANDEZ RUIZ ISAIAS</v>
          </cell>
          <cell r="D565" t="str">
            <v>CR 23 22B 12</v>
          </cell>
          <cell r="F565" t="str">
            <v>Paipa</v>
          </cell>
        </row>
        <row r="566">
          <cell r="A566">
            <v>74182944</v>
          </cell>
          <cell r="C566" t="str">
            <v>HERNANDEZ SALAZAR GIOVANY</v>
          </cell>
          <cell r="D566" t="str">
            <v>VEREDA CRUZ DE BONZA</v>
          </cell>
          <cell r="E566" t="str">
            <v>3208346749</v>
          </cell>
          <cell r="F566" t="str">
            <v>Paipa</v>
          </cell>
        </row>
        <row r="567">
          <cell r="A567">
            <v>74371185</v>
          </cell>
          <cell r="C567" t="str">
            <v>HERRERA  FRANCISCO JAVIER</v>
          </cell>
          <cell r="D567" t="str">
            <v>VDA QUEBRADA DE BECERRAS</v>
          </cell>
          <cell r="E567" t="str">
            <v>3133097447</v>
          </cell>
          <cell r="F567" t="str">
            <v>Duitama</v>
          </cell>
        </row>
        <row r="568">
          <cell r="C568" t="str">
            <v>HERRERA DELGADO LILIANA MARIA</v>
          </cell>
          <cell r="D568" t="str">
            <v>CR 10 25 61 CASA 9</v>
          </cell>
          <cell r="E568" t="str">
            <v>3156026130</v>
          </cell>
          <cell r="F568" t="str">
            <v>Paipa</v>
          </cell>
        </row>
        <row r="569">
          <cell r="A569">
            <v>1049620281</v>
          </cell>
          <cell r="B569">
            <v>2</v>
          </cell>
          <cell r="C569" t="str">
            <v>HERRERA DELGADO MARIA FERNANDA</v>
          </cell>
          <cell r="D569" t="str">
            <v>CL 25 22 40 CENTRO</v>
          </cell>
          <cell r="E569" t="str">
            <v>3123138309</v>
          </cell>
          <cell r="F569" t="str">
            <v>Paipa</v>
          </cell>
        </row>
        <row r="570">
          <cell r="A570">
            <v>72288832</v>
          </cell>
          <cell r="B570">
            <v>1</v>
          </cell>
          <cell r="C570" t="str">
            <v>HERRERA DELGADO ROBERTO ALEJANDRO</v>
          </cell>
          <cell r="D570" t="str">
            <v>CR 1 ESTE No 72A 36 APTO 502</v>
          </cell>
          <cell r="E570" t="str">
            <v>3007988758</v>
          </cell>
          <cell r="F570" t="str">
            <v>Bogota D.C.</v>
          </cell>
        </row>
        <row r="571">
          <cell r="C571" t="str">
            <v>HERRERA JAIME BEATRIZ</v>
          </cell>
          <cell r="D571" t="str">
            <v>CR 14 109 79 APTO 201</v>
          </cell>
          <cell r="E571" t="str">
            <v>3115332135</v>
          </cell>
          <cell r="F571" t="str">
            <v>Bogota D.C.</v>
          </cell>
        </row>
        <row r="572">
          <cell r="A572">
            <v>4191905</v>
          </cell>
          <cell r="B572">
            <v>3</v>
          </cell>
          <cell r="C572" t="str">
            <v>HERRERA JAIME JORGE ALBERTO</v>
          </cell>
        </row>
        <row r="573">
          <cell r="A573">
            <v>23854940</v>
          </cell>
          <cell r="B573">
            <v>7</v>
          </cell>
          <cell r="C573" t="str">
            <v>HERRERA JAIME MARIA ELVIRA</v>
          </cell>
          <cell r="D573" t="str">
            <v>CR 10 25 61 APTO 701</v>
          </cell>
          <cell r="E573" t="str">
            <v>3135743658</v>
          </cell>
          <cell r="F573" t="str">
            <v>Paipa</v>
          </cell>
        </row>
        <row r="574">
          <cell r="A574">
            <v>4191930</v>
          </cell>
          <cell r="B574">
            <v>8</v>
          </cell>
          <cell r="C574" t="str">
            <v>HERRERA JAIME RICARDO ALFREDO</v>
          </cell>
          <cell r="D574" t="str">
            <v>CALLE 24 N 19-121</v>
          </cell>
          <cell r="E574" t="str">
            <v>3214753292</v>
          </cell>
          <cell r="F574" t="str">
            <v>Paipa</v>
          </cell>
        </row>
        <row r="575">
          <cell r="C575" t="str">
            <v>HERRERA JAIME ROBERTO ANTONIO</v>
          </cell>
          <cell r="D575" t="str">
            <v>CL 21 22 13 APTO 701</v>
          </cell>
          <cell r="E575" t="str">
            <v>3157499830</v>
          </cell>
          <cell r="F575" t="str">
            <v>Paipa</v>
          </cell>
        </row>
        <row r="576">
          <cell r="A576">
            <v>1001817603</v>
          </cell>
          <cell r="B576">
            <v>3</v>
          </cell>
          <cell r="C576" t="str">
            <v>HERRERA KHENAYZIR ANDRES RICARDO</v>
          </cell>
          <cell r="D576" t="str">
            <v>CR 10 25 61</v>
          </cell>
          <cell r="E576" t="str">
            <v>3156007442</v>
          </cell>
          <cell r="F576" t="str">
            <v>Paipa</v>
          </cell>
        </row>
        <row r="577">
          <cell r="A577">
            <v>1053611547</v>
          </cell>
          <cell r="C577" t="str">
            <v>HERRERA KHENAYZIR CAROLINA</v>
          </cell>
          <cell r="D577" t="str">
            <v>CL 17 1B 53</v>
          </cell>
          <cell r="E577" t="str">
            <v>3173787140</v>
          </cell>
          <cell r="F577" t="str">
            <v>Santa Marta</v>
          </cell>
        </row>
        <row r="578">
          <cell r="A578">
            <v>1053609700</v>
          </cell>
          <cell r="B578">
            <v>7</v>
          </cell>
          <cell r="C578" t="str">
            <v>HERRERA KHENAYZIR NATALIA</v>
          </cell>
          <cell r="D578" t="str">
            <v>KM 5 VIA DUITAMA PAIPA</v>
          </cell>
          <cell r="E578" t="str">
            <v>3214753247</v>
          </cell>
          <cell r="F578" t="str">
            <v>Duitama</v>
          </cell>
        </row>
        <row r="579">
          <cell r="A579">
            <v>4232881</v>
          </cell>
          <cell r="C579" t="str">
            <v>HERRERA MARQUEZ WILSON</v>
          </cell>
          <cell r="D579" t="str">
            <v>VDA QUEBRADA DE BECERRAS</v>
          </cell>
          <cell r="E579" t="str">
            <v>3125243200</v>
          </cell>
          <cell r="F579" t="str">
            <v>Duitama</v>
          </cell>
        </row>
        <row r="580">
          <cell r="A580">
            <v>10540627</v>
          </cell>
          <cell r="B580">
            <v>0</v>
          </cell>
          <cell r="C580" t="str">
            <v>HERRERA SAULO EFRAIN</v>
          </cell>
          <cell r="D580" t="str">
            <v>CL 12 19 09</v>
          </cell>
          <cell r="E580" t="str">
            <v>7600198</v>
          </cell>
          <cell r="F580" t="str">
            <v>Duitama</v>
          </cell>
        </row>
        <row r="581">
          <cell r="A581">
            <v>4245722</v>
          </cell>
          <cell r="C581" t="str">
            <v>HIGUERA BAEZ EDILBERTO</v>
          </cell>
          <cell r="D581" t="str">
            <v>CR 16 N° 19 28</v>
          </cell>
          <cell r="E581" t="str">
            <v>7630909</v>
          </cell>
          <cell r="F581" t="str">
            <v>Duitama</v>
          </cell>
        </row>
        <row r="582">
          <cell r="A582">
            <v>33368248</v>
          </cell>
          <cell r="B582">
            <v>1</v>
          </cell>
          <cell r="C582" t="str">
            <v>HIGUERA SOSA LINA ANDREA</v>
          </cell>
          <cell r="D582" t="str">
            <v>AV UNIVERSITARIA 75 00</v>
          </cell>
          <cell r="E582" t="str">
            <v>3165298850</v>
          </cell>
          <cell r="F582" t="str">
            <v>Tunja</v>
          </cell>
        </row>
        <row r="583">
          <cell r="A583">
            <v>1007305375</v>
          </cell>
          <cell r="C583" t="str">
            <v>HOSTOS BECERRA JUAN SEBASTIAN</v>
          </cell>
          <cell r="D583" t="str">
            <v>TOIBITA</v>
          </cell>
          <cell r="E583" t="str">
            <v>3144581924</v>
          </cell>
          <cell r="F583" t="str">
            <v>Paipa</v>
          </cell>
        </row>
        <row r="584">
          <cell r="A584">
            <v>6766780</v>
          </cell>
          <cell r="C584" t="str">
            <v>HURTADO  JAIME</v>
          </cell>
          <cell r="D584" t="str">
            <v>CL 24 27 126</v>
          </cell>
          <cell r="E584" t="str">
            <v>3133982098</v>
          </cell>
          <cell r="F584" t="str">
            <v>Duitama</v>
          </cell>
        </row>
        <row r="585">
          <cell r="A585">
            <v>4002838</v>
          </cell>
          <cell r="C585" t="str">
            <v>HURTADO AMADOR ZORAIDA</v>
          </cell>
          <cell r="D585" t="str">
            <v>PAIPA CENTRO</v>
          </cell>
          <cell r="F585" t="str">
            <v>Paipa</v>
          </cell>
        </row>
        <row r="586">
          <cell r="A586">
            <v>9525199</v>
          </cell>
          <cell r="B586">
            <v>3</v>
          </cell>
          <cell r="C586" t="str">
            <v>IBAÑEZ GOMEZ PEDRO ANTONIO</v>
          </cell>
          <cell r="D586" t="str">
            <v>TV 17 AV SAN MARTIN 20 21</v>
          </cell>
          <cell r="E586" t="str">
            <v>7712474</v>
          </cell>
          <cell r="F586" t="str">
            <v>Sogamoso</v>
          </cell>
        </row>
        <row r="587">
          <cell r="A587">
            <v>27697163</v>
          </cell>
          <cell r="B587">
            <v>1</v>
          </cell>
          <cell r="C587" t="str">
            <v>IBARRA SANCHEZ MARIA BELEN</v>
          </cell>
          <cell r="D587" t="str">
            <v>CL 20 26 03</v>
          </cell>
          <cell r="E587" t="str">
            <v>3213946153</v>
          </cell>
          <cell r="F587" t="str">
            <v>Paipa</v>
          </cell>
        </row>
        <row r="588">
          <cell r="C588" t="str">
            <v>IGNACIO SANCHEZ JUAN</v>
          </cell>
        </row>
        <row r="589">
          <cell r="A589">
            <v>60305364</v>
          </cell>
          <cell r="B589">
            <v>4</v>
          </cell>
          <cell r="C589" t="str">
            <v>JACOME CELI XENIA IBETH</v>
          </cell>
          <cell r="D589" t="str">
            <v>AV CIRCUNVALAR 10 256</v>
          </cell>
          <cell r="E589" t="str">
            <v>7624646</v>
          </cell>
          <cell r="F589" t="str">
            <v>Duitama</v>
          </cell>
        </row>
        <row r="590">
          <cell r="A590">
            <v>23850001</v>
          </cell>
          <cell r="B590">
            <v>8</v>
          </cell>
          <cell r="C590" t="str">
            <v>JAIME DE HERRERA AURA JOSEFA</v>
          </cell>
          <cell r="D590" t="str">
            <v>CL 21 22 13 APTO 701 EDIFICIO EL SENDERO 2</v>
          </cell>
          <cell r="E590" t="str">
            <v>3157499830</v>
          </cell>
          <cell r="F590" t="str">
            <v>Paipa</v>
          </cell>
        </row>
        <row r="591">
          <cell r="A591">
            <v>23554705</v>
          </cell>
          <cell r="B591">
            <v>5</v>
          </cell>
          <cell r="C591" t="str">
            <v>JAIMES HERREÑO DORIS HELENA</v>
          </cell>
          <cell r="D591" t="str">
            <v>CR 16 16 63</v>
          </cell>
          <cell r="F591" t="str">
            <v>Duitama</v>
          </cell>
        </row>
        <row r="592">
          <cell r="A592">
            <v>1049624193</v>
          </cell>
          <cell r="B592">
            <v>0</v>
          </cell>
          <cell r="C592" t="str">
            <v>JOYA ALVARADO WILMER ASDRUBAL</v>
          </cell>
          <cell r="D592" t="str">
            <v>CR 22 25 47 ED SENDEROS DEL PARQUE</v>
          </cell>
          <cell r="E592" t="str">
            <v>3202637920</v>
          </cell>
          <cell r="F592" t="str">
            <v>Paipa</v>
          </cell>
        </row>
        <row r="593">
          <cell r="C593" t="str">
            <v>JOYA FONSECA IRMA MATILDE</v>
          </cell>
          <cell r="D593" t="str">
            <v>CR 22 20A 38 APTO 503</v>
          </cell>
          <cell r="F593" t="str">
            <v>Paipa</v>
          </cell>
        </row>
        <row r="594">
          <cell r="C594" t="str">
            <v>JOYA FONSECA NIDIA</v>
          </cell>
        </row>
        <row r="595">
          <cell r="A595">
            <v>1000001817</v>
          </cell>
          <cell r="C595" t="str">
            <v>JURADO CRUZ OSCAR LEONARDO</v>
          </cell>
          <cell r="D595" t="str">
            <v>CR 7B 9A 90 BRR LOS TANQUES</v>
          </cell>
          <cell r="E595" t="str">
            <v>3234643225</v>
          </cell>
          <cell r="F595" t="str">
            <v>Duitama</v>
          </cell>
        </row>
        <row r="596">
          <cell r="A596">
            <v>32817565</v>
          </cell>
          <cell r="C596" t="str">
            <v>KHENAYZIR ANA DEL CARMEN</v>
          </cell>
        </row>
        <row r="597">
          <cell r="A597">
            <v>32734176</v>
          </cell>
          <cell r="B597">
            <v>4</v>
          </cell>
          <cell r="C597" t="str">
            <v>KHENAYZIR ESPINOSA CHELA</v>
          </cell>
          <cell r="D597" t="str">
            <v>CR 5B  15A 112</v>
          </cell>
          <cell r="E597" t="str">
            <v>312607593</v>
          </cell>
          <cell r="F597" t="str">
            <v>Duitama</v>
          </cell>
        </row>
        <row r="598">
          <cell r="A598">
            <v>32711768</v>
          </cell>
          <cell r="C598" t="str">
            <v>KHENAYZIR ESPINOSA LEILA</v>
          </cell>
        </row>
        <row r="599">
          <cell r="A599">
            <v>72152194</v>
          </cell>
          <cell r="C599" t="str">
            <v>KHENAYZIR JUAN CARLOS</v>
          </cell>
        </row>
        <row r="600">
          <cell r="A600">
            <v>17104421</v>
          </cell>
          <cell r="C600" t="str">
            <v>LEAL QEUVEDO GERMAN</v>
          </cell>
          <cell r="E600" t="str">
            <v>3133803195</v>
          </cell>
          <cell r="F600" t="str">
            <v>Paipa</v>
          </cell>
        </row>
        <row r="601">
          <cell r="A601">
            <v>14896599</v>
          </cell>
          <cell r="C601" t="str">
            <v>LEAL SUESCUN LUIS ENRIQUE</v>
          </cell>
        </row>
        <row r="602">
          <cell r="A602">
            <v>4110963</v>
          </cell>
          <cell r="B602">
            <v>4</v>
          </cell>
          <cell r="C602" t="str">
            <v>LEON CARDENAS JOSE TOBIAS</v>
          </cell>
          <cell r="D602" t="str">
            <v>CR 18 10 62</v>
          </cell>
          <cell r="E602" t="str">
            <v>3108521815</v>
          </cell>
          <cell r="F602" t="str">
            <v>Paipa</v>
          </cell>
        </row>
        <row r="603">
          <cell r="A603">
            <v>80032704</v>
          </cell>
          <cell r="B603">
            <v>5</v>
          </cell>
          <cell r="C603" t="str">
            <v>LEON CUDRADO JOSE FERNANDO</v>
          </cell>
        </row>
        <row r="604">
          <cell r="C604" t="str">
            <v>LISARAZO JOSE RAMIRO</v>
          </cell>
          <cell r="D604" t="str">
            <v>CL 25 20 21</v>
          </cell>
          <cell r="F604" t="str">
            <v>Paipa</v>
          </cell>
        </row>
        <row r="605">
          <cell r="A605">
            <v>1049372986</v>
          </cell>
          <cell r="B605">
            <v>1</v>
          </cell>
          <cell r="C605" t="str">
            <v>LISARAZO MEDINA ASTRID FABIOLA</v>
          </cell>
          <cell r="D605" t="str">
            <v>CL 22 9 44 CC PASEO DE LA SALAMANDRA LC 119</v>
          </cell>
          <cell r="E605" t="str">
            <v>3125765466</v>
          </cell>
          <cell r="F605" t="str">
            <v>Tunja</v>
          </cell>
        </row>
        <row r="606">
          <cell r="A606">
            <v>23855902</v>
          </cell>
          <cell r="B606">
            <v>1</v>
          </cell>
          <cell r="C606" t="str">
            <v>LOPEZ BUITRAGO BLANCA ALCIRA</v>
          </cell>
          <cell r="D606" t="str">
            <v>CR 19 10A 41</v>
          </cell>
          <cell r="E606" t="str">
            <v>7614946</v>
          </cell>
          <cell r="F606" t="str">
            <v>Duitama</v>
          </cell>
        </row>
        <row r="607">
          <cell r="A607">
            <v>46665799</v>
          </cell>
          <cell r="B607">
            <v>7</v>
          </cell>
          <cell r="C607" t="str">
            <v>LOPEZ DIAZ ADRIANA SOFIA</v>
          </cell>
          <cell r="D607" t="str">
            <v>CR 18 13 64</v>
          </cell>
          <cell r="E607" t="str">
            <v>7602788</v>
          </cell>
          <cell r="F607" t="str">
            <v>Duitama</v>
          </cell>
        </row>
        <row r="608">
          <cell r="C608" t="str">
            <v>LOPEZ GOMEZ EDGAR AUGUSTO</v>
          </cell>
          <cell r="D608" t="str">
            <v>PAIPA CENTRO</v>
          </cell>
          <cell r="F608" t="str">
            <v>Paipa</v>
          </cell>
        </row>
        <row r="609">
          <cell r="A609">
            <v>1052389262</v>
          </cell>
          <cell r="B609">
            <v>3</v>
          </cell>
          <cell r="C609" t="str">
            <v>LOPEZ JACOME FABIO ANDRES</v>
          </cell>
          <cell r="D609" t="str">
            <v>CR 22 20 A 38 ED SENDERO 3 APTO 601_x000D_
_x000D_
O 601</v>
          </cell>
          <cell r="E609" t="str">
            <v>3128942615</v>
          </cell>
          <cell r="F609" t="str">
            <v>Duitama</v>
          </cell>
        </row>
        <row r="610">
          <cell r="A610">
            <v>7220008</v>
          </cell>
          <cell r="B610">
            <v>8</v>
          </cell>
          <cell r="C610" t="str">
            <v>LOPEZ LOPEZ LUIS HERNANDO</v>
          </cell>
          <cell r="D610" t="str">
            <v>CR 13 13A 10 P 2</v>
          </cell>
          <cell r="E610" t="str">
            <v>7605416</v>
          </cell>
          <cell r="F610" t="str">
            <v>Duitama</v>
          </cell>
        </row>
        <row r="611">
          <cell r="A611">
            <v>1053607713</v>
          </cell>
          <cell r="B611">
            <v>3</v>
          </cell>
          <cell r="C611" t="str">
            <v>LOPEZ MOLINA DIEGO JAVIER</v>
          </cell>
          <cell r="D611" t="str">
            <v>CR 21 27 21</v>
          </cell>
          <cell r="E611" t="str">
            <v>3102609356</v>
          </cell>
          <cell r="F611" t="str">
            <v>Paipa</v>
          </cell>
        </row>
        <row r="612">
          <cell r="A612">
            <v>1051502546</v>
          </cell>
          <cell r="B612">
            <v>0</v>
          </cell>
          <cell r="C612" t="str">
            <v>LOPEZ PACHON EDWARD CAMILO</v>
          </cell>
          <cell r="D612" t="str">
            <v>CR 42 22 41 LOCAL 9</v>
          </cell>
          <cell r="E612" t="str">
            <v>3106789619</v>
          </cell>
          <cell r="F612" t="str">
            <v>Paipa</v>
          </cell>
        </row>
        <row r="613">
          <cell r="A613">
            <v>1052380977</v>
          </cell>
          <cell r="C613" t="str">
            <v>LUGO CELIS DIANA ADELAIDA</v>
          </cell>
          <cell r="D613" t="str">
            <v>CR 32 A 10 33 BRR BOCHICA</v>
          </cell>
          <cell r="F613" t="str">
            <v>Duitama</v>
          </cell>
        </row>
        <row r="614">
          <cell r="A614">
            <v>1052385411</v>
          </cell>
          <cell r="B614">
            <v>6</v>
          </cell>
          <cell r="C614" t="str">
            <v>LUNA BECERRA GLADYS JUDITH</v>
          </cell>
          <cell r="D614" t="str">
            <v>CR 31A 15 23 BRR VILLA JULIANA</v>
          </cell>
          <cell r="E614" t="str">
            <v>3002794297</v>
          </cell>
          <cell r="F614" t="str">
            <v>Duitama</v>
          </cell>
        </row>
        <row r="615">
          <cell r="A615">
            <v>1057570467</v>
          </cell>
          <cell r="C615" t="str">
            <v>MALPICA GARCIA LUIS ANTONIO</v>
          </cell>
          <cell r="D615" t="str">
            <v>CL 48 A 10 A 132 BRR JUAN JOSE RONDON</v>
          </cell>
          <cell r="E615" t="str">
            <v>3114630570</v>
          </cell>
          <cell r="F615" t="str">
            <v>Sogamoso</v>
          </cell>
        </row>
        <row r="616">
          <cell r="A616">
            <v>4254691</v>
          </cell>
          <cell r="C616" t="str">
            <v>MALPICA HERRERA ADAN</v>
          </cell>
          <cell r="D616" t="str">
            <v>CL 48 A 10A 132</v>
          </cell>
          <cell r="E616" t="str">
            <v>7705230</v>
          </cell>
          <cell r="F616" t="str">
            <v>Sogamoso</v>
          </cell>
        </row>
        <row r="617">
          <cell r="A617">
            <v>1055273924</v>
          </cell>
          <cell r="B617">
            <v>2</v>
          </cell>
          <cell r="C617" t="str">
            <v>MANCIPE MORENO IVETH SOLANYI</v>
          </cell>
          <cell r="D617" t="str">
            <v>CL 5 21 26</v>
          </cell>
          <cell r="E617" t="str">
            <v>3195136277</v>
          </cell>
          <cell r="F617" t="str">
            <v>Duitama</v>
          </cell>
        </row>
        <row r="618">
          <cell r="A618">
            <v>1052380203</v>
          </cell>
          <cell r="B618">
            <v>8</v>
          </cell>
          <cell r="C618" t="str">
            <v>MANRIQUE CARRILLO OSCAR ANDRES</v>
          </cell>
          <cell r="D618" t="str">
            <v>CL 15 16 25 OFC 206</v>
          </cell>
          <cell r="F618" t="str">
            <v>Duitama</v>
          </cell>
        </row>
        <row r="619">
          <cell r="A619">
            <v>19451796</v>
          </cell>
          <cell r="B619">
            <v>8</v>
          </cell>
          <cell r="C619" t="str">
            <v>MANTILLA CAICEDO JOSE VICENTE</v>
          </cell>
          <cell r="D619" t="str">
            <v>CR 16 24A 09</v>
          </cell>
          <cell r="E619" t="str">
            <v>3204737541</v>
          </cell>
          <cell r="F619" t="str">
            <v>Paipa</v>
          </cell>
        </row>
        <row r="620">
          <cell r="A620">
            <v>1193590799</v>
          </cell>
          <cell r="B620">
            <v>8</v>
          </cell>
          <cell r="C620" t="str">
            <v>MARIÑO AGUIRRE JEIFER SANTIAGO</v>
          </cell>
          <cell r="D620" t="str">
            <v>CR 7B  12 51</v>
          </cell>
          <cell r="E620" t="str">
            <v>3183796155</v>
          </cell>
          <cell r="F620" t="str">
            <v>Duitama</v>
          </cell>
        </row>
        <row r="621">
          <cell r="A621">
            <v>7227927</v>
          </cell>
          <cell r="C621" t="str">
            <v>MARIÑO GARCIA PABLO HERNANDO</v>
          </cell>
          <cell r="D621" t="str">
            <v>CL 13 16 28</v>
          </cell>
          <cell r="E621" t="str">
            <v>7620926</v>
          </cell>
          <cell r="F621" t="str">
            <v>Duitama</v>
          </cell>
        </row>
        <row r="622">
          <cell r="A622">
            <v>7226683</v>
          </cell>
          <cell r="C622" t="str">
            <v>MARTINEZ ALVAREZ DIOMEDEZ</v>
          </cell>
          <cell r="D622" t="str">
            <v>VDA LA PRADERA</v>
          </cell>
          <cell r="E622" t="str">
            <v>3112550459</v>
          </cell>
          <cell r="F622" t="str">
            <v>Duitama</v>
          </cell>
        </row>
        <row r="623">
          <cell r="A623">
            <v>74377662</v>
          </cell>
          <cell r="B623">
            <v>3</v>
          </cell>
          <cell r="C623" t="str">
            <v>MARTINEZ LADINO SEBASTIAN</v>
          </cell>
          <cell r="D623" t="str">
            <v>CR 19 10A 48</v>
          </cell>
          <cell r="E623" t="str">
            <v>3204394443</v>
          </cell>
          <cell r="F623" t="str">
            <v>Duitama</v>
          </cell>
        </row>
        <row r="624">
          <cell r="A624">
            <v>23855363</v>
          </cell>
          <cell r="B624">
            <v>1</v>
          </cell>
          <cell r="C624" t="str">
            <v>MARTINEZ NIÑO MIRYAM</v>
          </cell>
          <cell r="D624" t="str">
            <v>AV LIBERTADORES 22 21</v>
          </cell>
          <cell r="E624" t="str">
            <v>7851968</v>
          </cell>
          <cell r="F624" t="str">
            <v>Paipa</v>
          </cell>
        </row>
        <row r="625">
          <cell r="A625">
            <v>19144498</v>
          </cell>
          <cell r="B625">
            <v>1</v>
          </cell>
          <cell r="C625" t="str">
            <v>MARTINEZ PEREZ MANUEL ANTONIO</v>
          </cell>
          <cell r="D625" t="str">
            <v>CR 19 9 66</v>
          </cell>
          <cell r="E625" t="str">
            <v>7601572</v>
          </cell>
          <cell r="F625" t="str">
            <v>Duitama</v>
          </cell>
        </row>
        <row r="626">
          <cell r="C626" t="str">
            <v>MARTINEZ RAMIREZ EUCLIDES</v>
          </cell>
        </row>
        <row r="627">
          <cell r="A627">
            <v>46682532</v>
          </cell>
          <cell r="B627">
            <v>1</v>
          </cell>
          <cell r="C627" t="str">
            <v>MATA PEÑA BLANCA ICENIA</v>
          </cell>
          <cell r="D627" t="str">
            <v>CL 24 19 121 local 111</v>
          </cell>
          <cell r="E627" t="str">
            <v>3102519233</v>
          </cell>
          <cell r="F627" t="str">
            <v>Paipa</v>
          </cell>
        </row>
        <row r="628">
          <cell r="A628">
            <v>1053604352</v>
          </cell>
          <cell r="B628">
            <v>4</v>
          </cell>
          <cell r="C628" t="str">
            <v>MATEUS BENAVIDES JULIA YOLIMA</v>
          </cell>
          <cell r="D628" t="str">
            <v>CL 26 C 17 25</v>
          </cell>
          <cell r="E628" t="str">
            <v>3102384375</v>
          </cell>
          <cell r="F628" t="str">
            <v>Paipa</v>
          </cell>
        </row>
        <row r="629">
          <cell r="A629">
            <v>23855312</v>
          </cell>
          <cell r="B629">
            <v>6</v>
          </cell>
          <cell r="C629" t="str">
            <v>MATEUS JIMENEZ ELSA NUBIA</v>
          </cell>
          <cell r="D629" t="str">
            <v>CL 22 20 73</v>
          </cell>
          <cell r="E629" t="str">
            <v>3204946948</v>
          </cell>
          <cell r="F629" t="str">
            <v>Paipa</v>
          </cell>
        </row>
        <row r="630">
          <cell r="C630" t="str">
            <v>MATEUS NIÑO GLADYS MELBA</v>
          </cell>
        </row>
        <row r="631">
          <cell r="A631">
            <v>23856477</v>
          </cell>
          <cell r="B631">
            <v>7</v>
          </cell>
          <cell r="C631" t="str">
            <v>MATEUS NIÑO OLGA LUCIA</v>
          </cell>
          <cell r="D631" t="str">
            <v>CR 22  20 A  38 APTO 303</v>
          </cell>
          <cell r="F631" t="str">
            <v>Paipa</v>
          </cell>
        </row>
        <row r="632">
          <cell r="A632">
            <v>23853895</v>
          </cell>
          <cell r="C632" t="str">
            <v>MEDINA DE PACHECO DORA HILDA</v>
          </cell>
          <cell r="D632" t="str">
            <v>CR 21 20 07</v>
          </cell>
          <cell r="E632" t="str">
            <v>3125863017</v>
          </cell>
          <cell r="F632" t="str">
            <v>Paipa</v>
          </cell>
        </row>
        <row r="633">
          <cell r="A633">
            <v>7218885</v>
          </cell>
          <cell r="C633" t="str">
            <v>MEDINA GUTIERREZ LUIS IGNACIO</v>
          </cell>
          <cell r="D633" t="str">
            <v>VEREDA TRINIDAD</v>
          </cell>
          <cell r="E633" t="str">
            <v>3144184695</v>
          </cell>
          <cell r="F633" t="str">
            <v>Duitama</v>
          </cell>
        </row>
        <row r="634">
          <cell r="A634">
            <v>4112286</v>
          </cell>
          <cell r="B634">
            <v>5</v>
          </cell>
          <cell r="C634" t="str">
            <v>MEDINA PALACIOS PEDRO MARIA</v>
          </cell>
          <cell r="D634" t="str">
            <v>CR 18 15 71</v>
          </cell>
          <cell r="E634" t="str">
            <v>7605313</v>
          </cell>
          <cell r="F634" t="str">
            <v>Duitama</v>
          </cell>
        </row>
        <row r="635">
          <cell r="A635">
            <v>19055815</v>
          </cell>
          <cell r="C635" t="str">
            <v>MEJIA PORRAS JAIRO</v>
          </cell>
        </row>
        <row r="636">
          <cell r="C636" t="str">
            <v>MENDOZA MOJICA JULIA ZAMIRA</v>
          </cell>
          <cell r="D636" t="str">
            <v>CL 5 3 75 CASA 8</v>
          </cell>
          <cell r="E636" t="str">
            <v>3223274418</v>
          </cell>
          <cell r="F636" t="str">
            <v>Chía</v>
          </cell>
        </row>
        <row r="637">
          <cell r="A637">
            <v>79341901</v>
          </cell>
          <cell r="B637">
            <v>1</v>
          </cell>
          <cell r="C637" t="str">
            <v>MEZA ARANGO LUIS FERNANDO</v>
          </cell>
          <cell r="D637" t="str">
            <v>CL 5 3 75 CASA 8</v>
          </cell>
          <cell r="E637" t="str">
            <v>3223274418</v>
          </cell>
          <cell r="F637" t="str">
            <v>Chía</v>
          </cell>
        </row>
        <row r="638">
          <cell r="A638">
            <v>21022942</v>
          </cell>
          <cell r="B638">
            <v>4</v>
          </cell>
          <cell r="C638" t="str">
            <v>MILLAN AGUDELO GLORIA SOFIA</v>
          </cell>
          <cell r="D638" t="str">
            <v>KM 1 VIA PAIPA-TUNJA VDSA SATIVA</v>
          </cell>
          <cell r="E638" t="str">
            <v>3112222392</v>
          </cell>
          <cell r="F638" t="str">
            <v>Paipa</v>
          </cell>
        </row>
        <row r="639">
          <cell r="A639">
            <v>7228009</v>
          </cell>
          <cell r="B639">
            <v>1</v>
          </cell>
          <cell r="C639" t="str">
            <v>MILLAN NIÑO JORGE HUMBERTO</v>
          </cell>
          <cell r="D639" t="str">
            <v>CR 7 12 40</v>
          </cell>
          <cell r="E639" t="str">
            <v>3138245006</v>
          </cell>
          <cell r="F639" t="str">
            <v>Duitama</v>
          </cell>
        </row>
        <row r="640">
          <cell r="A640">
            <v>39719928</v>
          </cell>
          <cell r="B640">
            <v>9</v>
          </cell>
          <cell r="C640" t="str">
            <v>MIRANDA HERRERA ESPERANZA</v>
          </cell>
          <cell r="D640" t="str">
            <v>CL 14 18 90</v>
          </cell>
          <cell r="E640" t="str">
            <v>7630535</v>
          </cell>
          <cell r="F640" t="str">
            <v>Duitama</v>
          </cell>
        </row>
        <row r="641">
          <cell r="A641">
            <v>41730457</v>
          </cell>
          <cell r="B641">
            <v>3</v>
          </cell>
          <cell r="C641" t="str">
            <v>MOLANO GLORIA CECILIA</v>
          </cell>
          <cell r="D641" t="str">
            <v>AV LIBERTADORES 26 27</v>
          </cell>
          <cell r="E641" t="str">
            <v>3106094611</v>
          </cell>
          <cell r="F641" t="str">
            <v>Paipa</v>
          </cell>
        </row>
        <row r="642">
          <cell r="A642">
            <v>4189658</v>
          </cell>
          <cell r="B642">
            <v>2</v>
          </cell>
          <cell r="C642" t="str">
            <v>MOLANO GRANADOS POLICARPO</v>
          </cell>
          <cell r="D642" t="str">
            <v>CL 6 4 44E</v>
          </cell>
          <cell r="E642" t="str">
            <v>7850060</v>
          </cell>
          <cell r="F642" t="str">
            <v>Paipa</v>
          </cell>
        </row>
        <row r="643">
          <cell r="A643">
            <v>1053611270</v>
          </cell>
          <cell r="C643" t="str">
            <v>MOLINA GUZMAN LEIDY</v>
          </cell>
        </row>
        <row r="644">
          <cell r="A644">
            <v>1026571659</v>
          </cell>
          <cell r="B644">
            <v>8</v>
          </cell>
          <cell r="C644" t="str">
            <v>MONCADA DIAZ HECTOR CAMILO</v>
          </cell>
          <cell r="D644" t="str">
            <v>CR 57 119 A 60 APTO 1503</v>
          </cell>
          <cell r="E644" t="str">
            <v>3108109718</v>
          </cell>
          <cell r="F644" t="str">
            <v>Bogota D.C.</v>
          </cell>
        </row>
        <row r="645">
          <cell r="C645" t="str">
            <v>MORA ARIAS ANDREA VANESA</v>
          </cell>
          <cell r="D645" t="str">
            <v>CR 10 25 61</v>
          </cell>
          <cell r="E645" t="str">
            <v>3128771181</v>
          </cell>
          <cell r="F645" t="str">
            <v>Paipa</v>
          </cell>
        </row>
        <row r="646">
          <cell r="C646" t="str">
            <v>MORA ARIAS DIANA JUANITA</v>
          </cell>
          <cell r="D646" t="str">
            <v>CR 22 N° 25 - 47 OF 301</v>
          </cell>
          <cell r="E646" t="str">
            <v>3128771181</v>
          </cell>
          <cell r="F646" t="str">
            <v>Paipa</v>
          </cell>
        </row>
        <row r="647">
          <cell r="A647">
            <v>17321207</v>
          </cell>
          <cell r="C647" t="str">
            <v>MORA CARLOS HUGO</v>
          </cell>
          <cell r="D647" t="str">
            <v>CR 10 25 60</v>
          </cell>
          <cell r="E647" t="str">
            <v>3128771181</v>
          </cell>
          <cell r="F647" t="str">
            <v>Paipa</v>
          </cell>
        </row>
        <row r="648">
          <cell r="A648">
            <v>74358835</v>
          </cell>
          <cell r="B648">
            <v>1</v>
          </cell>
          <cell r="C648" t="str">
            <v>MORA MATEUS MILTON MAURICIO</v>
          </cell>
          <cell r="D648" t="str">
            <v>CL 25 21 18 OF 301</v>
          </cell>
          <cell r="E648" t="str">
            <v>7850866</v>
          </cell>
          <cell r="F648" t="str">
            <v>Paipa</v>
          </cell>
        </row>
        <row r="649">
          <cell r="A649">
            <v>1052396146</v>
          </cell>
          <cell r="B649">
            <v>6</v>
          </cell>
          <cell r="C649" t="str">
            <v>MORALES MARTINEZ MIGUEL</v>
          </cell>
          <cell r="D649" t="str">
            <v>VDA LA PRADERA SEC LA ESPERANZA</v>
          </cell>
          <cell r="E649" t="str">
            <v>3227353936</v>
          </cell>
          <cell r="F649" t="str">
            <v>Duitama</v>
          </cell>
        </row>
        <row r="650">
          <cell r="A650">
            <v>74358787</v>
          </cell>
          <cell r="B650">
            <v>4</v>
          </cell>
          <cell r="C650" t="str">
            <v>MORALES MOLANO RICARDO</v>
          </cell>
          <cell r="D650" t="str">
            <v>CL 22 23 61</v>
          </cell>
          <cell r="E650" t="str">
            <v>3112592645</v>
          </cell>
          <cell r="F650" t="str">
            <v>Paipa</v>
          </cell>
        </row>
        <row r="651">
          <cell r="A651">
            <v>7217179</v>
          </cell>
          <cell r="C651" t="str">
            <v>MORALES ZAMBRANO EDGAR NORBERTO</v>
          </cell>
        </row>
        <row r="652">
          <cell r="A652">
            <v>46454671</v>
          </cell>
          <cell r="B652">
            <v>8</v>
          </cell>
          <cell r="C652" t="str">
            <v>MORANTES NUÑEZ LUDY MARITZA</v>
          </cell>
          <cell r="D652" t="str">
            <v>CR 23A 21 19</v>
          </cell>
          <cell r="E652" t="str">
            <v>3102479275</v>
          </cell>
          <cell r="F652" t="str">
            <v>Duitama</v>
          </cell>
        </row>
        <row r="653">
          <cell r="A653">
            <v>23853740</v>
          </cell>
          <cell r="C653" t="str">
            <v>MORANTES SANDOVAL CLARA INES</v>
          </cell>
          <cell r="D653" t="str">
            <v>CL 26 22 12</v>
          </cell>
          <cell r="E653" t="str">
            <v>322447563</v>
          </cell>
          <cell r="F653" t="str">
            <v>Paipa</v>
          </cell>
        </row>
        <row r="654">
          <cell r="C654" t="str">
            <v>MORANTES SANDOVAL LUIS ERNESTO</v>
          </cell>
          <cell r="D654" t="str">
            <v>CL 26 22 12</v>
          </cell>
          <cell r="E654" t="str">
            <v>3158509460</v>
          </cell>
          <cell r="F654" t="str">
            <v>Paipa</v>
          </cell>
        </row>
        <row r="655">
          <cell r="A655">
            <v>23854505</v>
          </cell>
          <cell r="C655" t="str">
            <v>MORANTES SANDOVAL MARTA LUCIA</v>
          </cell>
          <cell r="D655" t="str">
            <v>CR 21 7 46 APTO 402 A CONDOMINIO CENTRO REAL TUNJA</v>
          </cell>
          <cell r="E655" t="str">
            <v>3142187313</v>
          </cell>
          <cell r="F655" t="str">
            <v>Tunja</v>
          </cell>
        </row>
        <row r="656">
          <cell r="A656">
            <v>23854330</v>
          </cell>
          <cell r="B656">
            <v>4</v>
          </cell>
          <cell r="C656" t="str">
            <v>MUNEVAR RAMIREZ MARTHA M</v>
          </cell>
          <cell r="D656" t="str">
            <v>CR 19 24 33</v>
          </cell>
          <cell r="E656" t="str">
            <v>7850091</v>
          </cell>
          <cell r="F656" t="str">
            <v>Paipa</v>
          </cell>
        </row>
        <row r="657">
          <cell r="A657">
            <v>19282799</v>
          </cell>
          <cell r="C657" t="str">
            <v>MUÑOZ JOSE FERNANDO</v>
          </cell>
        </row>
        <row r="658">
          <cell r="A658">
            <v>4207697</v>
          </cell>
          <cell r="C658" t="str">
            <v>NARANJO ARDILA JAVIER</v>
          </cell>
          <cell r="D658" t="str">
            <v>CR 23 22 51</v>
          </cell>
          <cell r="F658" t="str">
            <v>Paipa</v>
          </cell>
        </row>
        <row r="659">
          <cell r="A659">
            <v>40040871</v>
          </cell>
          <cell r="B659">
            <v>5</v>
          </cell>
          <cell r="C659" t="str">
            <v>NIÑO AGUILLON NAYIBE</v>
          </cell>
          <cell r="D659" t="str">
            <v>CR 14 18 10</v>
          </cell>
          <cell r="E659" t="str">
            <v>3114628068</v>
          </cell>
          <cell r="F659" t="str">
            <v>Duitama</v>
          </cell>
        </row>
        <row r="660">
          <cell r="A660">
            <v>79946350</v>
          </cell>
          <cell r="C660" t="str">
            <v>NIÑO BENITEZ EDILBERTO</v>
          </cell>
          <cell r="D660" t="str">
            <v>CR 2 185 A 25</v>
          </cell>
          <cell r="E660" t="str">
            <v>3134893976</v>
          </cell>
          <cell r="F660" t="str">
            <v>Bogota D.C.</v>
          </cell>
        </row>
        <row r="661">
          <cell r="A661">
            <v>23856529</v>
          </cell>
          <cell r="C661" t="str">
            <v>NIÑO CAMARGO BENILDA</v>
          </cell>
        </row>
        <row r="662">
          <cell r="A662">
            <v>74360092</v>
          </cell>
          <cell r="C662" t="str">
            <v>NIÑO ORLANDO</v>
          </cell>
        </row>
        <row r="663">
          <cell r="A663">
            <v>79841409</v>
          </cell>
          <cell r="C663" t="str">
            <v>NIÑO ORTIZ MISAEL</v>
          </cell>
          <cell r="D663" t="str">
            <v>CR 18 24B 25 P2</v>
          </cell>
          <cell r="E663" t="str">
            <v>3108128755</v>
          </cell>
          <cell r="F663" t="str">
            <v>Duitama</v>
          </cell>
        </row>
        <row r="664">
          <cell r="A664">
            <v>46667572</v>
          </cell>
          <cell r="B664">
            <v>1</v>
          </cell>
          <cell r="C664" t="str">
            <v>NUÑEZ AVILA PATRICIA</v>
          </cell>
          <cell r="D664" t="str">
            <v>CL 15 16 25 OFC 305</v>
          </cell>
          <cell r="E664" t="str">
            <v>7601011</v>
          </cell>
          <cell r="F664" t="str">
            <v>Duitama</v>
          </cell>
        </row>
        <row r="665">
          <cell r="A665">
            <v>7212487</v>
          </cell>
          <cell r="B665">
            <v>9</v>
          </cell>
          <cell r="C665" t="str">
            <v>OCHOA ARQUIMEDES</v>
          </cell>
          <cell r="D665" t="str">
            <v>CL 25 19 03</v>
          </cell>
          <cell r="E665" t="str">
            <v>7850912</v>
          </cell>
          <cell r="F665" t="str">
            <v>Paipa</v>
          </cell>
        </row>
        <row r="666">
          <cell r="A666">
            <v>1073698854</v>
          </cell>
          <cell r="C666" t="str">
            <v>OCHOA AVILA YOLANDA</v>
          </cell>
          <cell r="D666" t="str">
            <v>CR 18 43-94</v>
          </cell>
          <cell r="E666" t="str">
            <v>3228055931</v>
          </cell>
          <cell r="F666" t="str">
            <v>Paipa</v>
          </cell>
        </row>
        <row r="667">
          <cell r="A667">
            <v>1053616516</v>
          </cell>
          <cell r="C667" t="str">
            <v>OCHOA AVILLA ANGELA PATRICIA</v>
          </cell>
          <cell r="D667" t="str">
            <v>CL 26 16 04</v>
          </cell>
          <cell r="E667" t="str">
            <v>3212127597</v>
          </cell>
          <cell r="F667" t="str">
            <v>Paipa</v>
          </cell>
        </row>
        <row r="668">
          <cell r="A668">
            <v>4119804</v>
          </cell>
          <cell r="C668" t="str">
            <v>OCHOA BARRERA PEDRO ARTURO</v>
          </cell>
          <cell r="D668" t="str">
            <v>CR 12 B 31A  20 VILA JARDIN</v>
          </cell>
          <cell r="E668" t="str">
            <v>3124279167</v>
          </cell>
          <cell r="F668" t="str">
            <v>Paipa</v>
          </cell>
        </row>
        <row r="669">
          <cell r="A669">
            <v>7210827</v>
          </cell>
          <cell r="C669" t="str">
            <v>OCHOA CASTIBLANCO JUAN DE DIOS</v>
          </cell>
        </row>
        <row r="670">
          <cell r="C670" t="str">
            <v>OCHOA DE ALBARRACIN BLANCA SOFIA</v>
          </cell>
        </row>
        <row r="671">
          <cell r="A671">
            <v>1052445385</v>
          </cell>
          <cell r="C671" t="str">
            <v>OCHOA MATEUS ALEJANDRA LIZETH</v>
          </cell>
          <cell r="D671" t="str">
            <v>CL 24 19 121</v>
          </cell>
          <cell r="E671" t="str">
            <v>3133920847</v>
          </cell>
          <cell r="F671" t="str">
            <v>Paipa</v>
          </cell>
        </row>
        <row r="672">
          <cell r="A672">
            <v>1032445385</v>
          </cell>
          <cell r="B672">
            <v>8</v>
          </cell>
          <cell r="C672" t="str">
            <v>OCHOA MATEUS ALEJANDRA LIZETH</v>
          </cell>
          <cell r="D672" t="str">
            <v>CL 22 20 73</v>
          </cell>
          <cell r="E672" t="str">
            <v>3133920847</v>
          </cell>
          <cell r="F672" t="str">
            <v>Paipa</v>
          </cell>
        </row>
        <row r="673">
          <cell r="C673" t="str">
            <v>OCHOA MATEUS MARIA FERNANDA</v>
          </cell>
          <cell r="D673" t="str">
            <v>CL 22 20 73</v>
          </cell>
          <cell r="E673" t="str">
            <v>3133920847</v>
          </cell>
          <cell r="F673" t="str">
            <v>Paipa</v>
          </cell>
        </row>
        <row r="674">
          <cell r="A674">
            <v>326735</v>
          </cell>
          <cell r="B674">
            <v>5</v>
          </cell>
          <cell r="C674" t="str">
            <v>ORJUELA RODRIGUEZ LUIS JOSE</v>
          </cell>
          <cell r="D674" t="str">
            <v>CL 132 7 17 APTO 105</v>
          </cell>
          <cell r="E674" t="str">
            <v>3182919572</v>
          </cell>
          <cell r="F674" t="str">
            <v>Bogota D.C.</v>
          </cell>
        </row>
        <row r="675">
          <cell r="A675">
            <v>23913294</v>
          </cell>
          <cell r="B675">
            <v>0</v>
          </cell>
          <cell r="C675" t="str">
            <v>ORMANZA DELGADO EUGENIA</v>
          </cell>
          <cell r="D675" t="str">
            <v>CR 15 14 73</v>
          </cell>
          <cell r="E675" t="str">
            <v>7613559</v>
          </cell>
          <cell r="F675" t="str">
            <v>Duitama</v>
          </cell>
        </row>
        <row r="676">
          <cell r="A676">
            <v>23854232</v>
          </cell>
          <cell r="B676">
            <v>0</v>
          </cell>
          <cell r="C676" t="str">
            <v>ORTIZ DE FARFAN ANA OTILIA</v>
          </cell>
          <cell r="D676" t="str">
            <v>CR 22 22 79</v>
          </cell>
          <cell r="E676" t="str">
            <v>3132656003</v>
          </cell>
          <cell r="F676" t="str">
            <v>Paipa</v>
          </cell>
        </row>
        <row r="677">
          <cell r="A677">
            <v>74323995</v>
          </cell>
          <cell r="B677">
            <v>9</v>
          </cell>
          <cell r="C677" t="str">
            <v>ORTIZ RUIZ MAURICIO</v>
          </cell>
          <cell r="D677" t="str">
            <v>CR 21 23 86</v>
          </cell>
          <cell r="E677" t="str">
            <v>3124519853</v>
          </cell>
          <cell r="F677" t="str">
            <v>Paipa</v>
          </cell>
        </row>
        <row r="678">
          <cell r="A678">
            <v>1053609884</v>
          </cell>
          <cell r="B678">
            <v>3</v>
          </cell>
          <cell r="C678" t="str">
            <v>OSORIO VASQUEZ LEIDY BELEN</v>
          </cell>
          <cell r="D678" t="str">
            <v>CR 9 18 12 APTO 502</v>
          </cell>
          <cell r="E678" t="str">
            <v>315222280</v>
          </cell>
          <cell r="F678" t="str">
            <v>Tunja</v>
          </cell>
        </row>
        <row r="679">
          <cell r="A679">
            <v>5867726</v>
          </cell>
          <cell r="B679">
            <v>8</v>
          </cell>
          <cell r="C679" t="str">
            <v>OSPINA LEONEL OSPINA</v>
          </cell>
          <cell r="D679" t="str">
            <v>CR 57B 163 10 APTO 401</v>
          </cell>
          <cell r="E679" t="str">
            <v>6747926</v>
          </cell>
          <cell r="F679" t="str">
            <v>Bogota D.C.</v>
          </cell>
        </row>
        <row r="680">
          <cell r="A680">
            <v>4207899</v>
          </cell>
          <cell r="B680">
            <v>9</v>
          </cell>
          <cell r="C680" t="str">
            <v>PACHON ROJAS ESTEBAN</v>
          </cell>
          <cell r="D680" t="str">
            <v>CR 22 27 15</v>
          </cell>
          <cell r="E680" t="str">
            <v>3118482582</v>
          </cell>
          <cell r="F680" t="str">
            <v>Paipa</v>
          </cell>
        </row>
        <row r="681">
          <cell r="A681">
            <v>23854530</v>
          </cell>
          <cell r="C681" t="str">
            <v>PAIBA LOPEZ ANA LUCIA</v>
          </cell>
          <cell r="D681" t="str">
            <v>CL 31 16 91 TORRE 1 APTO 303</v>
          </cell>
          <cell r="E681" t="str">
            <v>3112234029</v>
          </cell>
          <cell r="F681" t="str">
            <v>Tunja</v>
          </cell>
        </row>
        <row r="682">
          <cell r="A682">
            <v>1002681798</v>
          </cell>
          <cell r="C682" t="str">
            <v>PAIPILLA FONSECA LEIDY JOHANA</v>
          </cell>
          <cell r="D682" t="str">
            <v>CR 22 A 15 93</v>
          </cell>
          <cell r="E682" t="str">
            <v>3102199632</v>
          </cell>
          <cell r="F682" t="str">
            <v>Paipa</v>
          </cell>
        </row>
        <row r="683">
          <cell r="A683">
            <v>74130861</v>
          </cell>
          <cell r="B683">
            <v>1</v>
          </cell>
          <cell r="C683" t="str">
            <v>PALACIOS BENITEZ ETDWAR</v>
          </cell>
          <cell r="D683" t="str">
            <v>CR 24 21 33</v>
          </cell>
          <cell r="E683" t="str">
            <v>3114485807</v>
          </cell>
          <cell r="F683" t="str">
            <v>Paipa</v>
          </cell>
        </row>
        <row r="684">
          <cell r="A684">
            <v>46661100</v>
          </cell>
          <cell r="B684">
            <v>1</v>
          </cell>
          <cell r="C684" t="str">
            <v>PALENCIA MORENO PILAR DE LAS MERCEDES</v>
          </cell>
          <cell r="D684" t="str">
            <v>CR 17 17 74</v>
          </cell>
          <cell r="E684" t="str">
            <v>3112633667</v>
          </cell>
          <cell r="F684" t="str">
            <v>Duitama</v>
          </cell>
        </row>
        <row r="685">
          <cell r="A685">
            <v>53089042</v>
          </cell>
          <cell r="C685" t="str">
            <v>PALMA PALMA ARELIS</v>
          </cell>
          <cell r="D685" t="str">
            <v>CR 18 10-06</v>
          </cell>
          <cell r="E685" t="str">
            <v>3146147693</v>
          </cell>
          <cell r="F685" t="str">
            <v>Paipa</v>
          </cell>
        </row>
        <row r="686">
          <cell r="A686">
            <v>46454954</v>
          </cell>
          <cell r="B686">
            <v>7</v>
          </cell>
          <cell r="C686" t="str">
            <v>PAMPLONA RINCON DIANA CAROL</v>
          </cell>
          <cell r="D686" t="str">
            <v>CR 19 12A 22</v>
          </cell>
          <cell r="E686" t="str">
            <v>3115321415</v>
          </cell>
          <cell r="F686" t="str">
            <v>Duitama</v>
          </cell>
        </row>
        <row r="687">
          <cell r="A687">
            <v>3230428</v>
          </cell>
          <cell r="B687">
            <v>6</v>
          </cell>
          <cell r="C687" t="str">
            <v>PANQUEBA LEAL GERMAN</v>
          </cell>
          <cell r="D687" t="str">
            <v>KM 5 VIA ZIPAQUIRA UBATE</v>
          </cell>
          <cell r="E687" t="str">
            <v>3108751787</v>
          </cell>
          <cell r="F687" t="str">
            <v>Zipaquirá</v>
          </cell>
        </row>
        <row r="688">
          <cell r="C688" t="str">
            <v>PARRA VARGAS MIRIAM</v>
          </cell>
        </row>
        <row r="689">
          <cell r="A689">
            <v>46682356</v>
          </cell>
          <cell r="C689" t="str">
            <v>PATARROYO GRANADOS CLAUDIA MILENA</v>
          </cell>
          <cell r="D689" t="str">
            <v>VEREDA MARCURA</v>
          </cell>
          <cell r="E689" t="str">
            <v>3117773686</v>
          </cell>
          <cell r="F689" t="str">
            <v>Paipa</v>
          </cell>
        </row>
        <row r="690">
          <cell r="A690">
            <v>4192713</v>
          </cell>
          <cell r="B690">
            <v>0</v>
          </cell>
          <cell r="C690" t="str">
            <v>PEDRAZA LACHE DIEGO FERNANDO</v>
          </cell>
          <cell r="D690" t="str">
            <v>CR 24 23 87</v>
          </cell>
          <cell r="E690" t="str">
            <v>3124121297</v>
          </cell>
          <cell r="F690" t="str">
            <v>Paipa</v>
          </cell>
        </row>
        <row r="691">
          <cell r="A691">
            <v>46662618</v>
          </cell>
          <cell r="C691" t="str">
            <v>PEDRAZA MUÑOZ BERONITH</v>
          </cell>
          <cell r="D691" t="str">
            <v>CR 24 14 124</v>
          </cell>
          <cell r="E691" t="str">
            <v>3138410637</v>
          </cell>
          <cell r="F691" t="str">
            <v>Paipa</v>
          </cell>
        </row>
        <row r="692">
          <cell r="A692">
            <v>46682918</v>
          </cell>
          <cell r="C692" t="str">
            <v>PEDRAZA MUÑOZ BERONITH</v>
          </cell>
          <cell r="D692" t="str">
            <v>CR 24 14 124</v>
          </cell>
          <cell r="E692" t="str">
            <v>3138410637</v>
          </cell>
          <cell r="F692" t="str">
            <v>Paipa</v>
          </cell>
        </row>
        <row r="693">
          <cell r="A693">
            <v>46681545</v>
          </cell>
          <cell r="B693">
            <v>0</v>
          </cell>
          <cell r="C693" t="str">
            <v>PEDRAZA PATARROYO ROSA</v>
          </cell>
          <cell r="D693" t="str">
            <v>CL 23 25 30</v>
          </cell>
          <cell r="F693" t="str">
            <v>Paipa</v>
          </cell>
        </row>
        <row r="694">
          <cell r="C694" t="str">
            <v>PEDRAZA RAMIREZ ENRIQUE ISAAC</v>
          </cell>
          <cell r="D694" t="str">
            <v>AV CALLE 63 N° 73 A 31 APTO 307B</v>
          </cell>
          <cell r="F694" t="str">
            <v>Bogota D.C.</v>
          </cell>
        </row>
        <row r="695">
          <cell r="A695">
            <v>46667298</v>
          </cell>
          <cell r="B695">
            <v>8</v>
          </cell>
          <cell r="C695" t="str">
            <v>PEDRAZA ROBAYO FLOR ANGELA</v>
          </cell>
          <cell r="D695" t="str">
            <v>CR 16 CL 1</v>
          </cell>
          <cell r="E695" t="str">
            <v>3123868406</v>
          </cell>
          <cell r="F695" t="str">
            <v>Duitama</v>
          </cell>
        </row>
        <row r="696">
          <cell r="A696">
            <v>74130982</v>
          </cell>
          <cell r="B696">
            <v>4</v>
          </cell>
          <cell r="C696" t="str">
            <v>PEDRAZA RODRIGUEZ NELSON ENRRIQUE</v>
          </cell>
          <cell r="D696" t="str">
            <v>CL 25 23 13</v>
          </cell>
          <cell r="E696" t="str">
            <v>7852521</v>
          </cell>
          <cell r="F696" t="str">
            <v>Paipa</v>
          </cell>
        </row>
        <row r="697">
          <cell r="C697" t="str">
            <v>PEÑA CASTRO LILIA</v>
          </cell>
          <cell r="D697" t="str">
            <v>DG 77B No 116B 42 TORRE 1 APTO 1102</v>
          </cell>
          <cell r="E697" t="str">
            <v>3227649670</v>
          </cell>
          <cell r="F697" t="str">
            <v>Bogota D.C.</v>
          </cell>
        </row>
        <row r="698">
          <cell r="A698">
            <v>23552349</v>
          </cell>
          <cell r="B698">
            <v>7</v>
          </cell>
          <cell r="C698" t="str">
            <v>PEÑA SANCHEZ GLORIA ESPERANZA</v>
          </cell>
          <cell r="D698" t="str">
            <v>CR 23 24 17</v>
          </cell>
          <cell r="F698" t="str">
            <v>Paipa</v>
          </cell>
        </row>
        <row r="699">
          <cell r="A699">
            <v>7220327</v>
          </cell>
          <cell r="B699">
            <v>2</v>
          </cell>
          <cell r="C699" t="str">
            <v>PEREZ ALVAREZ REINALDO</v>
          </cell>
          <cell r="D699" t="str">
            <v>CL 27B 15 665</v>
          </cell>
          <cell r="E699" t="str">
            <v>3133963248</v>
          </cell>
          <cell r="F699" t="str">
            <v>Paipa</v>
          </cell>
        </row>
        <row r="700">
          <cell r="A700">
            <v>7219965</v>
          </cell>
          <cell r="C700" t="str">
            <v>PEREZ ANGARITA ABELARDO</v>
          </cell>
          <cell r="D700" t="str">
            <v>BRR SAN ANTONIO</v>
          </cell>
          <cell r="E700" t="str">
            <v>3145478865</v>
          </cell>
          <cell r="F700" t="str">
            <v>Duitama</v>
          </cell>
        </row>
        <row r="701">
          <cell r="A701">
            <v>1018423329</v>
          </cell>
          <cell r="C701" t="str">
            <v>PEREZ GUTIERREZ JAVIER FERNANDO</v>
          </cell>
        </row>
        <row r="702">
          <cell r="A702">
            <v>74374163</v>
          </cell>
          <cell r="C702" t="str">
            <v>PEREZ PINTO JAVIER ERNESTO</v>
          </cell>
          <cell r="D702" t="str">
            <v>CL 26 17 46</v>
          </cell>
          <cell r="F702" t="str">
            <v>Duitama</v>
          </cell>
        </row>
        <row r="703">
          <cell r="A703">
            <v>74372707</v>
          </cell>
          <cell r="B703">
            <v>3</v>
          </cell>
          <cell r="C703" t="str">
            <v>PEREZ PINTO JOSE ABELARDO</v>
          </cell>
          <cell r="D703" t="str">
            <v>CL 26 17 A 46</v>
          </cell>
          <cell r="E703" t="str">
            <v>3142558438</v>
          </cell>
          <cell r="F703" t="str">
            <v>Duitama</v>
          </cell>
        </row>
        <row r="704">
          <cell r="A704">
            <v>46671613</v>
          </cell>
          <cell r="B704">
            <v>0</v>
          </cell>
          <cell r="C704" t="str">
            <v>PEREZ SANDOVAL ANDREA YALILE</v>
          </cell>
          <cell r="D704" t="str">
            <v>CR 19 10 42</v>
          </cell>
          <cell r="E704" t="str">
            <v>7601962</v>
          </cell>
          <cell r="F704" t="str">
            <v>Duitama</v>
          </cell>
        </row>
        <row r="705">
          <cell r="A705">
            <v>74371803</v>
          </cell>
          <cell r="B705">
            <v>8</v>
          </cell>
          <cell r="C705" t="str">
            <v>PEREZ SANDOVAL WILLIAM ENRIQUE</v>
          </cell>
          <cell r="D705" t="str">
            <v>CR 19 10A 16</v>
          </cell>
          <cell r="E705" t="str">
            <v>3103271152</v>
          </cell>
          <cell r="F705" t="str">
            <v>Duitama</v>
          </cell>
        </row>
        <row r="706">
          <cell r="A706">
            <v>7222356</v>
          </cell>
          <cell r="B706">
            <v>5</v>
          </cell>
          <cell r="C706" t="str">
            <v>PERICO FONSECA PEDRO JULIO</v>
          </cell>
          <cell r="D706" t="str">
            <v>CL 13 14 61</v>
          </cell>
          <cell r="E706" t="str">
            <v>7629787</v>
          </cell>
          <cell r="F706" t="str">
            <v>Duitama</v>
          </cell>
        </row>
        <row r="707">
          <cell r="A707">
            <v>23324375</v>
          </cell>
          <cell r="B707">
            <v>1</v>
          </cell>
          <cell r="C707" t="str">
            <v>PINEDA MALDONADO MARGARITA</v>
          </cell>
          <cell r="D707" t="str">
            <v>CR 9 16 10</v>
          </cell>
          <cell r="F707" t="str">
            <v>Duitama</v>
          </cell>
        </row>
        <row r="708">
          <cell r="A708">
            <v>7174067</v>
          </cell>
          <cell r="C708" t="str">
            <v>PINEDA SUESCA ALVARO</v>
          </cell>
          <cell r="D708" t="str">
            <v>CL 13 31 2</v>
          </cell>
          <cell r="E708" t="str">
            <v>3108142824</v>
          </cell>
          <cell r="F708" t="str">
            <v>Duitama</v>
          </cell>
        </row>
        <row r="709">
          <cell r="A709">
            <v>1053606004</v>
          </cell>
          <cell r="C709" t="str">
            <v>PINTO VARGAS ANGELA MARIA</v>
          </cell>
          <cell r="D709" t="str">
            <v>CL 27 22 73 PS 3</v>
          </cell>
          <cell r="F709" t="str">
            <v>Paipa</v>
          </cell>
        </row>
        <row r="710">
          <cell r="A710">
            <v>4266443</v>
          </cell>
          <cell r="C710" t="str">
            <v>PINZON ARCHILA SILVIO</v>
          </cell>
          <cell r="D710" t="str">
            <v>CRA 1 18 19</v>
          </cell>
          <cell r="E710" t="str">
            <v>3115848640</v>
          </cell>
          <cell r="F710" t="str">
            <v>Duitama</v>
          </cell>
        </row>
        <row r="711">
          <cell r="A711">
            <v>1053605155</v>
          </cell>
          <cell r="C711" t="str">
            <v>PINZON NEIRA JAVIER LEONARDO</v>
          </cell>
          <cell r="D711" t="str">
            <v>DIG 26 49 46</v>
          </cell>
          <cell r="E711" t="str">
            <v>3204610854</v>
          </cell>
          <cell r="F711" t="str">
            <v>Paipa</v>
          </cell>
        </row>
        <row r="712">
          <cell r="C712" t="str">
            <v>PINZON NEIRA LUIS ENRIQUE</v>
          </cell>
          <cell r="D712" t="str">
            <v>DG 23 29 46</v>
          </cell>
          <cell r="E712" t="str">
            <v>3134356575</v>
          </cell>
          <cell r="F712" t="str">
            <v>Paipa</v>
          </cell>
        </row>
        <row r="713">
          <cell r="A713">
            <v>1053610530</v>
          </cell>
          <cell r="C713" t="str">
            <v>PINZON RINCON CESAR ANDRES</v>
          </cell>
          <cell r="D713" t="str">
            <v>MZ B CASA 11 URB NUEVO HORIZONTE</v>
          </cell>
          <cell r="E713" t="str">
            <v>3217832462</v>
          </cell>
          <cell r="F713" t="str">
            <v>Paipa</v>
          </cell>
        </row>
        <row r="714">
          <cell r="A714">
            <v>1052415875</v>
          </cell>
          <cell r="C714" t="str">
            <v>PIRAZAN PEÑA KEVIN DAVID</v>
          </cell>
          <cell r="D714" t="str">
            <v>RINCON DEL CARGUA</v>
          </cell>
          <cell r="E714" t="str">
            <v>3138204761</v>
          </cell>
          <cell r="F714" t="str">
            <v>Duitama</v>
          </cell>
        </row>
        <row r="715">
          <cell r="C715" t="str">
            <v>PITA REY BERNARDO</v>
          </cell>
          <cell r="D715" t="str">
            <v>CL 21 22 13 apto 202</v>
          </cell>
          <cell r="E715" t="str">
            <v>3132302377</v>
          </cell>
          <cell r="F715" t="str">
            <v>Paipa</v>
          </cell>
        </row>
        <row r="716">
          <cell r="A716">
            <v>1054681194</v>
          </cell>
          <cell r="B716">
            <v>9</v>
          </cell>
          <cell r="C716" t="str">
            <v>PIZA FORERO BRAYAN DANIEL</v>
          </cell>
          <cell r="D716" t="str">
            <v>CL 19 5 45</v>
          </cell>
          <cell r="E716" t="str">
            <v>3122671928</v>
          </cell>
          <cell r="F716" t="str">
            <v>Moniquirá</v>
          </cell>
        </row>
        <row r="717">
          <cell r="A717">
            <v>1052381804</v>
          </cell>
          <cell r="B717">
            <v>9</v>
          </cell>
          <cell r="C717" t="str">
            <v>PIZARRO TOVAR LENNON ANDRES</v>
          </cell>
          <cell r="D717" t="str">
            <v>CR 4 17A 43</v>
          </cell>
          <cell r="F717" t="str">
            <v>Duitama</v>
          </cell>
        </row>
        <row r="718">
          <cell r="A718">
            <v>19206457</v>
          </cell>
          <cell r="B718">
            <v>7</v>
          </cell>
          <cell r="C718" t="str">
            <v>POVEDA GARZON PLINIO</v>
          </cell>
          <cell r="D718" t="str">
            <v>CR 19 19 42</v>
          </cell>
          <cell r="E718" t="str">
            <v>7603352</v>
          </cell>
          <cell r="F718" t="str">
            <v>Duitama</v>
          </cell>
        </row>
        <row r="719">
          <cell r="A719">
            <v>1052383380</v>
          </cell>
          <cell r="B719">
            <v>7</v>
          </cell>
          <cell r="C719" t="str">
            <v>PRIETO HERNANDEZ DIANA PATRICIA</v>
          </cell>
          <cell r="D719" t="str">
            <v>CL 11 14 43 P 1</v>
          </cell>
          <cell r="E719" t="str">
            <v>3103361743</v>
          </cell>
          <cell r="F719" t="str">
            <v>Duitama</v>
          </cell>
        </row>
        <row r="720">
          <cell r="A720">
            <v>4190960</v>
          </cell>
          <cell r="B720">
            <v>4</v>
          </cell>
          <cell r="C720" t="str">
            <v>PUERTO ALBA NEMECIO</v>
          </cell>
          <cell r="D720" t="str">
            <v>CR 22 22A 18</v>
          </cell>
          <cell r="F720" t="str">
            <v>Paipa</v>
          </cell>
        </row>
        <row r="721">
          <cell r="A721">
            <v>51809813</v>
          </cell>
          <cell r="B721">
            <v>0</v>
          </cell>
          <cell r="C721" t="str">
            <v>PUERTO CASTRO ROSA ANGELICA</v>
          </cell>
          <cell r="D721" t="str">
            <v>CL 45 45 84 INT 1 APTO 502</v>
          </cell>
          <cell r="E721" t="str">
            <v>3208344414</v>
          </cell>
          <cell r="F721" t="str">
            <v>Bogota D.C.</v>
          </cell>
        </row>
        <row r="722">
          <cell r="A722">
            <v>4191845</v>
          </cell>
          <cell r="C722" t="str">
            <v>PUERTO VASQUEZ HENRY DE JESUS</v>
          </cell>
        </row>
        <row r="723">
          <cell r="A723">
            <v>19249738</v>
          </cell>
          <cell r="B723">
            <v>6</v>
          </cell>
          <cell r="C723" t="str">
            <v>PULIDO FUENTES LIBARDO ENRIQUE</v>
          </cell>
        </row>
        <row r="724">
          <cell r="A724">
            <v>51946668</v>
          </cell>
          <cell r="C724" t="str">
            <v>PUREZA SALCEDO MARIA</v>
          </cell>
        </row>
        <row r="725">
          <cell r="C725" t="str">
            <v>QUINTERO GALVIS AURA DELIA</v>
          </cell>
        </row>
        <row r="726">
          <cell r="A726">
            <v>1053606899</v>
          </cell>
          <cell r="C726" t="str">
            <v>RAMIREZ CAMARGO JOHANA</v>
          </cell>
        </row>
        <row r="727">
          <cell r="A727">
            <v>1053605369</v>
          </cell>
          <cell r="C727" t="str">
            <v>RAMIREZ CAMARGO MARISELA</v>
          </cell>
          <cell r="D727" t="str">
            <v>CR 40 N° 22 - 22</v>
          </cell>
          <cell r="E727" t="str">
            <v>3229363951</v>
          </cell>
          <cell r="F727" t="str">
            <v>Paipa</v>
          </cell>
        </row>
        <row r="728">
          <cell r="A728">
            <v>23857036</v>
          </cell>
          <cell r="B728">
            <v>7</v>
          </cell>
          <cell r="C728" t="str">
            <v>RAMIREZ GARZON LIBIA JANET</v>
          </cell>
          <cell r="D728" t="str">
            <v>CR 23 A 25 B 75</v>
          </cell>
          <cell r="E728" t="str">
            <v>3105633851</v>
          </cell>
          <cell r="F728" t="str">
            <v>Paipa</v>
          </cell>
        </row>
        <row r="729">
          <cell r="A729">
            <v>1020778166</v>
          </cell>
          <cell r="C729" t="str">
            <v>RAMIREZ HERRERA LAURA</v>
          </cell>
          <cell r="D729" t="str">
            <v>CR 17 119 32 INT 1 APTO 303</v>
          </cell>
          <cell r="E729" t="str">
            <v>3124300565</v>
          </cell>
          <cell r="F729" t="str">
            <v>Bogota D.C.</v>
          </cell>
        </row>
        <row r="730">
          <cell r="A730">
            <v>17135203</v>
          </cell>
          <cell r="C730" t="str">
            <v>RAMIREZ RODRIGUEZ ARMANDO</v>
          </cell>
        </row>
        <row r="731">
          <cell r="C731" t="str">
            <v>RAMIREZ ROJAS CARLOS ALBERTO</v>
          </cell>
        </row>
        <row r="732">
          <cell r="A732">
            <v>7215941</v>
          </cell>
          <cell r="C732" t="str">
            <v>RATIVA  JOSE FAUSTINO</v>
          </cell>
          <cell r="D732" t="str">
            <v>VDA AYALAS TIBASOSA</v>
          </cell>
          <cell r="E732" t="str">
            <v>3213643223</v>
          </cell>
          <cell r="F732" t="str">
            <v>Tibasosa</v>
          </cell>
        </row>
        <row r="733">
          <cell r="A733">
            <v>46452625</v>
          </cell>
          <cell r="B733">
            <v>1</v>
          </cell>
          <cell r="C733" t="str">
            <v>REAL GOMEZ ANGELA CONSTANZA</v>
          </cell>
          <cell r="D733" t="str">
            <v>CR 19 23 33</v>
          </cell>
          <cell r="E733" t="str">
            <v>3114706863</v>
          </cell>
          <cell r="F733" t="str">
            <v>Paipa</v>
          </cell>
        </row>
        <row r="734">
          <cell r="A734">
            <v>10758575937</v>
          </cell>
          <cell r="C734" t="str">
            <v>REYES PAOLA</v>
          </cell>
          <cell r="D734" t="str">
            <v>CL 24 19 121</v>
          </cell>
          <cell r="F734" t="str">
            <v>Paipa</v>
          </cell>
        </row>
        <row r="735">
          <cell r="A735">
            <v>19444770</v>
          </cell>
          <cell r="B735">
            <v>8</v>
          </cell>
          <cell r="C735" t="str">
            <v>REYES PERICO HECTOR PLUTARCO</v>
          </cell>
          <cell r="D735" t="str">
            <v>CRA9 21 57</v>
          </cell>
          <cell r="E735" t="str">
            <v>3102193303</v>
          </cell>
          <cell r="F735" t="str">
            <v>Sogamoso</v>
          </cell>
        </row>
        <row r="736">
          <cell r="A736">
            <v>11307148</v>
          </cell>
          <cell r="C736" t="str">
            <v>REYES SANABRIA JESUS ENRIQUE</v>
          </cell>
          <cell r="E736" t="str">
            <v>3203110317</v>
          </cell>
          <cell r="F736" t="str">
            <v>Paipa</v>
          </cell>
        </row>
        <row r="737">
          <cell r="A737">
            <v>11229235</v>
          </cell>
          <cell r="C737" t="str">
            <v>REYES SOTO ANGEL ALBERTO</v>
          </cell>
          <cell r="D737" t="str">
            <v>CLL 3 # 6a 18 Duitama</v>
          </cell>
          <cell r="F737" t="str">
            <v>Paipa</v>
          </cell>
        </row>
        <row r="738">
          <cell r="A738">
            <v>79378341</v>
          </cell>
          <cell r="C738" t="str">
            <v>RIAÑO MOJICA RENE ALEJANDRO</v>
          </cell>
          <cell r="D738" t="str">
            <v>DG 77B No 116B 42 TORRE 1 APTO 1102</v>
          </cell>
          <cell r="E738" t="str">
            <v>3227649670</v>
          </cell>
          <cell r="F738" t="str">
            <v>Bogota D.C.</v>
          </cell>
        </row>
        <row r="739">
          <cell r="A739">
            <v>7225746</v>
          </cell>
          <cell r="B739">
            <v>8</v>
          </cell>
          <cell r="C739" t="str">
            <v>RINCON BAEZ ROBERTO</v>
          </cell>
          <cell r="D739" t="str">
            <v>CL 2A 6 47</v>
          </cell>
          <cell r="E739" t="str">
            <v>3125586633</v>
          </cell>
          <cell r="F739" t="str">
            <v>Duitama</v>
          </cell>
        </row>
        <row r="740">
          <cell r="C740" t="str">
            <v>RINCON DE ABRIL GLADYS MARIA</v>
          </cell>
          <cell r="D740" t="str">
            <v>CR 22 20A 38 APTO 801</v>
          </cell>
          <cell r="F740" t="str">
            <v>Paipa</v>
          </cell>
        </row>
        <row r="741">
          <cell r="A741">
            <v>23322111</v>
          </cell>
          <cell r="B741">
            <v>5</v>
          </cell>
          <cell r="C741" t="str">
            <v>RINCON DE CEPEDA MARGARITA MARIA</v>
          </cell>
          <cell r="D741" t="str">
            <v>cr 19 27 33</v>
          </cell>
          <cell r="E741" t="str">
            <v>3212750795</v>
          </cell>
          <cell r="F741" t="str">
            <v>Paipa</v>
          </cell>
        </row>
        <row r="742">
          <cell r="A742">
            <v>9511147</v>
          </cell>
          <cell r="B742">
            <v>1</v>
          </cell>
          <cell r="C742" t="str">
            <v>RIOS ACEVEDO VICTOR MANUEL</v>
          </cell>
          <cell r="D742" t="str">
            <v>CL 12 10 88 OF 301</v>
          </cell>
          <cell r="E742" t="str">
            <v>7706758</v>
          </cell>
          <cell r="F742" t="str">
            <v>Sogamoso</v>
          </cell>
        </row>
        <row r="743">
          <cell r="C743" t="str">
            <v>RIVERA MARIÑO MARIA ISABEL</v>
          </cell>
          <cell r="D743" t="str">
            <v>EDIFICIO RONDA PIEDRA</v>
          </cell>
          <cell r="E743" t="str">
            <v>3214793847</v>
          </cell>
          <cell r="F743" t="str">
            <v>Paipa</v>
          </cell>
        </row>
        <row r="744">
          <cell r="A744">
            <v>74360740</v>
          </cell>
          <cell r="B744">
            <v>5</v>
          </cell>
          <cell r="C744" t="str">
            <v>ROBERTO PEREZ DAVID ALBERTO</v>
          </cell>
          <cell r="D744" t="str">
            <v>CL 24 19 110</v>
          </cell>
          <cell r="E744" t="str">
            <v>3203204045</v>
          </cell>
          <cell r="F744" t="str">
            <v>Paipa</v>
          </cell>
        </row>
        <row r="745">
          <cell r="A745">
            <v>1053610254</v>
          </cell>
          <cell r="B745">
            <v>5</v>
          </cell>
          <cell r="C745" t="str">
            <v>ROBLES SANABRIA WILMER</v>
          </cell>
          <cell r="D745" t="str">
            <v>KM 4 VIA PAIPA  - DUITAMA</v>
          </cell>
          <cell r="E745" t="str">
            <v>3112469073</v>
          </cell>
          <cell r="F745" t="str">
            <v>Paipa</v>
          </cell>
        </row>
        <row r="746">
          <cell r="A746">
            <v>17131853</v>
          </cell>
          <cell r="B746">
            <v>1</v>
          </cell>
          <cell r="C746" t="str">
            <v>RODRIGUEZ ACOSTA JOSE VICENTE</v>
          </cell>
          <cell r="D746" t="str">
            <v>AV LIBERTADORES 25 70</v>
          </cell>
          <cell r="E746" t="str">
            <v>3125270173</v>
          </cell>
          <cell r="F746" t="str">
            <v>Paipa</v>
          </cell>
        </row>
        <row r="747">
          <cell r="A747">
            <v>23854335</v>
          </cell>
          <cell r="B747">
            <v>0</v>
          </cell>
          <cell r="C747" t="str">
            <v>RODRIGUEZ BARRERA ELSA YANET</v>
          </cell>
          <cell r="D747" t="str">
            <v>AV LOS LIBERTADORES 25 30</v>
          </cell>
          <cell r="E747" t="str">
            <v>3212000140</v>
          </cell>
          <cell r="F747" t="str">
            <v>Paipa</v>
          </cell>
        </row>
        <row r="748">
          <cell r="A748">
            <v>23267898</v>
          </cell>
          <cell r="B748">
            <v>7</v>
          </cell>
          <cell r="C748" t="str">
            <v>RODRIGUEZ DE VARGAS CELINDA</v>
          </cell>
        </row>
        <row r="749">
          <cell r="A749">
            <v>7162055</v>
          </cell>
          <cell r="B749">
            <v>5</v>
          </cell>
          <cell r="C749" t="str">
            <v>RODRIGUEZ FAGUA JOSE EUCLIDES</v>
          </cell>
          <cell r="D749" t="str">
            <v>VDA CENTRO</v>
          </cell>
          <cell r="E749" t="str">
            <v>3123645746</v>
          </cell>
          <cell r="F749" t="str">
            <v>Oicatá</v>
          </cell>
        </row>
        <row r="750">
          <cell r="A750">
            <v>7228216</v>
          </cell>
          <cell r="C750" t="str">
            <v>RODRIGUEZ GARZON ANGEL MARIA</v>
          </cell>
          <cell r="D750" t="str">
            <v>VEREDA CRUZ DE BONZA</v>
          </cell>
          <cell r="E750" t="str">
            <v>3214793847</v>
          </cell>
          <cell r="F750" t="str">
            <v>Paipa</v>
          </cell>
        </row>
        <row r="751">
          <cell r="A751">
            <v>74322576</v>
          </cell>
          <cell r="C751" t="str">
            <v>RODRIGUEZ GARZON OCTAVIO</v>
          </cell>
          <cell r="D751" t="str">
            <v>VEREDA CRUZ DE BONZA</v>
          </cell>
          <cell r="E751" t="str">
            <v>3112261062</v>
          </cell>
          <cell r="F751" t="str">
            <v>Paipa</v>
          </cell>
        </row>
        <row r="752">
          <cell r="A752">
            <v>8888317</v>
          </cell>
          <cell r="B752">
            <v>1</v>
          </cell>
          <cell r="C752" t="str">
            <v>RODRIGUEZ HECTOR</v>
          </cell>
          <cell r="D752" t="str">
            <v>CL 24 19 121</v>
          </cell>
          <cell r="F752" t="str">
            <v>Paipa</v>
          </cell>
        </row>
        <row r="753">
          <cell r="A753">
            <v>46454480</v>
          </cell>
          <cell r="B753">
            <v>8</v>
          </cell>
          <cell r="C753" t="str">
            <v>RODRIGUEZ HERRERA MAYERLY</v>
          </cell>
          <cell r="D753" t="str">
            <v>VDA PEÑA NEGRA</v>
          </cell>
          <cell r="E753" t="str">
            <v>3232500372</v>
          </cell>
          <cell r="F753" t="str">
            <v>Tibasosa</v>
          </cell>
        </row>
        <row r="754">
          <cell r="A754">
            <v>74322949</v>
          </cell>
          <cell r="C754" t="str">
            <v>RODRIGUEZ HURTADO LUIS ALFREDO</v>
          </cell>
          <cell r="D754" t="str">
            <v>CR 29A 11 49</v>
          </cell>
          <cell r="E754" t="str">
            <v>3124411185</v>
          </cell>
          <cell r="F754" t="str">
            <v>Paipa</v>
          </cell>
        </row>
        <row r="755">
          <cell r="A755">
            <v>46681167</v>
          </cell>
          <cell r="C755" t="str">
            <v>RODRIGUEZ JIMENEZ FRANCY ROCIO</v>
          </cell>
          <cell r="D755" t="str">
            <v>CL 25 22 49</v>
          </cell>
          <cell r="E755" t="str">
            <v>7851709</v>
          </cell>
          <cell r="F755" t="str">
            <v>Paipa</v>
          </cell>
        </row>
        <row r="756">
          <cell r="A756">
            <v>46384314</v>
          </cell>
          <cell r="B756">
            <v>2</v>
          </cell>
          <cell r="C756" t="str">
            <v>RODRIGUEZ LEON ANA LUCIA</v>
          </cell>
          <cell r="D756" t="str">
            <v>CL 24  17 67</v>
          </cell>
          <cell r="E756" t="str">
            <v>3202061275</v>
          </cell>
          <cell r="F756" t="str">
            <v>Paipa</v>
          </cell>
        </row>
        <row r="757">
          <cell r="A757">
            <v>1053614144</v>
          </cell>
          <cell r="C757" t="str">
            <v>RODRIGUEZ MACIAS ANDRES FELIPE</v>
          </cell>
          <cell r="D757" t="str">
            <v>BRR LOS ROSALES</v>
          </cell>
          <cell r="E757" t="str">
            <v>3108789929</v>
          </cell>
          <cell r="F757" t="str">
            <v>Paipa</v>
          </cell>
        </row>
        <row r="758">
          <cell r="A758">
            <v>9526568</v>
          </cell>
          <cell r="B758">
            <v>2</v>
          </cell>
          <cell r="C758" t="str">
            <v>RODRIGUEZ MOLANO LUIS ERNESTO</v>
          </cell>
          <cell r="D758" t="str">
            <v>CL 45 45 84 APTO I-502</v>
          </cell>
          <cell r="E758" t="str">
            <v>3133491697</v>
          </cell>
          <cell r="F758" t="str">
            <v>Bogota D.C.</v>
          </cell>
        </row>
        <row r="759">
          <cell r="A759">
            <v>1053608842</v>
          </cell>
          <cell r="B759">
            <v>1</v>
          </cell>
          <cell r="C759" t="str">
            <v>RODRIGUEZ PAREDES MAGDA XIMENA</v>
          </cell>
          <cell r="D759" t="str">
            <v>CL 24 20 31</v>
          </cell>
          <cell r="E759" t="str">
            <v>3204437083</v>
          </cell>
          <cell r="F759" t="str">
            <v>Paipa</v>
          </cell>
        </row>
        <row r="760">
          <cell r="A760">
            <v>51744026</v>
          </cell>
          <cell r="B760">
            <v>1</v>
          </cell>
          <cell r="C760" t="str">
            <v>RODRIGUEZ PATARROYO INGRID MABEL</v>
          </cell>
          <cell r="D760" t="str">
            <v>CR 12 10 61 BR</v>
          </cell>
          <cell r="E760" t="str">
            <v>8279381</v>
          </cell>
          <cell r="F760" t="str">
            <v>Mosquera</v>
          </cell>
        </row>
        <row r="761">
          <cell r="A761">
            <v>74360618</v>
          </cell>
          <cell r="C761" t="str">
            <v>RODRIGUEZ PINEDA RICARDO</v>
          </cell>
          <cell r="D761" t="str">
            <v>CR 10 24 B 60</v>
          </cell>
          <cell r="E761" t="str">
            <v>3115070305</v>
          </cell>
          <cell r="F761" t="str">
            <v>Paipa</v>
          </cell>
        </row>
        <row r="762">
          <cell r="A762">
            <v>7221759</v>
          </cell>
          <cell r="B762">
            <v>5</v>
          </cell>
          <cell r="C762" t="str">
            <v>RODRIGUEZ RAMIREZ RAUL ERNESTO</v>
          </cell>
          <cell r="D762" t="str">
            <v>CR 31D 15 22</v>
          </cell>
          <cell r="E762" t="str">
            <v>7620509</v>
          </cell>
          <cell r="F762" t="str">
            <v>Duitama</v>
          </cell>
        </row>
        <row r="763">
          <cell r="A763">
            <v>41465891</v>
          </cell>
          <cell r="C763" t="str">
            <v>RODRIGUEZ RINCON CONSTANZA</v>
          </cell>
        </row>
        <row r="764">
          <cell r="C764" t="str">
            <v>RODRIGUEZ RINCON JOSE ARNULFO</v>
          </cell>
          <cell r="D764" t="str">
            <v>CR 22 20A 38</v>
          </cell>
          <cell r="E764" t="str">
            <v>0317532197</v>
          </cell>
          <cell r="F764" t="str">
            <v>Paipa</v>
          </cell>
        </row>
        <row r="765">
          <cell r="A765">
            <v>74358771</v>
          </cell>
          <cell r="B765">
            <v>7</v>
          </cell>
          <cell r="C765" t="str">
            <v>RODRIGUEZ RODRIGUEZ JOSE MARIA PASTOR</v>
          </cell>
          <cell r="D765" t="str">
            <v>DG 23 30 16 BRR ROSALES</v>
          </cell>
          <cell r="E765" t="str">
            <v>3115301489</v>
          </cell>
          <cell r="F765" t="str">
            <v>Paipa</v>
          </cell>
        </row>
        <row r="766">
          <cell r="A766">
            <v>4045191</v>
          </cell>
          <cell r="B766">
            <v>7</v>
          </cell>
          <cell r="C766" t="str">
            <v>RODRIGUEZ RODRIGUEZ RAUL</v>
          </cell>
          <cell r="D766" t="str">
            <v>CENTRO PAIPA</v>
          </cell>
          <cell r="E766" t="str">
            <v>3124356311</v>
          </cell>
          <cell r="F766" t="str">
            <v>Paipa</v>
          </cell>
        </row>
        <row r="767">
          <cell r="A767">
            <v>74359826</v>
          </cell>
          <cell r="B767">
            <v>8</v>
          </cell>
          <cell r="C767" t="str">
            <v>RODRIGUEZ RODRIGUEZ YOBANY</v>
          </cell>
          <cell r="D767" t="str">
            <v>DG 23 30 16</v>
          </cell>
          <cell r="E767" t="str">
            <v>3115682967</v>
          </cell>
          <cell r="F767" t="str">
            <v>Paipa</v>
          </cell>
        </row>
        <row r="768">
          <cell r="A768">
            <v>1072652628</v>
          </cell>
          <cell r="B768">
            <v>5</v>
          </cell>
          <cell r="C768" t="str">
            <v>RODRIGUEZ VASQUEZ LAURA CATALINA</v>
          </cell>
          <cell r="D768" t="str">
            <v>CL 146 12A 12 APTO 602 CEDRITOS</v>
          </cell>
          <cell r="E768" t="str">
            <v>3125148417</v>
          </cell>
          <cell r="F768" t="str">
            <v>Bogota D.C.</v>
          </cell>
        </row>
        <row r="769">
          <cell r="A769">
            <v>23857703</v>
          </cell>
          <cell r="B769">
            <v>1</v>
          </cell>
          <cell r="C769" t="str">
            <v>ROJAS BARRERA MARIA CRISTINA</v>
          </cell>
          <cell r="D769" t="str">
            <v>CR 19 25 49</v>
          </cell>
          <cell r="E769" t="str">
            <v>7850380</v>
          </cell>
          <cell r="F769" t="str">
            <v>Paipa</v>
          </cell>
        </row>
        <row r="770">
          <cell r="A770">
            <v>74358890</v>
          </cell>
          <cell r="B770">
            <v>5</v>
          </cell>
          <cell r="C770" t="str">
            <v>ROJAS BOLIVAR CARLOS WILDER</v>
          </cell>
          <cell r="D770" t="str">
            <v>CR 19 14 02</v>
          </cell>
          <cell r="E770" t="str">
            <v>3112252352</v>
          </cell>
          <cell r="F770" t="str">
            <v>Paipa</v>
          </cell>
        </row>
        <row r="771">
          <cell r="C771" t="str">
            <v>ROJAS ROSA ELENA</v>
          </cell>
          <cell r="D771" t="str">
            <v>CR 20 23 74 APTO 603</v>
          </cell>
          <cell r="E771" t="str">
            <v>3007502796</v>
          </cell>
          <cell r="F771" t="str">
            <v>Paipa</v>
          </cell>
        </row>
        <row r="772">
          <cell r="A772">
            <v>1096222607</v>
          </cell>
          <cell r="C772" t="str">
            <v>ROMERO DIAZ YONI ESTIL</v>
          </cell>
          <cell r="D772" t="str">
            <v>CL 25 20 74</v>
          </cell>
          <cell r="F772" t="str">
            <v>Paipa</v>
          </cell>
        </row>
        <row r="773">
          <cell r="A773">
            <v>1148964021</v>
          </cell>
          <cell r="C773" t="str">
            <v>ROMERO JAIMES ARGENIS JOSE</v>
          </cell>
          <cell r="D773" t="str">
            <v>MIRADOR DE LA ESPERANZA M E CS 18</v>
          </cell>
          <cell r="E773" t="str">
            <v>3227901600</v>
          </cell>
          <cell r="F773" t="str">
            <v>Paipa</v>
          </cell>
        </row>
        <row r="774">
          <cell r="A774" t="str">
            <v>especial</v>
          </cell>
          <cell r="B774" t="str">
            <v>de</v>
          </cell>
          <cell r="C774" t="str">
            <v>ROMERO SILVA JOSE ANTONIO</v>
          </cell>
          <cell r="D774" t="str">
            <v>VDA EL TEJAR PAIPA</v>
          </cell>
          <cell r="E774" t="str">
            <v>3112658558</v>
          </cell>
          <cell r="F774" t="str">
            <v>Paipa</v>
          </cell>
        </row>
        <row r="775">
          <cell r="C775" t="str">
            <v>ROMERO SUAREZ JULIAN</v>
          </cell>
          <cell r="D775" t="str">
            <v>CR 22 20A 38 APTO 402</v>
          </cell>
          <cell r="E775" t="str">
            <v>3186997056</v>
          </cell>
          <cell r="F775" t="str">
            <v>Paipa</v>
          </cell>
        </row>
        <row r="776">
          <cell r="A776">
            <v>1055314039</v>
          </cell>
          <cell r="B776">
            <v>6</v>
          </cell>
          <cell r="C776" t="str">
            <v>ROSAS CAMARGO JESUS ARMANDO</v>
          </cell>
          <cell r="D776" t="str">
            <v>VDA EL ESTERILLAL</v>
          </cell>
          <cell r="E776" t="str">
            <v>3114550936</v>
          </cell>
          <cell r="F776" t="str">
            <v>Tibasosa</v>
          </cell>
        </row>
        <row r="777">
          <cell r="A777">
            <v>74130481</v>
          </cell>
          <cell r="B777">
            <v>6</v>
          </cell>
          <cell r="C777" t="str">
            <v>ROSAS PUERTO NELSON FABIAN</v>
          </cell>
          <cell r="D777" t="str">
            <v>CR 20 26 41</v>
          </cell>
          <cell r="F777" t="str">
            <v>Paipa</v>
          </cell>
        </row>
        <row r="778">
          <cell r="A778">
            <v>74186683</v>
          </cell>
          <cell r="B778">
            <v>8</v>
          </cell>
          <cell r="C778" t="str">
            <v>RUBIANO SILVA DIEGO ALONSO</v>
          </cell>
          <cell r="D778" t="str">
            <v>AV LIBERTADORES 22 74</v>
          </cell>
          <cell r="E778" t="str">
            <v>3132707078</v>
          </cell>
          <cell r="F778" t="str">
            <v>Paipa</v>
          </cell>
        </row>
        <row r="779">
          <cell r="A779">
            <v>23857981</v>
          </cell>
          <cell r="C779" t="str">
            <v>RUIZ DUEÑEZ FLOR ELBA</v>
          </cell>
          <cell r="D779" t="str">
            <v>CL 18 22 17</v>
          </cell>
          <cell r="E779" t="str">
            <v>3166226478</v>
          </cell>
          <cell r="F779" t="str">
            <v>Paipa</v>
          </cell>
        </row>
        <row r="780">
          <cell r="A780">
            <v>1057544941</v>
          </cell>
          <cell r="B780">
            <v>9</v>
          </cell>
          <cell r="C780" t="str">
            <v>RUIZ GARCIA SANDRA PATRICIA</v>
          </cell>
          <cell r="D780" t="str">
            <v>CRA 7 12 24</v>
          </cell>
          <cell r="E780" t="str">
            <v>3214819019</v>
          </cell>
          <cell r="F780" t="str">
            <v>Duitama</v>
          </cell>
        </row>
        <row r="781">
          <cell r="A781">
            <v>4243108</v>
          </cell>
          <cell r="B781">
            <v>4</v>
          </cell>
          <cell r="C781" t="str">
            <v>RUIZ LADINO ADIOSTO</v>
          </cell>
          <cell r="D781" t="str">
            <v>CR 5 19 45 BRR MANZANARES</v>
          </cell>
          <cell r="E781" t="str">
            <v>7605488</v>
          </cell>
          <cell r="F781" t="str">
            <v>Duitama</v>
          </cell>
        </row>
        <row r="782">
          <cell r="A782">
            <v>74358775</v>
          </cell>
          <cell r="C782" t="str">
            <v>RUIZ LUIS MAURICIO</v>
          </cell>
          <cell r="D782" t="str">
            <v>BARRIO CORINTO</v>
          </cell>
          <cell r="E782" t="str">
            <v>3202383047</v>
          </cell>
          <cell r="F782" t="str">
            <v>Paipa</v>
          </cell>
        </row>
        <row r="783">
          <cell r="C783" t="str">
            <v>RUIZ RUIZ LIGIA</v>
          </cell>
        </row>
        <row r="784">
          <cell r="A784">
            <v>1014208871</v>
          </cell>
          <cell r="C784" t="str">
            <v>SAENZ PLAZAS JANNA ALEXANDRA</v>
          </cell>
          <cell r="D784" t="str">
            <v>DG 66 A 10 69</v>
          </cell>
          <cell r="E784" t="str">
            <v>3124972693</v>
          </cell>
          <cell r="F784" t="str">
            <v>Tunja</v>
          </cell>
        </row>
        <row r="785">
          <cell r="A785">
            <v>74360851</v>
          </cell>
          <cell r="B785">
            <v>4</v>
          </cell>
          <cell r="C785" t="str">
            <v>SALAMANCA CAMARGO WILSON ALBERTO</v>
          </cell>
          <cell r="D785" t="str">
            <v>CR 71 SUR 58 50 APTO 304</v>
          </cell>
          <cell r="E785" t="str">
            <v>4587280</v>
          </cell>
          <cell r="F785" t="str">
            <v>Bogota D.C.</v>
          </cell>
        </row>
        <row r="786">
          <cell r="A786">
            <v>23857766</v>
          </cell>
          <cell r="B786">
            <v>5</v>
          </cell>
          <cell r="C786" t="str">
            <v>SALAZAR CLAUDIA MARCELA</v>
          </cell>
          <cell r="D786" t="str">
            <v>CR 20 24 45</v>
          </cell>
          <cell r="E786" t="str">
            <v>3118462400</v>
          </cell>
          <cell r="F786" t="str">
            <v>Paipa</v>
          </cell>
        </row>
        <row r="787">
          <cell r="A787">
            <v>11307220</v>
          </cell>
          <cell r="C787" t="str">
            <v>SALAZAR GONZALES JOSE OMAR</v>
          </cell>
        </row>
        <row r="788">
          <cell r="A788">
            <v>1192731438</v>
          </cell>
          <cell r="C788" t="str">
            <v>SANCHEZ ARGUELLO CRISTHIAN MANUEL</v>
          </cell>
          <cell r="D788" t="str">
            <v>CL 27 20 47</v>
          </cell>
          <cell r="E788" t="str">
            <v>3202772509</v>
          </cell>
          <cell r="F788" t="str">
            <v>Paipa</v>
          </cell>
        </row>
        <row r="789">
          <cell r="A789">
            <v>46682113</v>
          </cell>
          <cell r="C789" t="str">
            <v>SANCHEZ CAMARGO VIVIANA</v>
          </cell>
          <cell r="D789" t="str">
            <v>CR 19 N° 24 23</v>
          </cell>
          <cell r="F789" t="str">
            <v>Paipa</v>
          </cell>
        </row>
        <row r="790">
          <cell r="A790">
            <v>1140860905</v>
          </cell>
          <cell r="C790" t="str">
            <v>SANCHEZ KHENAYZIR JOSEPH</v>
          </cell>
          <cell r="D790" t="str">
            <v>CR 20 23-70</v>
          </cell>
          <cell r="E790" t="str">
            <v>3003640286</v>
          </cell>
          <cell r="F790" t="str">
            <v>Paipa</v>
          </cell>
        </row>
        <row r="791">
          <cell r="A791">
            <v>1093300726</v>
          </cell>
          <cell r="C791" t="str">
            <v>SANCHEZ PEDRAZA DANIEL DAVID</v>
          </cell>
          <cell r="D791" t="str">
            <v>LAS DELICIAS</v>
          </cell>
          <cell r="E791" t="str">
            <v>3102912406</v>
          </cell>
          <cell r="F791" t="str">
            <v>Duitama</v>
          </cell>
        </row>
        <row r="792">
          <cell r="A792">
            <v>19115044</v>
          </cell>
          <cell r="B792">
            <v>8</v>
          </cell>
          <cell r="C792" t="str">
            <v>SANDOVAL ALVARADO LUIS CESAR</v>
          </cell>
          <cell r="D792" t="str">
            <v>KM 2 VIA PAIPA DUITAMA FINCA LOS ALISOS 1 CASA 1</v>
          </cell>
          <cell r="E792" t="str">
            <v>3106880522</v>
          </cell>
          <cell r="F792" t="str">
            <v>Paipa</v>
          </cell>
        </row>
        <row r="793">
          <cell r="A793">
            <v>1057602086</v>
          </cell>
          <cell r="B793">
            <v>5</v>
          </cell>
          <cell r="C793" t="str">
            <v>SANDOVAL CORDERO DIEGO FERNANDO</v>
          </cell>
          <cell r="D793" t="str">
            <v>CL 11 18 77</v>
          </cell>
          <cell r="E793" t="str">
            <v>3125904711</v>
          </cell>
          <cell r="F793" t="str">
            <v>Duitama</v>
          </cell>
        </row>
        <row r="794">
          <cell r="A794">
            <v>1015481143</v>
          </cell>
          <cell r="B794">
            <v>3</v>
          </cell>
          <cell r="C794" t="str">
            <v>SANDOVAL DIAZ CESAR FELIPE</v>
          </cell>
          <cell r="D794" t="str">
            <v>CR 57 119 A 60 APTO 1503</v>
          </cell>
          <cell r="E794" t="str">
            <v>3105582893</v>
          </cell>
          <cell r="F794" t="str">
            <v>Bogota D.C.</v>
          </cell>
        </row>
        <row r="795">
          <cell r="A795">
            <v>74359458</v>
          </cell>
          <cell r="B795">
            <v>0</v>
          </cell>
          <cell r="C795" t="str">
            <v>SANDOVAL FUQUEN EDDY URBANO</v>
          </cell>
          <cell r="D795" t="str">
            <v>CL 12 16 30</v>
          </cell>
          <cell r="E795" t="str">
            <v>7624977</v>
          </cell>
          <cell r="F795" t="str">
            <v>Duitama</v>
          </cell>
        </row>
        <row r="796">
          <cell r="A796">
            <v>74378493</v>
          </cell>
          <cell r="B796">
            <v>1</v>
          </cell>
          <cell r="C796" t="str">
            <v>SANDOVAL GARCIA IVAN EDUARDO</v>
          </cell>
          <cell r="D796" t="str">
            <v>CL 5A 22 31</v>
          </cell>
          <cell r="E796" t="str">
            <v>7601898</v>
          </cell>
          <cell r="F796" t="str">
            <v>Duitama</v>
          </cell>
        </row>
        <row r="797">
          <cell r="A797">
            <v>7213266</v>
          </cell>
          <cell r="C797" t="str">
            <v>SANDOVAL LUIS JAIME</v>
          </cell>
          <cell r="D797" t="str">
            <v>CR 19 13 51</v>
          </cell>
          <cell r="F797" t="str">
            <v>Duitama</v>
          </cell>
        </row>
        <row r="798">
          <cell r="A798">
            <v>1019083617</v>
          </cell>
          <cell r="C798" t="str">
            <v>SARMIENTO CALAMBAS DOLY MILENI</v>
          </cell>
          <cell r="D798" t="str">
            <v>AV LIBERTADORES 43 110</v>
          </cell>
          <cell r="E798" t="str">
            <v>7852677</v>
          </cell>
          <cell r="F798" t="str">
            <v>Paipa</v>
          </cell>
        </row>
        <row r="799">
          <cell r="A799">
            <v>4178895</v>
          </cell>
          <cell r="B799">
            <v>4</v>
          </cell>
          <cell r="C799" t="str">
            <v>SIACHOQUE DIAZ ALVARO JAVIER</v>
          </cell>
          <cell r="D799" t="str">
            <v>VDA LAS CALERAS</v>
          </cell>
          <cell r="E799" t="str">
            <v>3108717397</v>
          </cell>
          <cell r="F799" t="str">
            <v>Nobsa</v>
          </cell>
        </row>
        <row r="800">
          <cell r="A800">
            <v>16185780</v>
          </cell>
          <cell r="C800" t="str">
            <v>SILVA HERMIDA FABIAN</v>
          </cell>
          <cell r="D800" t="str">
            <v>CR 16 12 59</v>
          </cell>
          <cell r="E800" t="str">
            <v>3125793848</v>
          </cell>
          <cell r="F800" t="str">
            <v>Duitama</v>
          </cell>
        </row>
        <row r="801">
          <cell r="A801">
            <v>6801469</v>
          </cell>
          <cell r="C801" t="str">
            <v>SILVA HERMIDA JHOVANY</v>
          </cell>
          <cell r="D801" t="str">
            <v>CR 16 12 59</v>
          </cell>
          <cell r="E801" t="str">
            <v>3214358817</v>
          </cell>
          <cell r="F801" t="str">
            <v>Duitama</v>
          </cell>
        </row>
        <row r="802">
          <cell r="A802">
            <v>74379250</v>
          </cell>
          <cell r="B802">
            <v>1</v>
          </cell>
          <cell r="C802" t="str">
            <v>SILVA MONTAÑA ROGGER IVAN</v>
          </cell>
          <cell r="D802" t="str">
            <v>DG 22 1 11 BRR EL COGOLLO</v>
          </cell>
          <cell r="E802" t="str">
            <v>3012879786</v>
          </cell>
          <cell r="F802" t="str">
            <v>Duitama</v>
          </cell>
        </row>
        <row r="803">
          <cell r="A803">
            <v>74372993</v>
          </cell>
          <cell r="B803">
            <v>3</v>
          </cell>
          <cell r="C803" t="str">
            <v>SOLANO HOLGUIN EDWIN HERNAN</v>
          </cell>
        </row>
        <row r="804">
          <cell r="A804">
            <v>74377756</v>
          </cell>
          <cell r="B804">
            <v>7</v>
          </cell>
          <cell r="C804" t="str">
            <v>SOLANO HOLGUIN JESUS ALEXANDER</v>
          </cell>
          <cell r="D804" t="str">
            <v>CL 21 22A 41</v>
          </cell>
          <cell r="E804" t="str">
            <v>3208915087</v>
          </cell>
          <cell r="F804" t="str">
            <v>Paipa</v>
          </cell>
        </row>
        <row r="805">
          <cell r="A805">
            <v>7174536</v>
          </cell>
          <cell r="C805" t="str">
            <v>SOLER ALBA ELKIN MANUEL</v>
          </cell>
          <cell r="D805" t="str">
            <v>CR 11 19 SUR 34</v>
          </cell>
          <cell r="E805" t="str">
            <v>3112250955</v>
          </cell>
          <cell r="F805" t="str">
            <v>Sogamoso</v>
          </cell>
        </row>
        <row r="806">
          <cell r="A806">
            <v>95196975</v>
          </cell>
          <cell r="C806" t="str">
            <v>SUAREZ CELY LUIS EDUARDO</v>
          </cell>
          <cell r="D806" t="str">
            <v>CL 26 22 25</v>
          </cell>
          <cell r="E806" t="str">
            <v>7852869</v>
          </cell>
          <cell r="F806" t="str">
            <v>Paipa</v>
          </cell>
        </row>
        <row r="807">
          <cell r="A807">
            <v>23256311</v>
          </cell>
          <cell r="C807" t="str">
            <v>SUAREZ DE ALGARRA ROSA DELIA</v>
          </cell>
          <cell r="E807" t="str">
            <v>3134001905</v>
          </cell>
          <cell r="F807" t="str">
            <v>Paipa</v>
          </cell>
        </row>
        <row r="808">
          <cell r="A808">
            <v>4191788</v>
          </cell>
          <cell r="B808">
            <v>8</v>
          </cell>
          <cell r="C808" t="str">
            <v>SUAREZ GRIJALBO JOSE RAMIRO</v>
          </cell>
          <cell r="D808" t="str">
            <v>CR 19 24 41</v>
          </cell>
          <cell r="E808" t="str">
            <v>3134303411</v>
          </cell>
          <cell r="F808" t="str">
            <v>Paipa</v>
          </cell>
        </row>
        <row r="809">
          <cell r="A809">
            <v>6773812</v>
          </cell>
          <cell r="C809" t="str">
            <v>SUAREZ JIMENEZ FRANCISCO JAVIER</v>
          </cell>
          <cell r="D809" t="str">
            <v>URB PUEBLITO BOYACENSE MZ 6 CA 5</v>
          </cell>
          <cell r="F809" t="str">
            <v>Duitama</v>
          </cell>
        </row>
        <row r="810">
          <cell r="A810">
            <v>1053604919</v>
          </cell>
          <cell r="B810">
            <v>1</v>
          </cell>
          <cell r="C810" t="str">
            <v>SUAREZ PEREZ ALICIA LILIANA</v>
          </cell>
          <cell r="D810" t="str">
            <v>CL 24 24 07</v>
          </cell>
          <cell r="E810" t="str">
            <v>3202714072</v>
          </cell>
          <cell r="F810" t="str">
            <v>Paipa</v>
          </cell>
        </row>
        <row r="811">
          <cell r="A811">
            <v>7226420</v>
          </cell>
          <cell r="C811" t="str">
            <v>SUAREZ PUERTO LUIS ERNESTO</v>
          </cell>
        </row>
        <row r="812">
          <cell r="C812" t="str">
            <v>SUTA CAMARGO MARIA CELIA</v>
          </cell>
          <cell r="D812" t="str">
            <v>VDA SATIVA SECTOR LOS LAGOS</v>
          </cell>
          <cell r="F812" t="str">
            <v>Paipa</v>
          </cell>
        </row>
        <row r="813">
          <cell r="A813">
            <v>46371852</v>
          </cell>
          <cell r="B813">
            <v>7</v>
          </cell>
          <cell r="C813" t="str">
            <v>TAMAYO BARBOSA YENNY ALICIA</v>
          </cell>
          <cell r="D813" t="str">
            <v>AV LIBERTADORES 26A 07</v>
          </cell>
          <cell r="E813" t="str">
            <v>3115140706</v>
          </cell>
          <cell r="F813" t="str">
            <v>Paipa</v>
          </cell>
        </row>
        <row r="814">
          <cell r="A814">
            <v>46683407</v>
          </cell>
          <cell r="B814">
            <v>1</v>
          </cell>
          <cell r="C814" t="str">
            <v>TAMAYO MARIA MERCEDES</v>
          </cell>
          <cell r="D814" t="str">
            <v>CR 21 21 43</v>
          </cell>
          <cell r="E814" t="str">
            <v>3202714069</v>
          </cell>
          <cell r="F814" t="str">
            <v>Paipa</v>
          </cell>
        </row>
        <row r="815">
          <cell r="C815" t="str">
            <v>TEIXEIRA BENITEZ MARGATETH</v>
          </cell>
          <cell r="F815" t="str">
            <v>Duitama</v>
          </cell>
        </row>
        <row r="816">
          <cell r="A816">
            <v>1052393872</v>
          </cell>
          <cell r="C816" t="str">
            <v>TELLEZ SALGADO ROSENBER</v>
          </cell>
          <cell r="D816" t="str">
            <v>CL 14 3 11</v>
          </cell>
          <cell r="E816" t="str">
            <v>3228977437</v>
          </cell>
          <cell r="F816" t="str">
            <v>Duitama</v>
          </cell>
        </row>
        <row r="817">
          <cell r="A817">
            <v>1053608879</v>
          </cell>
          <cell r="C817" t="str">
            <v>TEXEIRA MARGARETE</v>
          </cell>
          <cell r="D817" t="str">
            <v>PAIPA CENTRO</v>
          </cell>
          <cell r="F817" t="str">
            <v>Paipa</v>
          </cell>
        </row>
        <row r="818">
          <cell r="A818">
            <v>93285244</v>
          </cell>
          <cell r="B818">
            <v>1</v>
          </cell>
          <cell r="C818" t="str">
            <v>TIJARO CARO GUSTAVO</v>
          </cell>
          <cell r="D818" t="str">
            <v>CL 17 8 22</v>
          </cell>
          <cell r="E818" t="str">
            <v>3212616922</v>
          </cell>
          <cell r="F818" t="str">
            <v>Duitama</v>
          </cell>
        </row>
        <row r="819">
          <cell r="A819">
            <v>7211669</v>
          </cell>
          <cell r="B819">
            <v>8</v>
          </cell>
          <cell r="C819" t="str">
            <v>TIRIA OCHOA ALVARO</v>
          </cell>
          <cell r="D819" t="str">
            <v>CR 16 16 63</v>
          </cell>
          <cell r="E819" t="str">
            <v>321351652</v>
          </cell>
          <cell r="F819" t="str">
            <v>Duitama</v>
          </cell>
        </row>
        <row r="820">
          <cell r="A820">
            <v>74370847</v>
          </cell>
          <cell r="B820">
            <v>7</v>
          </cell>
          <cell r="C820" t="str">
            <v>TIRIA TORRES WILSON OSWALDO</v>
          </cell>
          <cell r="D820" t="str">
            <v>CL 5 22 21 BRR SAN FERNANDO</v>
          </cell>
          <cell r="E820" t="str">
            <v>3143682361</v>
          </cell>
          <cell r="F820" t="str">
            <v>Duitama</v>
          </cell>
        </row>
        <row r="821">
          <cell r="A821">
            <v>1053615292</v>
          </cell>
          <cell r="C821" t="str">
            <v>TOCARRUNCHO BENAVIDEZ JOSE DAVID</v>
          </cell>
          <cell r="D821" t="str">
            <v>AV LIBERTADORES 25 33</v>
          </cell>
          <cell r="E821" t="str">
            <v>3003343446</v>
          </cell>
          <cell r="F821" t="str">
            <v>Paipa</v>
          </cell>
        </row>
        <row r="822">
          <cell r="A822">
            <v>7165924</v>
          </cell>
          <cell r="C822" t="str">
            <v>TORRES ALFONSO OSWALDO</v>
          </cell>
          <cell r="D822" t="str">
            <v>CRA 25 29 33</v>
          </cell>
          <cell r="E822" t="str">
            <v>3144265545</v>
          </cell>
          <cell r="F822" t="str">
            <v>Paipa</v>
          </cell>
        </row>
        <row r="823">
          <cell r="C823" t="str">
            <v>TORRES DE GONZALES MARINA</v>
          </cell>
          <cell r="D823" t="str">
            <v>KM 1 VIA PISCINAS</v>
          </cell>
          <cell r="E823" t="str">
            <v>3153171389</v>
          </cell>
          <cell r="F823" t="str">
            <v>Paipa</v>
          </cell>
        </row>
        <row r="824">
          <cell r="A824">
            <v>1002538432</v>
          </cell>
          <cell r="C824" t="str">
            <v>TORRES DIEGO</v>
          </cell>
        </row>
        <row r="825">
          <cell r="A825">
            <v>80158236</v>
          </cell>
          <cell r="C825" t="str">
            <v>TORRES MORALES JAVIER ISNARDO</v>
          </cell>
        </row>
        <row r="826">
          <cell r="A826">
            <v>7224515</v>
          </cell>
          <cell r="C826" t="str">
            <v>TORRES OMAR ADOLFO</v>
          </cell>
          <cell r="D826" t="str">
            <v>CR 45 4 24 BRR VILLA DEL PRADO</v>
          </cell>
          <cell r="E826" t="str">
            <v>3143111847</v>
          </cell>
          <cell r="F826" t="str">
            <v>Duitama</v>
          </cell>
        </row>
        <row r="827">
          <cell r="A827">
            <v>74324064</v>
          </cell>
          <cell r="B827">
            <v>1</v>
          </cell>
          <cell r="C827" t="str">
            <v>TORRES SORA ALFONSO</v>
          </cell>
        </row>
        <row r="828">
          <cell r="A828">
            <v>12145336</v>
          </cell>
          <cell r="B828">
            <v>6</v>
          </cell>
          <cell r="C828" t="str">
            <v>TOVAR DANNY FABIAN</v>
          </cell>
          <cell r="D828" t="str">
            <v>CR 19 15 47</v>
          </cell>
          <cell r="E828" t="str">
            <v>3107279383</v>
          </cell>
          <cell r="F828" t="str">
            <v>Duitama</v>
          </cell>
        </row>
        <row r="829">
          <cell r="A829">
            <v>4208067</v>
          </cell>
          <cell r="B829">
            <v>2</v>
          </cell>
          <cell r="C829" t="str">
            <v>TRIANA MARTINEZ JAVIER</v>
          </cell>
          <cell r="D829" t="str">
            <v>CL 25A 26 31 BRR SAN JUAN BOSCO</v>
          </cell>
          <cell r="E829" t="str">
            <v>3132333384</v>
          </cell>
          <cell r="F829" t="str">
            <v>Paipa</v>
          </cell>
        </row>
        <row r="830">
          <cell r="A830">
            <v>1023930660</v>
          </cell>
          <cell r="B830">
            <v>6</v>
          </cell>
          <cell r="C830" t="str">
            <v>TRIANA MEDINA ALEJANDRA</v>
          </cell>
          <cell r="D830" t="str">
            <v>CL 24 19 60</v>
          </cell>
          <cell r="E830" t="str">
            <v>3143533975</v>
          </cell>
          <cell r="F830" t="str">
            <v>Paipa</v>
          </cell>
        </row>
        <row r="831">
          <cell r="A831">
            <v>1007305447</v>
          </cell>
          <cell r="B831">
            <v>5</v>
          </cell>
          <cell r="C831" t="str">
            <v>URIBE CORREDOR HEIDY JULIETH</v>
          </cell>
        </row>
        <row r="832">
          <cell r="A832">
            <v>1002538230</v>
          </cell>
          <cell r="C832" t="str">
            <v>URIBE ZARA</v>
          </cell>
        </row>
        <row r="833">
          <cell r="A833">
            <v>80864126</v>
          </cell>
          <cell r="C833" t="str">
            <v>VALDERRAMA NIÑO LUIS ALEXANDER</v>
          </cell>
          <cell r="D833" t="str">
            <v>BARRIO CORINA MANZANA G CASA 2</v>
          </cell>
          <cell r="E833" t="str">
            <v>3127365362</v>
          </cell>
          <cell r="F833" t="str">
            <v>Duitama</v>
          </cell>
        </row>
        <row r="834">
          <cell r="A834">
            <v>1098816151</v>
          </cell>
          <cell r="B834">
            <v>4</v>
          </cell>
          <cell r="C834" t="str">
            <v>VARGAS FONSECA NICOLAS FELIPE</v>
          </cell>
          <cell r="D834" t="str">
            <v>CL 22 22 57</v>
          </cell>
          <cell r="E834" t="str">
            <v>3115115505</v>
          </cell>
          <cell r="F834" t="str">
            <v>Paipa</v>
          </cell>
        </row>
        <row r="835">
          <cell r="A835">
            <v>23753596</v>
          </cell>
          <cell r="B835">
            <v>2</v>
          </cell>
          <cell r="C835" t="str">
            <v>VARGAS MARISOL</v>
          </cell>
          <cell r="D835" t="str">
            <v>AV LIBERTADORES 25 65</v>
          </cell>
          <cell r="E835" t="str">
            <v>3124323725</v>
          </cell>
          <cell r="F835" t="str">
            <v>Paipa</v>
          </cell>
        </row>
        <row r="836">
          <cell r="A836">
            <v>74323442</v>
          </cell>
          <cell r="B836">
            <v>8</v>
          </cell>
          <cell r="C836" t="str">
            <v>VARGAS NELSON RAMIRO</v>
          </cell>
          <cell r="D836" t="str">
            <v>CL 24 19 97</v>
          </cell>
          <cell r="F836" t="str">
            <v>Paipa</v>
          </cell>
        </row>
        <row r="837">
          <cell r="A837">
            <v>46681947</v>
          </cell>
          <cell r="C837" t="str">
            <v>VARGAS RODRIGUEZ DIANA MARIA</v>
          </cell>
        </row>
        <row r="838">
          <cell r="A838">
            <v>74360090</v>
          </cell>
          <cell r="C838" t="str">
            <v>VASQUEZ BECERRA JAIME ERNESTO</v>
          </cell>
        </row>
        <row r="839">
          <cell r="A839">
            <v>7226847</v>
          </cell>
          <cell r="B839">
            <v>8</v>
          </cell>
          <cell r="C839" t="str">
            <v>VELANDIA CELY LUIS</v>
          </cell>
          <cell r="D839" t="str">
            <v>CL 9 19 85</v>
          </cell>
          <cell r="E839" t="str">
            <v>7604951</v>
          </cell>
          <cell r="F839" t="str">
            <v>Duitama</v>
          </cell>
        </row>
        <row r="840">
          <cell r="A840">
            <v>6772509</v>
          </cell>
          <cell r="B840">
            <v>0</v>
          </cell>
          <cell r="C840" t="str">
            <v>VELANDIA INFANTE JAIME ALBERTO</v>
          </cell>
          <cell r="D840" t="str">
            <v>CL 16 14 68 OF 308</v>
          </cell>
          <cell r="E840" t="str">
            <v>3112679721</v>
          </cell>
          <cell r="F840" t="str">
            <v>Duitama</v>
          </cell>
        </row>
        <row r="841">
          <cell r="A841">
            <v>46682501</v>
          </cell>
          <cell r="B841">
            <v>1</v>
          </cell>
          <cell r="C841" t="str">
            <v>VELANDIA ORTIZ ADRIANA CAROLIN</v>
          </cell>
          <cell r="D841" t="str">
            <v>CL 23 22 53</v>
          </cell>
          <cell r="E841" t="str">
            <v>3213703844</v>
          </cell>
          <cell r="F841" t="str">
            <v>Paipa</v>
          </cell>
        </row>
        <row r="842">
          <cell r="A842">
            <v>1053605035</v>
          </cell>
          <cell r="B842">
            <v>9</v>
          </cell>
          <cell r="C842" t="str">
            <v>VELASCO ALVARADO OSCAR FERNEY</v>
          </cell>
          <cell r="D842" t="str">
            <v>VDA TOIBITA</v>
          </cell>
          <cell r="E842" t="str">
            <v>3133569092</v>
          </cell>
          <cell r="F842" t="str">
            <v>Paipa</v>
          </cell>
        </row>
        <row r="843">
          <cell r="A843">
            <v>14735244</v>
          </cell>
          <cell r="B843">
            <v>6</v>
          </cell>
          <cell r="C843" t="str">
            <v>VELASQUEZ SILVESTRE HILDEM ELISEO</v>
          </cell>
          <cell r="D843" t="str">
            <v>CR 21 14 12</v>
          </cell>
          <cell r="E843" t="str">
            <v>3125213421</v>
          </cell>
          <cell r="F843" t="str">
            <v>Duitama</v>
          </cell>
        </row>
        <row r="844">
          <cell r="A844">
            <v>14735244</v>
          </cell>
          <cell r="C844" t="str">
            <v>VELASQUEZ SILVESTRE HILMEN ELICEO</v>
          </cell>
          <cell r="D844" t="str">
            <v>PAIPA</v>
          </cell>
          <cell r="F844" t="str">
            <v>Paipa</v>
          </cell>
        </row>
        <row r="845">
          <cell r="C845" t="str">
            <v>VERGARA ALMECIGA LUZ NELDY</v>
          </cell>
        </row>
        <row r="846">
          <cell r="C846" t="str">
            <v>VILLAMIZAR OLIVER</v>
          </cell>
        </row>
        <row r="847">
          <cell r="A847">
            <v>1004804899</v>
          </cell>
          <cell r="C847" t="str">
            <v>VILLAMIZAR SANCHEZ PABLO ENRIQUE</v>
          </cell>
          <cell r="D847" t="str">
            <v>CR 3 4B 25 BARR LAS DELICIAS</v>
          </cell>
          <cell r="E847" t="str">
            <v>3124690500</v>
          </cell>
          <cell r="F847" t="str">
            <v>Duitama</v>
          </cell>
        </row>
        <row r="848">
          <cell r="A848">
            <v>74365868</v>
          </cell>
          <cell r="C848" t="str">
            <v>VILLATE  LUIS ALFONSO</v>
          </cell>
          <cell r="D848" t="str">
            <v>CR 17 2 85</v>
          </cell>
          <cell r="E848" t="str">
            <v>3113332667</v>
          </cell>
          <cell r="F848" t="str">
            <v>Duitama</v>
          </cell>
        </row>
        <row r="849">
          <cell r="A849">
            <v>74378584</v>
          </cell>
          <cell r="C849" t="str">
            <v>VIVAS VERDUGO WILLIAM RICARDO</v>
          </cell>
          <cell r="D849" t="str">
            <v>CR 15 16 12</v>
          </cell>
          <cell r="E849" t="str">
            <v>7636475</v>
          </cell>
          <cell r="F849" t="str">
            <v>Duitama</v>
          </cell>
        </row>
        <row r="850">
          <cell r="A850">
            <v>74371114</v>
          </cell>
          <cell r="C850" t="str">
            <v>YANQUEN PARADA JOSE DAVID</v>
          </cell>
          <cell r="D850" t="str">
            <v>CL 8 11B 18</v>
          </cell>
          <cell r="E850" t="str">
            <v>3104801107</v>
          </cell>
          <cell r="F850" t="str">
            <v>Duitama</v>
          </cell>
        </row>
        <row r="851">
          <cell r="A851">
            <v>40028401</v>
          </cell>
          <cell r="B851">
            <v>8</v>
          </cell>
          <cell r="C851" t="str">
            <v>YARURO CARRASCAL NURY</v>
          </cell>
          <cell r="D851" t="str">
            <v>CL 12 17 33</v>
          </cell>
          <cell r="E851" t="str">
            <v>7613287</v>
          </cell>
          <cell r="F851" t="str">
            <v>Duitama</v>
          </cell>
        </row>
        <row r="852">
          <cell r="A852">
            <v>7224489</v>
          </cell>
          <cell r="C852" t="str">
            <v>ZABALA GUEVARA LUIS GERARDO</v>
          </cell>
          <cell r="D852" t="str">
            <v>CL 3W 4B 32</v>
          </cell>
          <cell r="F852" t="str">
            <v>Duitama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oja3"/>
      <sheetName val="ExportarAExcel (2)"/>
      <sheetName val="ExportarAExcel"/>
    </sheetNames>
    <sheetDataSet>
      <sheetData sheetId="0">
        <row r="30">
          <cell r="A30" t="str">
            <v>NIT</v>
          </cell>
          <cell r="B30" t="str">
            <v>Tercero</v>
          </cell>
          <cell r="C30" t="str">
            <v>Cuenta</v>
          </cell>
          <cell r="D30" t="str">
            <v>Total</v>
          </cell>
        </row>
        <row r="31">
          <cell r="A31">
            <v>9524528</v>
          </cell>
          <cell r="B31" t="str">
            <v xml:space="preserve">AREVALO PIÑEROS WILLIAM ISAURO  </v>
          </cell>
          <cell r="C31" t="str">
            <v>23680103 RT DE ICA HONORARIOS 8 x MIL</v>
          </cell>
          <cell r="D31">
            <v>4298</v>
          </cell>
        </row>
        <row r="32">
          <cell r="A32">
            <v>901145641</v>
          </cell>
          <cell r="B32" t="str">
            <v xml:space="preserve">CDA LANCEROS S.A.S </v>
          </cell>
          <cell r="C32" t="str">
            <v>23680102 RT DE ICA SERVICIOS 10 x MIL</v>
          </cell>
          <cell r="D32">
            <v>1953</v>
          </cell>
        </row>
        <row r="33">
          <cell r="A33">
            <v>1055332675</v>
          </cell>
          <cell r="B33" t="str">
            <v xml:space="preserve">CUERVO SUAREZ EDWIN GIOVANY  </v>
          </cell>
          <cell r="C33" t="str">
            <v>23680105 RTE DE ICA CONTRATO DE OBRA 8 x MIL</v>
          </cell>
          <cell r="D33">
            <v>267010</v>
          </cell>
        </row>
        <row r="34">
          <cell r="A34">
            <v>1051588410</v>
          </cell>
          <cell r="B34" t="str">
            <v xml:space="preserve">FAGUA PORRAS JHON ARLEY  </v>
          </cell>
          <cell r="C34" t="str">
            <v>23680105 RTE DE ICA CONTRATO DE OBRA 8 x MIL</v>
          </cell>
          <cell r="D34">
            <v>435016</v>
          </cell>
        </row>
        <row r="35">
          <cell r="A35">
            <v>23854940</v>
          </cell>
          <cell r="B35" t="str">
            <v xml:space="preserve">HERRERA JAIME MARIA ELVIRA  </v>
          </cell>
          <cell r="C35" t="str">
            <v>23680108 RT DE ICA SERVICIOS 8 x MIL</v>
          </cell>
          <cell r="D35">
            <v>98113</v>
          </cell>
        </row>
        <row r="36">
          <cell r="A36">
            <v>4191930</v>
          </cell>
          <cell r="B36" t="str">
            <v xml:space="preserve">HERRERA JAIME RICARDO ALFREDO  </v>
          </cell>
          <cell r="C36" t="str">
            <v>23680108 RT DE ICA SERVICIOS 8 x MIL</v>
          </cell>
          <cell r="D36">
            <v>235857</v>
          </cell>
        </row>
        <row r="37">
          <cell r="A37">
            <v>1053611547</v>
          </cell>
          <cell r="B37" t="str">
            <v xml:space="preserve">HERRERA KHENAYZIR CAROLINA  </v>
          </cell>
          <cell r="C37" t="str">
            <v>23680108 RT DE ICA SERVICIOS 8 x MIL</v>
          </cell>
          <cell r="D37">
            <v>98113</v>
          </cell>
        </row>
        <row r="38">
          <cell r="A38">
            <v>1053609700</v>
          </cell>
          <cell r="B38" t="str">
            <v xml:space="preserve">HERRERA KHENAYZIR NATALIA  </v>
          </cell>
          <cell r="C38" t="str">
            <v>23680108 RT DE ICA SERVICIOS 8 x MIL</v>
          </cell>
          <cell r="D38">
            <v>66723</v>
          </cell>
        </row>
        <row r="39">
          <cell r="A39">
            <v>800112602</v>
          </cell>
          <cell r="B39" t="str">
            <v xml:space="preserve">INGENIERIA Y GEOLOGIA SAS  </v>
          </cell>
          <cell r="C39" t="str">
            <v>23680113 RETEICA HONORARIOS 10 X 1000</v>
          </cell>
          <cell r="D39">
            <v>25211</v>
          </cell>
        </row>
        <row r="40">
          <cell r="A40">
            <v>1049624193</v>
          </cell>
          <cell r="B40" t="str">
            <v xml:space="preserve">JOYA ALVARADO WILMER ASDRUBAL  </v>
          </cell>
          <cell r="C40" t="str">
            <v>23680113 RETEICA HONORARIOS 10 X 1000</v>
          </cell>
          <cell r="D40">
            <v>92500</v>
          </cell>
        </row>
        <row r="41">
          <cell r="A41">
            <v>800185511</v>
          </cell>
          <cell r="B41" t="str">
            <v xml:space="preserve">LADRILLOS EL ZIPA SAS  </v>
          </cell>
          <cell r="C41" t="str">
            <v>23680109 RETEICA COMPRAS 10 X 1000</v>
          </cell>
          <cell r="D41">
            <v>180000</v>
          </cell>
        </row>
        <row r="42">
          <cell r="A42">
            <v>901032442</v>
          </cell>
          <cell r="B42" t="str">
            <v xml:space="preserve">LUCTRA SAS  </v>
          </cell>
          <cell r="C42" t="str">
            <v>23680101 RT DE ICA COMPRAS 8 x MIL</v>
          </cell>
          <cell r="D42">
            <v>1647</v>
          </cell>
        </row>
        <row r="43">
          <cell r="A43">
            <v>19451796</v>
          </cell>
          <cell r="B43" t="str">
            <v xml:space="preserve">MANTILLA CAICEDO JOSE VICENTE </v>
          </cell>
          <cell r="C43" t="str">
            <v>23680108 RT DE ICA SERVICIOS 8 x MIL</v>
          </cell>
          <cell r="D43">
            <v>94782</v>
          </cell>
        </row>
        <row r="44">
          <cell r="A44">
            <v>23853895</v>
          </cell>
          <cell r="B44" t="str">
            <v xml:space="preserve">MEDINA DE PACHECO DORA HILDA  </v>
          </cell>
          <cell r="C44" t="str">
            <v>23680101 RT DE ICA COMPRAS 8 x MIL</v>
          </cell>
          <cell r="D44">
            <v>5680</v>
          </cell>
        </row>
        <row r="45">
          <cell r="A45">
            <v>7162055</v>
          </cell>
          <cell r="B45" t="str">
            <v xml:space="preserve">RODRIGUEZ FAGUA JOSE EUCLIDES  </v>
          </cell>
          <cell r="C45" t="str">
            <v>23680105 RTE DE ICA CONTRATO DE OBRA 8 x MIL</v>
          </cell>
          <cell r="D45">
            <v>580776</v>
          </cell>
        </row>
        <row r="46">
          <cell r="A46">
            <v>46454480</v>
          </cell>
          <cell r="B46" t="str">
            <v xml:space="preserve">RODRIGUEZ HERRERA MAYERLY  </v>
          </cell>
          <cell r="C46" t="str">
            <v>23680105 RTE DE ICA CONTRATO DE OBRA 8 x MIL</v>
          </cell>
          <cell r="D46">
            <v>16461</v>
          </cell>
        </row>
        <row r="47">
          <cell r="A47">
            <v>74360851</v>
          </cell>
          <cell r="B47" t="str">
            <v xml:space="preserve">SALAMANCA CAMARGO WILSON ALBERTO </v>
          </cell>
          <cell r="C47" t="str">
            <v>23680108 RT DE ICA SERVICIOS 8 x MIL</v>
          </cell>
          <cell r="D47">
            <v>88111</v>
          </cell>
        </row>
        <row r="48">
          <cell r="A48">
            <v>900031780</v>
          </cell>
          <cell r="B48" t="str">
            <v xml:space="preserve">SM ASOCIADOS S.A. </v>
          </cell>
          <cell r="C48" t="str">
            <v>23680101 RT DE ICA COMPRAS 8 x MIL</v>
          </cell>
          <cell r="D48">
            <v>152971</v>
          </cell>
        </row>
        <row r="49">
          <cell r="A49">
            <v>901128826</v>
          </cell>
          <cell r="B49" t="str">
            <v xml:space="preserve">SOCIAL SOLAR SAS  </v>
          </cell>
          <cell r="C49" t="str">
            <v>23680109 RETEICA COMPRAS 10 X 1000</v>
          </cell>
          <cell r="D49">
            <v>2992</v>
          </cell>
        </row>
        <row r="50">
          <cell r="A50">
            <v>1053605035</v>
          </cell>
          <cell r="B50" t="str">
            <v xml:space="preserve">VELASCO ALVARADO OSCAR FERNEY  </v>
          </cell>
          <cell r="C50" t="str">
            <v>23680109 RETEICA COMPRAS 10 X 1000</v>
          </cell>
          <cell r="D50">
            <v>22500</v>
          </cell>
        </row>
        <row r="51">
          <cell r="B51" t="str">
            <v>Total general</v>
          </cell>
          <cell r="C51"/>
          <cell r="D51">
            <v>2470714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E5"/>
      <sheetName val="Actividades"/>
      <sheetName val="Municipios"/>
    </sheetNames>
    <sheetDataSet>
      <sheetData sheetId="0">
        <row r="6">
          <cell r="A6" t="str">
            <v>NIT / CC DEL PROVEEDOR</v>
          </cell>
          <cell r="B6" t="str">
            <v>DV</v>
          </cell>
          <cell r="C6" t="str">
            <v xml:space="preserve">NOMBRE O RAZON SOCIAL DEL PROVEEDOR </v>
          </cell>
          <cell r="D6" t="str">
            <v xml:space="preserve">CORREO ELECTRÓNICO </v>
          </cell>
          <cell r="E6" t="str">
            <v xml:space="preserve">TELÉFONO </v>
          </cell>
          <cell r="F6" t="str">
            <v>DIRECCIÓN DOMICILIO FISCAL</v>
          </cell>
          <cell r="G6" t="str">
            <v>CÓDIGO DEL MUNICIPIO</v>
          </cell>
          <cell r="H6" t="str">
            <v>CÓDIGO ACTIVIDAD DEL BIEN O SERVICIO ADQUIRIDO</v>
          </cell>
          <cell r="I6" t="str">
            <v xml:space="preserve">VALOR FACTURADO CONSOLIDADO POR ACTIVIDAD ECONÓMICA </v>
          </cell>
          <cell r="J6" t="str">
            <v>RETENCIÓN PRACTICADA</v>
          </cell>
          <cell r="K6" t="str">
            <v>DEVOLUCIONES REBAJAS Y DESCUENTOS</v>
          </cell>
        </row>
        <row r="7">
          <cell r="A7">
            <v>46681167</v>
          </cell>
          <cell r="B7">
            <v>1</v>
          </cell>
          <cell r="C7" t="str">
            <v>EMILCE BOLIVAR CRUZ</v>
          </cell>
          <cell r="D7" t="str">
            <v>servidigital07@gmail.com</v>
          </cell>
          <cell r="E7" t="str">
            <v>7851709</v>
          </cell>
          <cell r="F7" t="str">
            <v>CL 25 22 49</v>
          </cell>
          <cell r="G7" t="str">
            <v>15516</v>
          </cell>
          <cell r="H7">
            <v>326</v>
          </cell>
          <cell r="I7">
            <v>12600000</v>
          </cell>
          <cell r="J7">
            <v>130904</v>
          </cell>
          <cell r="K7">
            <v>0</v>
          </cell>
        </row>
        <row r="8">
          <cell r="A8">
            <v>901044874</v>
          </cell>
          <cell r="B8">
            <v>8</v>
          </cell>
          <cell r="C8" t="str">
            <v>R &amp; F ENERGY INSPECTION S.A.S</v>
          </cell>
          <cell r="D8" t="str">
            <v>ryfenergysas@hotmail.com</v>
          </cell>
          <cell r="E8" t="str">
            <v>3118444071</v>
          </cell>
          <cell r="F8" t="str">
            <v>CL 12 36 50</v>
          </cell>
          <cell r="G8" t="str">
            <v>15238</v>
          </cell>
          <cell r="H8">
            <v>329</v>
          </cell>
          <cell r="I8">
            <v>1200000</v>
          </cell>
          <cell r="J8">
            <v>0</v>
          </cell>
          <cell r="K8">
            <v>0</v>
          </cell>
        </row>
        <row r="9">
          <cell r="A9">
            <v>1100525</v>
          </cell>
          <cell r="B9">
            <v>8</v>
          </cell>
          <cell r="C9" t="str">
            <v>JOSE JACINTO CRUZ PIAMONTE</v>
          </cell>
          <cell r="D9" t="str">
            <v>josejacintocruzpiamonte@gmail.com</v>
          </cell>
          <cell r="E9" t="str">
            <v>3132765985</v>
          </cell>
          <cell r="F9" t="str">
            <v>VDA CENTRAL BELLA VISTA</v>
          </cell>
          <cell r="G9" t="str">
            <v>15500</v>
          </cell>
          <cell r="H9">
            <v>329</v>
          </cell>
          <cell r="I9">
            <v>282288019</v>
          </cell>
          <cell r="J9">
            <v>0</v>
          </cell>
          <cell r="K9">
            <v>0</v>
          </cell>
        </row>
        <row r="10">
          <cell r="A10">
            <v>4045191</v>
          </cell>
          <cell r="B10">
            <v>0</v>
          </cell>
          <cell r="C10" t="str">
            <v>RAUL RODRIGUEZ RODRIGUEZ</v>
          </cell>
          <cell r="D10" t="str">
            <v>agladysvladerrama05@gmail.com</v>
          </cell>
          <cell r="E10" t="str">
            <v>3132519791</v>
          </cell>
          <cell r="F10" t="str">
            <v>DG 22 22 58</v>
          </cell>
          <cell r="G10" t="str">
            <v>15516</v>
          </cell>
          <cell r="H10">
            <v>329</v>
          </cell>
          <cell r="I10">
            <v>37041152</v>
          </cell>
          <cell r="J10">
            <v>296329</v>
          </cell>
          <cell r="K10">
            <v>0</v>
          </cell>
        </row>
        <row r="11">
          <cell r="A11">
            <v>4243108</v>
          </cell>
          <cell r="B11">
            <v>4</v>
          </cell>
          <cell r="C11" t="str">
            <v>ADIOSTO RUIZ LADINO</v>
          </cell>
          <cell r="D11" t="str">
            <v>lagoverdeconstrucciones@gmail.com</v>
          </cell>
          <cell r="E11" t="str">
            <v>3118562709</v>
          </cell>
          <cell r="F11" t="str">
            <v>CR 5 19 45 BRR MANZANARES</v>
          </cell>
          <cell r="G11" t="str">
            <v>15238</v>
          </cell>
          <cell r="H11">
            <v>301</v>
          </cell>
          <cell r="I11">
            <v>1610000</v>
          </cell>
          <cell r="J11">
            <v>6160</v>
          </cell>
          <cell r="K11">
            <v>0</v>
          </cell>
        </row>
        <row r="12">
          <cell r="A12">
            <v>4254691</v>
          </cell>
          <cell r="B12">
            <v>4</v>
          </cell>
          <cell r="C12" t="str">
            <v>ADAN MALPICA HERRERA</v>
          </cell>
          <cell r="D12" t="str">
            <v>adanmalpicaherrera@gmail.com</v>
          </cell>
          <cell r="E12" t="str">
            <v>7705230</v>
          </cell>
          <cell r="F12" t="str">
            <v>CL 48 A 10 A 132</v>
          </cell>
          <cell r="G12" t="str">
            <v>15759</v>
          </cell>
          <cell r="H12">
            <v>329</v>
          </cell>
          <cell r="I12">
            <v>6000000</v>
          </cell>
          <cell r="J12">
            <v>48000</v>
          </cell>
          <cell r="K12">
            <v>0</v>
          </cell>
        </row>
        <row r="13">
          <cell r="A13">
            <v>6801469</v>
          </cell>
          <cell r="B13">
            <v>1</v>
          </cell>
          <cell r="C13" t="str">
            <v>JHOVANY SILVA HERMIDA</v>
          </cell>
          <cell r="D13" t="str">
            <v>jhovanny2502@hotmail.com</v>
          </cell>
          <cell r="E13" t="str">
            <v>3214358817</v>
          </cell>
          <cell r="F13" t="str">
            <v>VDA PEÑA NEGRA</v>
          </cell>
          <cell r="G13" t="str">
            <v>15806</v>
          </cell>
          <cell r="H13">
            <v>329</v>
          </cell>
          <cell r="I13">
            <v>16151708</v>
          </cell>
          <cell r="J13">
            <v>129214</v>
          </cell>
          <cell r="K13">
            <v>0</v>
          </cell>
        </row>
        <row r="14">
          <cell r="A14">
            <v>7162055</v>
          </cell>
          <cell r="B14">
            <v>5</v>
          </cell>
          <cell r="C14" t="str">
            <v>JOSE EUCLIDES RODRIGUEZ FAGUA</v>
          </cell>
          <cell r="D14" t="str">
            <v>joseeuclides44@outlook.com</v>
          </cell>
          <cell r="E14" t="str">
            <v>3123645746</v>
          </cell>
          <cell r="F14" t="str">
            <v>VDA CENTRO</v>
          </cell>
          <cell r="G14" t="str">
            <v>15500</v>
          </cell>
          <cell r="H14">
            <v>329</v>
          </cell>
          <cell r="I14">
            <v>25550000</v>
          </cell>
          <cell r="J14">
            <v>204400</v>
          </cell>
          <cell r="K14">
            <v>0</v>
          </cell>
        </row>
        <row r="15">
          <cell r="A15">
            <v>7222514</v>
          </cell>
          <cell r="B15">
            <v>2</v>
          </cell>
          <cell r="C15" t="str">
            <v>JORGE EDGAR ESTUPIÑAN MESA</v>
          </cell>
          <cell r="D15" t="str">
            <v>ingealumyestructuras@hotmail.com</v>
          </cell>
          <cell r="E15" t="str">
            <v>7627144</v>
          </cell>
          <cell r="F15" t="str">
            <v>TRV 29 14 74</v>
          </cell>
          <cell r="G15" t="str">
            <v>15238</v>
          </cell>
          <cell r="H15">
            <v>313</v>
          </cell>
          <cell r="I15">
            <v>4959033</v>
          </cell>
          <cell r="J15">
            <v>39672</v>
          </cell>
          <cell r="K15">
            <v>0</v>
          </cell>
        </row>
        <row r="16">
          <cell r="A16">
            <v>7227927</v>
          </cell>
          <cell r="B16">
            <v>3</v>
          </cell>
          <cell r="C16" t="str">
            <v>PABLO HERNANDO MARIÑO GARCIA</v>
          </cell>
          <cell r="D16" t="str">
            <v>serviciotecnico.sme@gmail.com</v>
          </cell>
          <cell r="E16" t="str">
            <v>3102191633</v>
          </cell>
          <cell r="F16" t="str">
            <v>CL 13 16 28</v>
          </cell>
          <cell r="G16" t="str">
            <v>15238</v>
          </cell>
          <cell r="H16">
            <v>329</v>
          </cell>
          <cell r="I16">
            <v>44000000</v>
          </cell>
          <cell r="J16">
            <v>352000</v>
          </cell>
          <cell r="K16">
            <v>0</v>
          </cell>
        </row>
        <row r="17">
          <cell r="A17">
            <v>14735244</v>
          </cell>
          <cell r="B17">
            <v>6</v>
          </cell>
          <cell r="C17" t="str">
            <v>HILDEM ELICEO VELASQUEZ SILVESTRE</v>
          </cell>
          <cell r="D17" t="str">
            <v>todoalum_duitama@yahoo.com.ar</v>
          </cell>
          <cell r="E17" t="str">
            <v>3123336594</v>
          </cell>
          <cell r="F17" t="str">
            <v>CR 21 14 12</v>
          </cell>
          <cell r="G17" t="str">
            <v>15238</v>
          </cell>
          <cell r="H17">
            <v>219</v>
          </cell>
          <cell r="I17">
            <v>23529412</v>
          </cell>
          <cell r="J17"/>
          <cell r="K17">
            <v>0</v>
          </cell>
        </row>
        <row r="18">
          <cell r="A18">
            <v>16185780</v>
          </cell>
          <cell r="B18">
            <v>9</v>
          </cell>
          <cell r="C18" t="str">
            <v>FABIAN SILVA HERMIDA</v>
          </cell>
          <cell r="D18" t="str">
            <v>fabiansilvahermida8@gmail.com</v>
          </cell>
          <cell r="E18" t="str">
            <v>3125793843</v>
          </cell>
          <cell r="F18" t="str">
            <v>VILLA CORINA MZD CA 4</v>
          </cell>
          <cell r="G18" t="str">
            <v>15516</v>
          </cell>
          <cell r="H18">
            <v>329</v>
          </cell>
          <cell r="I18">
            <v>18175000</v>
          </cell>
          <cell r="J18">
            <v>139472</v>
          </cell>
          <cell r="K18">
            <v>0</v>
          </cell>
        </row>
        <row r="19">
          <cell r="A19">
            <v>23854232</v>
          </cell>
          <cell r="B19">
            <v>0</v>
          </cell>
          <cell r="C19" t="str">
            <v>ANA OTILIA ORTIZ DE FARFAN</v>
          </cell>
          <cell r="D19" t="str">
            <v>pintufarfan@gmail.com</v>
          </cell>
          <cell r="E19" t="str">
            <v>3132656003</v>
          </cell>
          <cell r="F19" t="str">
            <v>CR 22 22 79 CENTRO</v>
          </cell>
          <cell r="G19" t="str">
            <v>15516</v>
          </cell>
          <cell r="H19">
            <v>313</v>
          </cell>
          <cell r="I19">
            <v>13670000</v>
          </cell>
          <cell r="J19">
            <v>109360</v>
          </cell>
          <cell r="K19">
            <v>0</v>
          </cell>
        </row>
        <row r="20">
          <cell r="A20">
            <v>40030550</v>
          </cell>
          <cell r="B20">
            <v>3</v>
          </cell>
          <cell r="C20" t="str">
            <v>MARIA YANETH COMBARIZA</v>
          </cell>
          <cell r="D20" t="str">
            <v>mariajanethcombariza89@gmail.com</v>
          </cell>
          <cell r="E20" t="str">
            <v>3223452203</v>
          </cell>
          <cell r="F20" t="str">
            <v>CL 2 A 15 A 13 BR BALCONES DE LA VILLA</v>
          </cell>
          <cell r="G20" t="str">
            <v>15001</v>
          </cell>
          <cell r="H20">
            <v>329</v>
          </cell>
          <cell r="I20">
            <v>3000000</v>
          </cell>
          <cell r="J20">
            <v>24000</v>
          </cell>
          <cell r="K20">
            <v>0</v>
          </cell>
        </row>
        <row r="21">
          <cell r="A21">
            <v>74370847</v>
          </cell>
          <cell r="B21">
            <v>7</v>
          </cell>
          <cell r="C21" t="str">
            <v>WILSON OSWALDO TIRIA TORRES</v>
          </cell>
          <cell r="D21" t="str">
            <v>willitorres1006@gmail.com</v>
          </cell>
          <cell r="E21" t="str">
            <v>3143682361</v>
          </cell>
          <cell r="F21" t="str">
            <v>CR 28 19A 74</v>
          </cell>
          <cell r="G21" t="str">
            <v>15238</v>
          </cell>
          <cell r="H21">
            <v>329</v>
          </cell>
          <cell r="I21">
            <v>74000000</v>
          </cell>
          <cell r="J21">
            <v>592000</v>
          </cell>
          <cell r="K21">
            <v>0</v>
          </cell>
        </row>
        <row r="22">
          <cell r="A22">
            <v>74371114</v>
          </cell>
          <cell r="B22">
            <v>1</v>
          </cell>
          <cell r="C22" t="str">
            <v>JOSE DAVID YANQUEN PARADA</v>
          </cell>
          <cell r="D22" t="str">
            <v>yanquispr@gmail.com</v>
          </cell>
          <cell r="E22" t="str">
            <v>3104801107</v>
          </cell>
          <cell r="F22" t="str">
            <v>CL 8 11B 18</v>
          </cell>
          <cell r="G22" t="str">
            <v>15238</v>
          </cell>
          <cell r="H22">
            <v>329</v>
          </cell>
          <cell r="I22">
            <v>66000000</v>
          </cell>
          <cell r="J22">
            <v>576000</v>
          </cell>
          <cell r="K22">
            <v>0</v>
          </cell>
        </row>
        <row r="23">
          <cell r="A23">
            <v>74372707</v>
          </cell>
          <cell r="B23">
            <v>3</v>
          </cell>
          <cell r="C23" t="str">
            <v>JOSE ABELARDO PEREZ PINTO</v>
          </cell>
          <cell r="D23" t="str">
            <v>carpinteriajoseabel@gmail.com</v>
          </cell>
          <cell r="E23" t="str">
            <v>3142558438</v>
          </cell>
          <cell r="F23" t="str">
            <v>CL 26 17 A 46</v>
          </cell>
          <cell r="G23" t="str">
            <v>15238</v>
          </cell>
          <cell r="H23">
            <v>329</v>
          </cell>
          <cell r="I23">
            <v>152610919</v>
          </cell>
          <cell r="J23">
            <v>0</v>
          </cell>
          <cell r="K23">
            <v>0</v>
          </cell>
        </row>
        <row r="24">
          <cell r="A24">
            <v>74375905</v>
          </cell>
          <cell r="B24">
            <v>9</v>
          </cell>
          <cell r="C24" t="str">
            <v>JUAN PABLO CORREDOR</v>
          </cell>
          <cell r="D24" t="str">
            <v>lverdeconstrucciones@gmail.com</v>
          </cell>
          <cell r="E24" t="str">
            <v>3214443245</v>
          </cell>
          <cell r="F24" t="str">
            <v>TV 14 10 53</v>
          </cell>
          <cell r="G24" t="str">
            <v>15238</v>
          </cell>
          <cell r="H24">
            <v>329</v>
          </cell>
          <cell r="I24">
            <v>18800000</v>
          </cell>
          <cell r="J24">
            <v>150400</v>
          </cell>
          <cell r="K24">
            <v>0</v>
          </cell>
        </row>
        <row r="25">
          <cell r="A25">
            <v>74377756</v>
          </cell>
          <cell r="B25">
            <v>7</v>
          </cell>
          <cell r="C25" t="str">
            <v>JESUS ALEXANDER SOLANO HOLGUIN</v>
          </cell>
          <cell r="D25" t="str">
            <v>electrobobinadossolano24@gmail.com</v>
          </cell>
          <cell r="E25" t="str">
            <v>3208915087</v>
          </cell>
          <cell r="F25" t="str">
            <v>PRIMERO DE MAYO CL 2 17 21</v>
          </cell>
          <cell r="G25" t="str">
            <v>15238</v>
          </cell>
          <cell r="H25">
            <v>334</v>
          </cell>
          <cell r="I25">
            <v>1340000</v>
          </cell>
          <cell r="J25">
            <v>0</v>
          </cell>
          <cell r="K25">
            <v>0</v>
          </cell>
        </row>
        <row r="26">
          <cell r="A26">
            <v>74381494</v>
          </cell>
          <cell r="B26">
            <v>8</v>
          </cell>
          <cell r="C26" t="str">
            <v>HENRY DANIEL BECERRA BECERRA</v>
          </cell>
          <cell r="D26" t="str">
            <v>henrys1494@gmail.com</v>
          </cell>
          <cell r="E26" t="str">
            <v>3124100472</v>
          </cell>
          <cell r="F26" t="str">
            <v>VDA QUEBRADA DE BECERRAS DUITAMA</v>
          </cell>
          <cell r="G26" t="str">
            <v>15238</v>
          </cell>
          <cell r="H26">
            <v>301</v>
          </cell>
          <cell r="I26">
            <v>7015000</v>
          </cell>
          <cell r="J26">
            <v>49105</v>
          </cell>
          <cell r="K26">
            <v>0</v>
          </cell>
        </row>
        <row r="27">
          <cell r="A27">
            <v>79296560</v>
          </cell>
          <cell r="B27">
            <v>0</v>
          </cell>
          <cell r="C27" t="str">
            <v>ORLANDO MEDINA ESCOBAR</v>
          </cell>
          <cell r="D27" t="str">
            <v>ormes49.oe@hotmail.com</v>
          </cell>
          <cell r="E27" t="str">
            <v>3158379410</v>
          </cell>
          <cell r="F27" t="str">
            <v>farfan</v>
          </cell>
          <cell r="G27" t="str">
            <v>15238</v>
          </cell>
          <cell r="H27">
            <v>329</v>
          </cell>
          <cell r="I27">
            <v>3500000</v>
          </cell>
          <cell r="J27">
            <v>28000</v>
          </cell>
          <cell r="K27">
            <v>0</v>
          </cell>
        </row>
        <row r="28">
          <cell r="A28">
            <v>79841409</v>
          </cell>
          <cell r="B28">
            <v>4</v>
          </cell>
          <cell r="C28" t="str">
            <v>MISAEL NIÑO ORTIZ</v>
          </cell>
          <cell r="D28" t="str">
            <v>misaeln702@gmail.com</v>
          </cell>
          <cell r="E28" t="str">
            <v>3108128755</v>
          </cell>
          <cell r="F28" t="str">
            <v>CR 18 24 B 25 P 2</v>
          </cell>
          <cell r="G28" t="str">
            <v>15238</v>
          </cell>
          <cell r="H28">
            <v>301</v>
          </cell>
          <cell r="I28">
            <v>5020000</v>
          </cell>
          <cell r="J28">
            <v>10500</v>
          </cell>
          <cell r="K28">
            <v>0</v>
          </cell>
        </row>
        <row r="29">
          <cell r="A29">
            <v>93285244</v>
          </cell>
          <cell r="B29">
            <v>1</v>
          </cell>
          <cell r="C29" t="str">
            <v>GUSTAVO TIJARO CARO</v>
          </cell>
          <cell r="D29" t="str">
            <v>oyanethb@gmail.com</v>
          </cell>
          <cell r="E29" t="str">
            <v>3212616922</v>
          </cell>
          <cell r="F29" t="str">
            <v>CL 17 8 22</v>
          </cell>
          <cell r="G29" t="str">
            <v>15238</v>
          </cell>
          <cell r="H29">
            <v>329</v>
          </cell>
          <cell r="I29">
            <v>1600000</v>
          </cell>
          <cell r="J29">
            <v>11520</v>
          </cell>
          <cell r="K29">
            <v>0</v>
          </cell>
        </row>
        <row r="30">
          <cell r="A30">
            <v>860500480</v>
          </cell>
          <cell r="B30">
            <v>8</v>
          </cell>
          <cell r="C30" t="str">
            <v>ALMACENES CORONA S.A.S</v>
          </cell>
          <cell r="D30" t="str">
            <v>acnotificaciones@corona.com.co</v>
          </cell>
          <cell r="E30" t="str">
            <v>4279300</v>
          </cell>
          <cell r="F30" t="str">
            <v>CL 26 86 85</v>
          </cell>
          <cell r="G30" t="str">
            <v>11001</v>
          </cell>
          <cell r="H30">
            <v>219</v>
          </cell>
          <cell r="I30">
            <v>1496435</v>
          </cell>
          <cell r="J30">
            <v>0</v>
          </cell>
          <cell r="K30">
            <v>0</v>
          </cell>
        </row>
        <row r="31">
          <cell r="A31">
            <v>891800219</v>
          </cell>
          <cell r="B31">
            <v>0</v>
          </cell>
          <cell r="C31" t="str">
            <v>EMPRESA DE ENERGIA DE BOYACA S.A E.S.P. EMPRESA DE SERVICIOS PUBLICOS</v>
          </cell>
          <cell r="D31" t="str">
            <v>servicioalcliente@ebsa.com.co</v>
          </cell>
          <cell r="E31" t="str">
            <v>7405000</v>
          </cell>
          <cell r="F31" t="str">
            <v>CR 10 15 87</v>
          </cell>
          <cell r="G31" t="str">
            <v>15001</v>
          </cell>
          <cell r="H31">
            <v>334</v>
          </cell>
          <cell r="I31">
            <v>3916250</v>
          </cell>
          <cell r="J31">
            <v>0</v>
          </cell>
          <cell r="K31">
            <v>0</v>
          </cell>
        </row>
        <row r="32">
          <cell r="A32">
            <v>900259348</v>
          </cell>
          <cell r="B32">
            <v>5</v>
          </cell>
          <cell r="C32" t="str">
            <v>RED VITAL PAIPA S.A E.S.P</v>
          </cell>
          <cell r="D32" t="str">
            <v>redvital@gmail.com</v>
          </cell>
          <cell r="E32" t="str">
            <v>3208585284</v>
          </cell>
          <cell r="F32" t="str">
            <v>CR 17 A 23A 05</v>
          </cell>
          <cell r="G32" t="str">
            <v>15516</v>
          </cell>
          <cell r="H32">
            <v>334</v>
          </cell>
          <cell r="I32">
            <v>2257400</v>
          </cell>
          <cell r="J32">
            <v>0</v>
          </cell>
          <cell r="K32">
            <v>0</v>
          </cell>
        </row>
        <row r="33">
          <cell r="A33">
            <v>900447209</v>
          </cell>
          <cell r="B33">
            <v>6</v>
          </cell>
          <cell r="C33" t="str">
            <v>HERRERA JAIME CONSTRUCCIONES SAS</v>
          </cell>
          <cell r="D33" t="str">
            <v>rherrerajaime@gmail.com</v>
          </cell>
          <cell r="E33">
            <v>3156026130</v>
          </cell>
          <cell r="F33" t="str">
            <v>CL 29 19 122</v>
          </cell>
          <cell r="G33" t="str">
            <v>15516</v>
          </cell>
          <cell r="H33">
            <v>329</v>
          </cell>
          <cell r="I33">
            <v>665331553</v>
          </cell>
          <cell r="J33">
            <v>5322652</v>
          </cell>
          <cell r="K33">
            <v>0</v>
          </cell>
        </row>
        <row r="34">
          <cell r="A34">
            <v>900813668</v>
          </cell>
          <cell r="B34">
            <v>3</v>
          </cell>
          <cell r="C34" t="str">
            <v>AMERICANA DE TECNOLOGIA Y COMUNICACIONES SAS</v>
          </cell>
          <cell r="D34" t="str">
            <v>servicioalcliente@amtec-sas.com.co</v>
          </cell>
          <cell r="E34" t="str">
            <v>6087850331</v>
          </cell>
          <cell r="F34" t="str">
            <v>CR 21 22 86</v>
          </cell>
          <cell r="G34" t="str">
            <v>15516</v>
          </cell>
          <cell r="H34">
            <v>334</v>
          </cell>
          <cell r="I34">
            <v>1229411</v>
          </cell>
          <cell r="J34">
            <v>0</v>
          </cell>
          <cell r="K34">
            <v>0</v>
          </cell>
        </row>
        <row r="35">
          <cell r="A35">
            <v>900825521</v>
          </cell>
          <cell r="B35">
            <v>1</v>
          </cell>
          <cell r="C35" t="str">
            <v>INDUICOPOR S.A.S</v>
          </cell>
          <cell r="D35" t="str">
            <v>induicipors@gmail.com</v>
          </cell>
          <cell r="E35" t="str">
            <v>3006561616</v>
          </cell>
          <cell r="F35" t="str">
            <v>VDA  OTRO LADO LT EL TERRENO</v>
          </cell>
          <cell r="G35" t="str">
            <v>15764</v>
          </cell>
          <cell r="H35">
            <v>329</v>
          </cell>
          <cell r="I35">
            <v>1275277</v>
          </cell>
          <cell r="J35">
            <v>0</v>
          </cell>
          <cell r="K35">
            <v>0</v>
          </cell>
        </row>
        <row r="36">
          <cell r="A36">
            <v>901289237</v>
          </cell>
          <cell r="B36">
            <v>8</v>
          </cell>
          <cell r="C36" t="str">
            <v>TERMOVENTANAS S.A.S</v>
          </cell>
          <cell r="D36" t="str">
            <v>contabilidad@termoventanas.com</v>
          </cell>
          <cell r="E36" t="str">
            <v>3232910645</v>
          </cell>
          <cell r="F36" t="str">
            <v>CL 3 3 51 CD INDUSTRIAL</v>
          </cell>
          <cell r="G36" t="str">
            <v>15238</v>
          </cell>
          <cell r="H36">
            <v>219</v>
          </cell>
          <cell r="I36">
            <v>175183699</v>
          </cell>
          <cell r="J36">
            <v>0</v>
          </cell>
          <cell r="K36">
            <v>0</v>
          </cell>
        </row>
        <row r="37">
          <cell r="A37">
            <v>901333717</v>
          </cell>
          <cell r="B37">
            <v>1</v>
          </cell>
          <cell r="C37" t="str">
            <v>FEDESTRUCTURAS S.A.S</v>
          </cell>
          <cell r="D37" t="str">
            <v>facturacionfedestructuras@gmail.com</v>
          </cell>
          <cell r="E37" t="str">
            <v>3124357849</v>
          </cell>
          <cell r="F37" t="str">
            <v>CR 12 A 38 35 APT 301 BRR LA MARIA</v>
          </cell>
          <cell r="G37" t="str">
            <v>15001</v>
          </cell>
          <cell r="H37">
            <v>219</v>
          </cell>
          <cell r="I37">
            <v>4500000</v>
          </cell>
          <cell r="J37">
            <v>0</v>
          </cell>
          <cell r="K37">
            <v>0</v>
          </cell>
        </row>
        <row r="38">
          <cell r="A38">
            <v>901512283</v>
          </cell>
          <cell r="B38">
            <v>3</v>
          </cell>
          <cell r="C38" t="str">
            <v>SERVICIOS INTEGRALES GUIO SOCIEDAD POR ACCIONES SIMPLIFICADA</v>
          </cell>
          <cell r="D38" t="str">
            <v>serviguiosas@gmail.com</v>
          </cell>
          <cell r="E38" t="str">
            <v>3115117496</v>
          </cell>
          <cell r="F38" t="str">
            <v>KM 7 VIA TRINIDAD VEREDA CRUZ DE BONZA</v>
          </cell>
          <cell r="G38" t="str">
            <v>15516</v>
          </cell>
          <cell r="H38">
            <v>310</v>
          </cell>
          <cell r="I38">
            <v>55580967</v>
          </cell>
          <cell r="J38">
            <v>40425</v>
          </cell>
          <cell r="K38">
            <v>0</v>
          </cell>
        </row>
        <row r="39">
          <cell r="A39">
            <v>901622336</v>
          </cell>
          <cell r="B39">
            <v>7</v>
          </cell>
          <cell r="C39" t="str">
            <v>MODULO DISEÑO E INTERIORISMO SOCIEDAD POR ACCIONES SIMPLIFICADA</v>
          </cell>
          <cell r="D39" t="str">
            <v>tuproyectomodulo@gmail.com</v>
          </cell>
          <cell r="E39" t="str">
            <v>3122589720</v>
          </cell>
          <cell r="F39" t="str">
            <v>CR 11 22 A 122</v>
          </cell>
          <cell r="G39" t="str">
            <v>15238</v>
          </cell>
          <cell r="H39">
            <v>219</v>
          </cell>
          <cell r="I39">
            <v>40305927</v>
          </cell>
          <cell r="J39">
            <v>0</v>
          </cell>
          <cell r="K39">
            <v>0</v>
          </cell>
        </row>
        <row r="40">
          <cell r="A40">
            <v>901875830</v>
          </cell>
          <cell r="B40">
            <v>1</v>
          </cell>
          <cell r="C40" t="str">
            <v>PROYECTOS Y MATERIALES ELECTRICOS S.A.S</v>
          </cell>
          <cell r="D40" t="str">
            <v>proyectospyme.sas@gmail.com</v>
          </cell>
          <cell r="E40" t="str">
            <v>3134846047</v>
          </cell>
          <cell r="F40" t="str">
            <v>CL 16 A 17 02</v>
          </cell>
          <cell r="G40" t="str">
            <v>15759</v>
          </cell>
          <cell r="H40">
            <v>329</v>
          </cell>
          <cell r="I40">
            <v>58098941</v>
          </cell>
          <cell r="J40">
            <v>245604</v>
          </cell>
          <cell r="K40">
            <v>0</v>
          </cell>
        </row>
        <row r="41">
          <cell r="A41">
            <v>1051588381</v>
          </cell>
          <cell r="B41">
            <v>0</v>
          </cell>
          <cell r="C41" t="str">
            <v>DANIEL ALFONSO ROJAS PEREZ</v>
          </cell>
          <cell r="D41" t="str">
            <v xml:space="preserve"> danielroa87@gmail.com</v>
          </cell>
          <cell r="E41" t="str">
            <v>3134493756</v>
          </cell>
          <cell r="F41" t="str">
            <v>VDA EL HATO</v>
          </cell>
          <cell r="G41" t="str">
            <v>15516</v>
          </cell>
          <cell r="H41">
            <v>329</v>
          </cell>
          <cell r="I41">
            <v>17741000</v>
          </cell>
          <cell r="J41">
            <v>136000</v>
          </cell>
          <cell r="K41">
            <v>0</v>
          </cell>
        </row>
        <row r="42">
          <cell r="A42">
            <v>1052385136</v>
          </cell>
          <cell r="B42">
            <v>5</v>
          </cell>
          <cell r="C42" t="str">
            <v>MAURICIO MENDIVELSO</v>
          </cell>
          <cell r="D42" t="str">
            <v>mendimauro@gmail.com</v>
          </cell>
          <cell r="E42" t="str">
            <v>3202864827</v>
          </cell>
          <cell r="F42" t="str">
            <v>CR 27 A 5 63 BRR LAURELES</v>
          </cell>
          <cell r="G42" t="str">
            <v>15238</v>
          </cell>
          <cell r="H42">
            <v>329</v>
          </cell>
          <cell r="I42">
            <v>17878000</v>
          </cell>
          <cell r="J42">
            <v>143024</v>
          </cell>
          <cell r="K42">
            <v>0</v>
          </cell>
        </row>
        <row r="43">
          <cell r="A43">
            <v>1052390370</v>
          </cell>
          <cell r="B43">
            <v>2</v>
          </cell>
          <cell r="C43" t="str">
            <v>FABIAN LEONARDO CHISINO MANOSALVA</v>
          </cell>
          <cell r="D43" t="str">
            <v>chisinoleonardo348@gmail.com</v>
          </cell>
          <cell r="E43" t="str">
            <v>3125906048</v>
          </cell>
          <cell r="F43" t="str">
            <v>CL 11 BARR LA TOLOSA</v>
          </cell>
          <cell r="G43" t="str">
            <v>15238</v>
          </cell>
          <cell r="H43">
            <v>329</v>
          </cell>
          <cell r="I43">
            <v>16330900</v>
          </cell>
          <cell r="J43">
            <v>123332</v>
          </cell>
          <cell r="K43">
            <v>0</v>
          </cell>
        </row>
        <row r="44">
          <cell r="A44">
            <v>1052392097</v>
          </cell>
          <cell r="B44">
            <v>5</v>
          </cell>
          <cell r="C44" t="str">
            <v>EDGAR ANDRES BECERRA PEDRAZA</v>
          </cell>
          <cell r="D44" t="str">
            <v>andresbecerrapedraza@hotmail.com</v>
          </cell>
          <cell r="E44" t="str">
            <v>3102053609</v>
          </cell>
          <cell r="F44" t="str">
            <v>CL 19 A 4 55</v>
          </cell>
          <cell r="G44" t="str">
            <v>15238</v>
          </cell>
          <cell r="H44">
            <v>219</v>
          </cell>
          <cell r="I44">
            <v>25372000</v>
          </cell>
          <cell r="J44">
            <v>0</v>
          </cell>
          <cell r="K44">
            <v>0</v>
          </cell>
        </row>
        <row r="45">
          <cell r="A45">
            <v>1052397695</v>
          </cell>
          <cell r="B45">
            <v>2</v>
          </cell>
          <cell r="C45" t="str">
            <v>JOHAN HERNANDO BARRERA JIMENEZ</v>
          </cell>
          <cell r="D45" t="str">
            <v>johanhernandobarrera@gmail.com</v>
          </cell>
          <cell r="E45" t="str">
            <v>3102965893</v>
          </cell>
          <cell r="F45" t="str">
            <v>CL 9 BIS 10 47</v>
          </cell>
          <cell r="G45" t="str">
            <v>15238</v>
          </cell>
          <cell r="H45">
            <v>329</v>
          </cell>
          <cell r="I45">
            <v>6641000</v>
          </cell>
          <cell r="J45">
            <v>47200</v>
          </cell>
          <cell r="K45">
            <v>0</v>
          </cell>
        </row>
        <row r="46">
          <cell r="A46">
            <v>1053614144</v>
          </cell>
          <cell r="B46">
            <v>0</v>
          </cell>
          <cell r="C46" t="str">
            <v>ANDRES FELIPE RODRIGUEZ MACIAS</v>
          </cell>
          <cell r="D46" t="str">
            <v>pipe.rodriguezmacias@gmail.com</v>
          </cell>
          <cell r="E46" t="str">
            <v>3108789924</v>
          </cell>
          <cell r="F46" t="str">
            <v>CR 15 A  29 15 B EL BOSQUE</v>
          </cell>
          <cell r="G46" t="str">
            <v>15516</v>
          </cell>
          <cell r="H46">
            <v>329</v>
          </cell>
          <cell r="I46">
            <v>15871000</v>
          </cell>
          <cell r="J46">
            <v>121040</v>
          </cell>
          <cell r="K46">
            <v>0</v>
          </cell>
        </row>
        <row r="47">
          <cell r="A47">
            <v>1055332675</v>
          </cell>
          <cell r="B47">
            <v>7</v>
          </cell>
          <cell r="C47" t="str">
            <v>EDWIN GIOVANNY CUERVO SUAREZ</v>
          </cell>
          <cell r="D47" t="str">
            <v>cuervoedwin182@gmail.com</v>
          </cell>
          <cell r="E47" t="str">
            <v>3196306761</v>
          </cell>
          <cell r="F47" t="str">
            <v>VDA EL MORAL</v>
          </cell>
          <cell r="G47" t="str">
            <v>15837</v>
          </cell>
          <cell r="H47">
            <v>329</v>
          </cell>
          <cell r="I47">
            <v>5000000</v>
          </cell>
          <cell r="J47">
            <v>40000</v>
          </cell>
          <cell r="K47">
            <v>0</v>
          </cell>
        </row>
        <row r="48">
          <cell r="A48">
            <v>1193078482</v>
          </cell>
          <cell r="B48">
            <v>4</v>
          </cell>
          <cell r="C48" t="str">
            <v>EDUARD STIVEN LOPEZ PULIDO</v>
          </cell>
          <cell r="D48" t="str">
            <v>stivenlopez.s2001@gmail.com</v>
          </cell>
          <cell r="E48" t="str">
            <v>3226825252</v>
          </cell>
          <cell r="F48" t="str">
            <v>CL 2 A 21 24 BRR VILLA DEL SOL</v>
          </cell>
          <cell r="G48" t="str">
            <v>15759</v>
          </cell>
          <cell r="H48">
            <v>329</v>
          </cell>
          <cell r="I48">
            <v>1100000</v>
          </cell>
          <cell r="J48">
            <v>0</v>
          </cell>
          <cell r="K48">
            <v>0</v>
          </cell>
        </row>
        <row r="49">
          <cell r="A49">
            <v>32734176</v>
          </cell>
          <cell r="B49">
            <v>4</v>
          </cell>
          <cell r="C49" t="str">
            <v>CHELA ESPINOSA KHENAYZIR</v>
          </cell>
          <cell r="D49" t="str">
            <v>rherrerajaime@gmail.com</v>
          </cell>
          <cell r="E49" t="str">
            <v>3124607593</v>
          </cell>
          <cell r="F49" t="str">
            <v>CL 24 19 121 LOCAL 208</v>
          </cell>
          <cell r="G49" t="str">
            <v>15516</v>
          </cell>
          <cell r="H49">
            <v>326</v>
          </cell>
          <cell r="I49">
            <v>44768816</v>
          </cell>
          <cell r="J49">
            <v>447689</v>
          </cell>
          <cell r="K49">
            <v>0</v>
          </cell>
        </row>
        <row r="50">
          <cell r="A50">
            <v>1001817603</v>
          </cell>
          <cell r="B50">
            <v>3</v>
          </cell>
          <cell r="C50" t="str">
            <v>ANDRES RICARDO HERRERA KHENAYZIR</v>
          </cell>
          <cell r="D50" t="str">
            <v>khenay18@gmail.com</v>
          </cell>
          <cell r="E50" t="str">
            <v>3156007442</v>
          </cell>
          <cell r="F50" t="str">
            <v>CR 10 25 60</v>
          </cell>
          <cell r="G50" t="str">
            <v>15516</v>
          </cell>
          <cell r="H50">
            <v>313</v>
          </cell>
          <cell r="I50">
            <v>6556800</v>
          </cell>
          <cell r="J50">
            <v>114856</v>
          </cell>
          <cell r="K50">
            <v>0</v>
          </cell>
        </row>
        <row r="51">
          <cell r="A51">
            <v>800242106</v>
          </cell>
          <cell r="B51">
            <v>2</v>
          </cell>
          <cell r="C51" t="str">
            <v>SODIMAC COLOMBIA SA</v>
          </cell>
          <cell r="D51" t="str">
            <v>servicioalcliente@homecenter.com</v>
          </cell>
          <cell r="E51" t="str">
            <v>018000127373</v>
          </cell>
          <cell r="F51" t="str">
            <v>AV UNIVERSITARIA 50 21</v>
          </cell>
          <cell r="G51" t="str">
            <v>15001</v>
          </cell>
          <cell r="H51">
            <v>219</v>
          </cell>
          <cell r="I51">
            <v>2606723</v>
          </cell>
          <cell r="J51">
            <v>0</v>
          </cell>
          <cell r="K51">
            <v>0</v>
          </cell>
        </row>
        <row r="52">
          <cell r="A52">
            <v>46661822</v>
          </cell>
          <cell r="B52">
            <v>0</v>
          </cell>
          <cell r="C52" t="str">
            <v>LIBIA PAULINA GOMEZ HIGUERA</v>
          </cell>
          <cell r="D52" t="str">
            <v>notaria2duitama@gmail.com</v>
          </cell>
          <cell r="E52" t="str">
            <v>3123788403</v>
          </cell>
          <cell r="F52" t="str">
            <v>CL 16 14 46</v>
          </cell>
          <cell r="G52" t="str">
            <v>15238</v>
          </cell>
          <cell r="H52">
            <v>310</v>
          </cell>
          <cell r="I52">
            <v>3880500</v>
          </cell>
          <cell r="J52">
            <v>0</v>
          </cell>
          <cell r="K52">
            <v>0</v>
          </cell>
        </row>
        <row r="53">
          <cell r="A53">
            <v>7174632</v>
          </cell>
          <cell r="B53">
            <v>7</v>
          </cell>
          <cell r="C53" t="str">
            <v>ROLANDO SUAREZ SUAREZ</v>
          </cell>
          <cell r="D53" t="str">
            <v>suarez.rolando29@gmail.com</v>
          </cell>
          <cell r="E53">
            <v>3114532962</v>
          </cell>
          <cell r="F53" t="str">
            <v>VDA SAN ONOFRE</v>
          </cell>
          <cell r="G53" t="str">
            <v>15204</v>
          </cell>
          <cell r="H53">
            <v>219</v>
          </cell>
          <cell r="I53">
            <v>3000000</v>
          </cell>
          <cell r="J53">
            <v>0</v>
          </cell>
          <cell r="K53">
            <v>0</v>
          </cell>
        </row>
        <row r="54">
          <cell r="A54">
            <v>7212963</v>
          </cell>
          <cell r="B54">
            <v>3</v>
          </cell>
          <cell r="C54" t="str">
            <v>JESUS GOMEZ LIZARAZO</v>
          </cell>
          <cell r="D54" t="str">
            <v>erropazduitama@yahoo.com</v>
          </cell>
          <cell r="E54" t="str">
            <v>7603312</v>
          </cell>
          <cell r="F54" t="str">
            <v>Cl 9 19 53</v>
          </cell>
          <cell r="G54" t="str">
            <v>15238</v>
          </cell>
          <cell r="H54">
            <v>219</v>
          </cell>
          <cell r="I54">
            <v>17905363</v>
          </cell>
          <cell r="J54">
            <v>0</v>
          </cell>
          <cell r="K54">
            <v>0</v>
          </cell>
        </row>
        <row r="55">
          <cell r="A55">
            <v>7221759</v>
          </cell>
          <cell r="B55">
            <v>5</v>
          </cell>
          <cell r="C55" t="str">
            <v>RAUL ERNESTO RODRIGUEZ RAMIREZ</v>
          </cell>
          <cell r="D55" t="str">
            <v>ndustriaraulcar@hotmail.com</v>
          </cell>
          <cell r="E55" t="str">
            <v>3114549417</v>
          </cell>
          <cell r="F55" t="str">
            <v>CR 31 D 15 22</v>
          </cell>
          <cell r="G55" t="str">
            <v>15238</v>
          </cell>
          <cell r="H55">
            <v>219</v>
          </cell>
          <cell r="I55">
            <v>8720000</v>
          </cell>
          <cell r="J55">
            <v>0</v>
          </cell>
          <cell r="K55">
            <v>0</v>
          </cell>
        </row>
        <row r="56">
          <cell r="A56">
            <v>7224569</v>
          </cell>
          <cell r="B56">
            <v>6</v>
          </cell>
          <cell r="C56" t="str">
            <v>LUIS ALBERTO ANGARITA MARTINEZ</v>
          </cell>
          <cell r="D56" t="str">
            <v>ferremetro0520@hotmail.com</v>
          </cell>
          <cell r="E56" t="str">
            <v>3105538864</v>
          </cell>
          <cell r="F56" t="str">
            <v>AV AMERICAS 24 72</v>
          </cell>
          <cell r="G56" t="str">
            <v>15238</v>
          </cell>
          <cell r="H56">
            <v>219</v>
          </cell>
          <cell r="I56">
            <v>3406706</v>
          </cell>
          <cell r="J56">
            <v>0</v>
          </cell>
          <cell r="K56">
            <v>0</v>
          </cell>
        </row>
        <row r="57">
          <cell r="A57">
            <v>7226683</v>
          </cell>
          <cell r="B57">
            <v>7</v>
          </cell>
          <cell r="C57" t="str">
            <v>DIOMEDES MARTINEZ ALVARES</v>
          </cell>
          <cell r="D57" t="str">
            <v>industriamduitama@hotmail.com</v>
          </cell>
          <cell r="E57" t="str">
            <v>3112550459</v>
          </cell>
          <cell r="F57" t="str">
            <v>VDA LA PRADERA</v>
          </cell>
          <cell r="G57" t="str">
            <v>15238</v>
          </cell>
          <cell r="H57">
            <v>329</v>
          </cell>
          <cell r="I57">
            <v>1200000</v>
          </cell>
          <cell r="J57">
            <v>0</v>
          </cell>
          <cell r="K57">
            <v>0</v>
          </cell>
        </row>
        <row r="58">
          <cell r="A58">
            <v>9524528</v>
          </cell>
          <cell r="B58">
            <v>9</v>
          </cell>
          <cell r="C58" t="str">
            <v>WILLIAM ISAURO AREVALO PIÑEROS</v>
          </cell>
          <cell r="D58" t="str">
            <v>unicpaipa@supernotariado.gov.co</v>
          </cell>
          <cell r="E58" t="str">
            <v>3208412466</v>
          </cell>
          <cell r="F58" t="str">
            <v>CL 26 22 31</v>
          </cell>
          <cell r="G58" t="str">
            <v>15516</v>
          </cell>
          <cell r="H58">
            <v>310</v>
          </cell>
          <cell r="I58">
            <v>1570100</v>
          </cell>
          <cell r="J58">
            <v>12526</v>
          </cell>
          <cell r="K58">
            <v>0</v>
          </cell>
        </row>
        <row r="59">
          <cell r="A59">
            <v>23853895</v>
          </cell>
          <cell r="B59">
            <v>9</v>
          </cell>
          <cell r="C59" t="str">
            <v>DORA HILDA MEDINA PACHECO</v>
          </cell>
          <cell r="D59" t="str">
            <v>doraalamos61@gmail.com</v>
          </cell>
          <cell r="E59" t="str">
            <v>3125863017</v>
          </cell>
          <cell r="F59" t="str">
            <v>CR 21 20 07</v>
          </cell>
          <cell r="G59" t="str">
            <v>15516</v>
          </cell>
          <cell r="H59">
            <v>211</v>
          </cell>
          <cell r="I59">
            <v>4111000</v>
          </cell>
          <cell r="J59">
            <v>32888</v>
          </cell>
          <cell r="K59">
            <v>0</v>
          </cell>
        </row>
        <row r="60">
          <cell r="A60">
            <v>23856303</v>
          </cell>
          <cell r="B60">
            <v>4</v>
          </cell>
          <cell r="C60" t="str">
            <v>MARIA NELLY AVENDAÑO AVELLA</v>
          </cell>
          <cell r="D60" t="str">
            <v>lagoverdeconstrucciones@gmail.com</v>
          </cell>
          <cell r="E60" t="str">
            <v>7853364</v>
          </cell>
          <cell r="F60" t="str">
            <v>CR 22 25 44</v>
          </cell>
          <cell r="G60" t="str">
            <v>15516</v>
          </cell>
          <cell r="H60">
            <v>219</v>
          </cell>
          <cell r="I60">
            <v>1142800</v>
          </cell>
          <cell r="J60">
            <v>0</v>
          </cell>
          <cell r="K60">
            <v>0</v>
          </cell>
        </row>
        <row r="61">
          <cell r="A61">
            <v>32734176</v>
          </cell>
          <cell r="B61">
            <v>4</v>
          </cell>
          <cell r="C61" t="str">
            <v>CHELA ESPINOSA KHENAYZIR</v>
          </cell>
          <cell r="D61" t="str">
            <v>rherrerajaime@gmail.com</v>
          </cell>
          <cell r="E61" t="str">
            <v>3124607593</v>
          </cell>
          <cell r="F61" t="str">
            <v>CL 24 19 121 LOCAL 208</v>
          </cell>
          <cell r="G61" t="str">
            <v>15516</v>
          </cell>
          <cell r="H61">
            <v>313</v>
          </cell>
          <cell r="I61">
            <v>13113600</v>
          </cell>
          <cell r="J61">
            <v>104911</v>
          </cell>
          <cell r="K61">
            <v>0</v>
          </cell>
        </row>
        <row r="62">
          <cell r="A62">
            <v>46375058</v>
          </cell>
          <cell r="B62">
            <v>3</v>
          </cell>
          <cell r="C62" t="str">
            <v>DORY MILENA AGUIRRE ALVARADO</v>
          </cell>
          <cell r="D62" t="str">
            <v>ventas.facturaciongasboy@gmail.com</v>
          </cell>
          <cell r="E62" t="str">
            <v>7620926</v>
          </cell>
          <cell r="F62" t="str">
            <v>CL 13 16 28</v>
          </cell>
          <cell r="G62" t="str">
            <v>15238</v>
          </cell>
          <cell r="H62">
            <v>219</v>
          </cell>
          <cell r="I62">
            <v>68201681</v>
          </cell>
          <cell r="J62">
            <v>0</v>
          </cell>
          <cell r="K62">
            <v>0</v>
          </cell>
        </row>
        <row r="63">
          <cell r="A63">
            <v>46661822</v>
          </cell>
          <cell r="B63">
            <v>0</v>
          </cell>
          <cell r="C63" t="str">
            <v>LIBIA PAULINA GOMEZ HIGUERA</v>
          </cell>
          <cell r="D63" t="str">
            <v>notaria2duitama@gmail.com</v>
          </cell>
          <cell r="E63" t="str">
            <v>3123788403</v>
          </cell>
          <cell r="F63" t="str">
            <v>CL 16 14 46</v>
          </cell>
          <cell r="G63" t="str">
            <v>15238</v>
          </cell>
          <cell r="H63">
            <v>219</v>
          </cell>
          <cell r="I63">
            <v>1911248</v>
          </cell>
          <cell r="J63">
            <v>0</v>
          </cell>
          <cell r="K63">
            <v>0</v>
          </cell>
        </row>
        <row r="64">
          <cell r="A64">
            <v>46680612</v>
          </cell>
          <cell r="B64">
            <v>1</v>
          </cell>
          <cell r="C64" t="str">
            <v>EDY CRISTINA CAMARGO CUERVO</v>
          </cell>
          <cell r="D64" t="str">
            <v>ferreca@hotmail.com</v>
          </cell>
          <cell r="E64" t="str">
            <v>3143239509</v>
          </cell>
          <cell r="F64" t="str">
            <v>CL 23 25 00</v>
          </cell>
          <cell r="G64" t="str">
            <v>15516</v>
          </cell>
          <cell r="H64">
            <v>219</v>
          </cell>
          <cell r="I64">
            <v>9922527</v>
          </cell>
          <cell r="J64">
            <v>76933</v>
          </cell>
          <cell r="K64">
            <v>0</v>
          </cell>
        </row>
        <row r="65">
          <cell r="A65">
            <v>74085634</v>
          </cell>
          <cell r="B65">
            <v>3</v>
          </cell>
          <cell r="C65" t="str">
            <v>DIEGO ANDRES PEREZ ORDUZ</v>
          </cell>
          <cell r="D65" t="str">
            <v>diegoladsol@gmail.com</v>
          </cell>
          <cell r="E65" t="str">
            <v>3134959083</v>
          </cell>
          <cell r="F65" t="str">
            <v>CL 22 36 50</v>
          </cell>
          <cell r="G65" t="str">
            <v>15238</v>
          </cell>
          <cell r="H65">
            <v>219</v>
          </cell>
          <cell r="I65">
            <v>17605000</v>
          </cell>
          <cell r="J65">
            <v>0</v>
          </cell>
          <cell r="K65">
            <v>0</v>
          </cell>
        </row>
        <row r="66">
          <cell r="A66">
            <v>800025690</v>
          </cell>
          <cell r="B66">
            <v>2</v>
          </cell>
          <cell r="C66" t="str">
            <v>TAX TURISTICO PAIPA S.A.</v>
          </cell>
          <cell r="D66" t="str">
            <v>tesoreriataxturistico@gmail.com</v>
          </cell>
          <cell r="E66" t="str">
            <v>6087853578</v>
          </cell>
          <cell r="F66" t="str">
            <v>CR 19 34 12</v>
          </cell>
          <cell r="G66" t="str">
            <v>15516</v>
          </cell>
          <cell r="H66">
            <v>211</v>
          </cell>
          <cell r="I66">
            <v>4865194</v>
          </cell>
          <cell r="J66">
            <v>38921</v>
          </cell>
          <cell r="K66">
            <v>0</v>
          </cell>
        </row>
        <row r="67">
          <cell r="A67">
            <v>800124185</v>
          </cell>
          <cell r="B67">
            <v>9</v>
          </cell>
          <cell r="C67" t="str">
            <v>INGEMEC S.A.S. .</v>
          </cell>
          <cell r="D67" t="str">
            <v>info@ingemec.com.co</v>
          </cell>
          <cell r="E67" t="str">
            <v>3124492510</v>
          </cell>
          <cell r="F67" t="str">
            <v>CR 10 9 64</v>
          </cell>
          <cell r="G67" t="str">
            <v>15759</v>
          </cell>
          <cell r="H67">
            <v>219</v>
          </cell>
          <cell r="I67">
            <v>31445378</v>
          </cell>
          <cell r="J67">
            <v>0</v>
          </cell>
          <cell r="K67">
            <v>0</v>
          </cell>
        </row>
        <row r="68">
          <cell r="A68">
            <v>800130426</v>
          </cell>
          <cell r="B68">
            <v>3</v>
          </cell>
          <cell r="C68" t="str">
            <v>G Y J FERRETERIAS S.A</v>
          </cell>
          <cell r="D68" t="str">
            <v>servicioalcliente@gyj.com.co</v>
          </cell>
          <cell r="E68" t="str">
            <v>3208302902</v>
          </cell>
          <cell r="F68" t="str">
            <v>VDA PATROCINIO</v>
          </cell>
          <cell r="G68" t="str">
            <v>15806</v>
          </cell>
          <cell r="H68">
            <v>219</v>
          </cell>
          <cell r="I68">
            <v>983198</v>
          </cell>
          <cell r="J68">
            <v>0</v>
          </cell>
          <cell r="K68">
            <v>0</v>
          </cell>
        </row>
        <row r="69">
          <cell r="A69">
            <v>800157339</v>
          </cell>
          <cell r="B69">
            <v>8</v>
          </cell>
          <cell r="C69" t="str">
            <v>MULTIELECTRICOS S.A.S</v>
          </cell>
          <cell r="D69" t="str">
            <v>multielectricos@gmail.com</v>
          </cell>
          <cell r="E69" t="str">
            <v>7654536</v>
          </cell>
          <cell r="F69" t="str">
            <v>CL 11 17 46</v>
          </cell>
          <cell r="G69" t="str">
            <v>15238</v>
          </cell>
          <cell r="H69">
            <v>219</v>
          </cell>
          <cell r="I69">
            <v>30143793</v>
          </cell>
          <cell r="J69">
            <v>0</v>
          </cell>
          <cell r="K69">
            <v>0</v>
          </cell>
        </row>
        <row r="70">
          <cell r="A70">
            <v>800185511</v>
          </cell>
          <cell r="B70">
            <v>8</v>
          </cell>
          <cell r="C70" t="str">
            <v>LADRILLOS EL ZIPA S.A.S.</v>
          </cell>
          <cell r="D70" t="str">
            <v>ladrilloselzipa@yahoo.com</v>
          </cell>
          <cell r="E70" t="str">
            <v>3102826254</v>
          </cell>
          <cell r="F70" t="str">
            <v>VADA DE SATIVA</v>
          </cell>
          <cell r="G70" t="str">
            <v>15516</v>
          </cell>
          <cell r="H70">
            <v>219</v>
          </cell>
          <cell r="I70">
            <v>18000000</v>
          </cell>
          <cell r="J70">
            <v>180000</v>
          </cell>
          <cell r="K70">
            <v>0</v>
          </cell>
        </row>
        <row r="71">
          <cell r="A71">
            <v>800242106</v>
          </cell>
          <cell r="B71">
            <v>2</v>
          </cell>
          <cell r="C71" t="str">
            <v>SODIMAC COLOMBIA SA</v>
          </cell>
          <cell r="D71" t="str">
            <v>serviciosalcliente@homecenter.com</v>
          </cell>
          <cell r="E71" t="str">
            <v>018000127373</v>
          </cell>
          <cell r="F71" t="str">
            <v>AV UNIVERSITARIA 50 21</v>
          </cell>
          <cell r="G71" t="str">
            <v>15001</v>
          </cell>
          <cell r="H71">
            <v>219</v>
          </cell>
          <cell r="I71">
            <v>81191626</v>
          </cell>
          <cell r="J71">
            <v>0</v>
          </cell>
          <cell r="K71">
            <v>0</v>
          </cell>
        </row>
        <row r="72">
          <cell r="A72">
            <v>800242586</v>
          </cell>
          <cell r="B72">
            <v>4</v>
          </cell>
          <cell r="C72" t="str">
            <v>CENTRAL DE DOTACIONES S.A.S</v>
          </cell>
          <cell r="D72" t="str">
            <v>atencionalcliente@centraldedotaciones.com</v>
          </cell>
          <cell r="E72" t="str">
            <v>7602310</v>
          </cell>
          <cell r="F72" t="str">
            <v>CL 14 18 82</v>
          </cell>
          <cell r="G72" t="str">
            <v>15238</v>
          </cell>
          <cell r="H72">
            <v>219</v>
          </cell>
          <cell r="I72">
            <v>3612591</v>
          </cell>
          <cell r="J72">
            <v>0</v>
          </cell>
          <cell r="K72">
            <v>0</v>
          </cell>
        </row>
        <row r="73">
          <cell r="A73">
            <v>805015703</v>
          </cell>
          <cell r="B73">
            <v>5</v>
          </cell>
          <cell r="C73" t="str">
            <v>EDIL ANDINA SAS</v>
          </cell>
          <cell r="D73" t="str">
            <v>info@edilandina.com</v>
          </cell>
          <cell r="E73" t="str">
            <v>4880055</v>
          </cell>
          <cell r="F73" t="str">
            <v>CL 166 20 45</v>
          </cell>
          <cell r="G73" t="str">
            <v>11001</v>
          </cell>
          <cell r="H73">
            <v>219</v>
          </cell>
          <cell r="I73">
            <v>9715967</v>
          </cell>
          <cell r="J73">
            <v>0</v>
          </cell>
          <cell r="K73">
            <v>0</v>
          </cell>
        </row>
        <row r="74">
          <cell r="A74">
            <v>811028650</v>
          </cell>
          <cell r="B74">
            <v>1</v>
          </cell>
          <cell r="C74" t="str">
            <v>MADECENTRO COLOMBIA S.A.S</v>
          </cell>
          <cell r="D74" t="str">
            <v>notificaciones.judicial@madecentro.co</v>
          </cell>
          <cell r="E74" t="str">
            <v>4442893</v>
          </cell>
          <cell r="F74" t="str">
            <v>CL 7 SUR 4270 ED FORUM LA FRANCIA TO 1 OF 505</v>
          </cell>
          <cell r="G74" t="str">
            <v>05001</v>
          </cell>
          <cell r="H74">
            <v>219</v>
          </cell>
          <cell r="I74">
            <v>171483498</v>
          </cell>
          <cell r="J74">
            <v>0</v>
          </cell>
          <cell r="K74">
            <v>0</v>
          </cell>
        </row>
        <row r="75">
          <cell r="A75">
            <v>826000089</v>
          </cell>
          <cell r="B75">
            <v>1</v>
          </cell>
          <cell r="C75" t="str">
            <v>COMPAÑÍA COLOMBIANA DE CONCRETOS S.A</v>
          </cell>
          <cell r="D75" t="str">
            <v>procontacolombia@hotmail.com</v>
          </cell>
          <cell r="E75" t="str">
            <v>3133927151</v>
          </cell>
          <cell r="F75" t="str">
            <v>CR 10 B 134 A 35 AP 401</v>
          </cell>
          <cell r="G75" t="str">
            <v>11001</v>
          </cell>
          <cell r="H75">
            <v>219</v>
          </cell>
          <cell r="I75">
            <v>60749123</v>
          </cell>
          <cell r="J75">
            <v>0</v>
          </cell>
          <cell r="K75">
            <v>0</v>
          </cell>
        </row>
        <row r="76">
          <cell r="A76">
            <v>830063800</v>
          </cell>
          <cell r="B76">
            <v>7</v>
          </cell>
          <cell r="C76" t="str">
            <v>COVAL COMERCIAL S.A.S</v>
          </cell>
          <cell r="D76" t="str">
            <v>ocubides@coval.com.co</v>
          </cell>
          <cell r="E76" t="str">
            <v>3102114123</v>
          </cell>
          <cell r="F76" t="str">
            <v>CL 2 240 LOTE 3 MODULO C VEREDA SAN LORENZO</v>
          </cell>
          <cell r="G76" t="str">
            <v>15238</v>
          </cell>
          <cell r="H76">
            <v>219</v>
          </cell>
          <cell r="I76">
            <v>80753407</v>
          </cell>
          <cell r="J76">
            <v>0</v>
          </cell>
          <cell r="K76">
            <v>0</v>
          </cell>
        </row>
        <row r="77">
          <cell r="A77">
            <v>860032550</v>
          </cell>
          <cell r="B77">
            <v>7</v>
          </cell>
          <cell r="C77" t="str">
            <v>ALFAGRES S.A.-EN REORGANIZACION</v>
          </cell>
          <cell r="D77" t="str">
            <v>dlegal@alfa.com.co</v>
          </cell>
          <cell r="E77" t="str">
            <v>3311515</v>
          </cell>
          <cell r="F77" t="str">
            <v>AV CARACAS 35 55</v>
          </cell>
          <cell r="G77" t="str">
            <v>11001</v>
          </cell>
          <cell r="H77">
            <v>219</v>
          </cell>
          <cell r="I77">
            <v>3461637</v>
          </cell>
          <cell r="J77">
            <v>0</v>
          </cell>
          <cell r="K77">
            <v>0</v>
          </cell>
        </row>
        <row r="78">
          <cell r="A78">
            <v>860034313</v>
          </cell>
          <cell r="B78">
            <v>7</v>
          </cell>
          <cell r="C78" t="str">
            <v>BANCO DAVIVIENDA</v>
          </cell>
          <cell r="D78" t="str">
            <v>defensordelcliente@davivienda.com</v>
          </cell>
          <cell r="E78">
            <v>7850272</v>
          </cell>
          <cell r="F78" t="str">
            <v>CL 25 2104</v>
          </cell>
          <cell r="G78" t="str">
            <v>15238</v>
          </cell>
          <cell r="H78">
            <v>219</v>
          </cell>
          <cell r="I78">
            <v>12213319</v>
          </cell>
          <cell r="J78">
            <v>0</v>
          </cell>
          <cell r="K78">
            <v>0</v>
          </cell>
        </row>
        <row r="79">
          <cell r="A79">
            <v>860500480</v>
          </cell>
          <cell r="B79">
            <v>8</v>
          </cell>
          <cell r="C79" t="str">
            <v>ALMACENES CORONA S.A.S</v>
          </cell>
          <cell r="D79" t="str">
            <v>acnotificaciones@corona.com.co</v>
          </cell>
          <cell r="E79" t="str">
            <v>4279300</v>
          </cell>
          <cell r="F79" t="str">
            <v>CL 26 86 85</v>
          </cell>
          <cell r="G79" t="str">
            <v>11001</v>
          </cell>
          <cell r="H79">
            <v>219</v>
          </cell>
          <cell r="I79">
            <v>80316856</v>
          </cell>
          <cell r="J79">
            <v>0</v>
          </cell>
          <cell r="K79">
            <v>0</v>
          </cell>
        </row>
        <row r="80">
          <cell r="A80">
            <v>890903938</v>
          </cell>
          <cell r="B80">
            <v>8</v>
          </cell>
          <cell r="C80" t="str">
            <v>BANCOLOMBIA</v>
          </cell>
          <cell r="D80" t="str">
            <v>atencionalcliente@bancolombia.com</v>
          </cell>
          <cell r="E80">
            <v>8541368</v>
          </cell>
          <cell r="F80" t="str">
            <v>CL 25 2278</v>
          </cell>
          <cell r="G80" t="str">
            <v>15238</v>
          </cell>
          <cell r="H80">
            <v>219</v>
          </cell>
          <cell r="I80">
            <v>9091315</v>
          </cell>
          <cell r="J80">
            <v>0</v>
          </cell>
          <cell r="K80">
            <v>0</v>
          </cell>
        </row>
        <row r="81">
          <cell r="A81">
            <v>891800498</v>
          </cell>
          <cell r="B81">
            <v>1</v>
          </cell>
          <cell r="C81" t="str">
            <v>DEPARTAMENTO DE BOYACA</v>
          </cell>
          <cell r="D81" t="str">
            <v>trasnparencia@boyaca.gov.co</v>
          </cell>
          <cell r="E81" t="str">
            <v>7420150</v>
          </cell>
          <cell r="F81" t="str">
            <v>CL 20 9 90 PALACIO DE LA TORRE</v>
          </cell>
          <cell r="G81" t="str">
            <v>15001</v>
          </cell>
          <cell r="H81">
            <v>219</v>
          </cell>
          <cell r="I81">
            <v>16190400</v>
          </cell>
          <cell r="J81">
            <v>0</v>
          </cell>
          <cell r="K81">
            <v>0</v>
          </cell>
        </row>
        <row r="82">
          <cell r="A82">
            <v>891855025</v>
          </cell>
          <cell r="B82">
            <v>6</v>
          </cell>
          <cell r="C82" t="str">
            <v>CAMARA DE COMERCIO DE DUITAMA</v>
          </cell>
          <cell r="D82" t="str">
            <v>acontabilidad@ccduitama.org.co</v>
          </cell>
          <cell r="E82" t="str">
            <v>7602596</v>
          </cell>
          <cell r="F82" t="str">
            <v>TV 19 23 141</v>
          </cell>
          <cell r="G82" t="str">
            <v>15238</v>
          </cell>
          <cell r="H82">
            <v>219</v>
          </cell>
          <cell r="I82">
            <v>2322800</v>
          </cell>
          <cell r="J82">
            <v>0</v>
          </cell>
          <cell r="K82">
            <v>0</v>
          </cell>
        </row>
        <row r="83">
          <cell r="A83">
            <v>899999007</v>
          </cell>
          <cell r="B83">
            <v>0</v>
          </cell>
          <cell r="C83" t="str">
            <v>SUPERINTENDENCIA DE NOTARIADO Y REGISTRO</v>
          </cell>
          <cell r="D83" t="str">
            <v> correspondencia@supernotariado.gov.co.</v>
          </cell>
          <cell r="E83" t="str">
            <v>3822121</v>
          </cell>
          <cell r="F83" t="str">
            <v>CL 26 13 49</v>
          </cell>
          <cell r="G83" t="str">
            <v>11001</v>
          </cell>
          <cell r="H83">
            <v>219</v>
          </cell>
          <cell r="I83">
            <v>16006900</v>
          </cell>
          <cell r="J83">
            <v>0</v>
          </cell>
          <cell r="K83">
            <v>0</v>
          </cell>
        </row>
        <row r="84">
          <cell r="A84">
            <v>900013681</v>
          </cell>
          <cell r="B84">
            <v>7</v>
          </cell>
          <cell r="C84" t="str">
            <v>EUROLIFT SAS</v>
          </cell>
          <cell r="D84" t="str">
            <v>info@eurolift.com.co</v>
          </cell>
          <cell r="E84" t="str">
            <v>6012776103</v>
          </cell>
          <cell r="F84" t="str">
            <v>CL 12 39 71</v>
          </cell>
          <cell r="G84" t="str">
            <v>11001</v>
          </cell>
          <cell r="H84">
            <v>219</v>
          </cell>
          <cell r="I84">
            <v>75287652</v>
          </cell>
          <cell r="J84">
            <v>0</v>
          </cell>
          <cell r="K84">
            <v>0</v>
          </cell>
        </row>
        <row r="85">
          <cell r="A85">
            <v>900031780</v>
          </cell>
          <cell r="B85">
            <v>4</v>
          </cell>
          <cell r="C85" t="str">
            <v>SM ASOCIADOS S.A</v>
          </cell>
          <cell r="D85" t="str">
            <v>ferreteriasym@hotmail.es</v>
          </cell>
          <cell r="E85" t="str">
            <v>3105518809</v>
          </cell>
          <cell r="F85" t="str">
            <v>AV LIBERTADORES 22 71</v>
          </cell>
          <cell r="G85" t="str">
            <v>15516</v>
          </cell>
          <cell r="H85">
            <v>211</v>
          </cell>
          <cell r="I85">
            <v>168738945</v>
          </cell>
          <cell r="J85">
            <v>1346658</v>
          </cell>
          <cell r="K85">
            <v>0</v>
          </cell>
        </row>
        <row r="86">
          <cell r="A86">
            <v>900076922</v>
          </cell>
          <cell r="B86">
            <v>7</v>
          </cell>
          <cell r="C86" t="str">
            <v>PORCELANATOS Y PISOS DE COLOMBIA S.A.S</v>
          </cell>
          <cell r="D86" t="str">
            <v>info.fe@xylonfloor.com.co</v>
          </cell>
          <cell r="E86" t="str">
            <v>7444540</v>
          </cell>
          <cell r="F86" t="str">
            <v>CR 21 166 45</v>
          </cell>
          <cell r="G86" t="str">
            <v>11001</v>
          </cell>
          <cell r="H86">
            <v>219</v>
          </cell>
          <cell r="I86">
            <v>49542687</v>
          </cell>
          <cell r="J86">
            <v>0</v>
          </cell>
          <cell r="K86">
            <v>0</v>
          </cell>
        </row>
        <row r="87">
          <cell r="A87">
            <v>900080289</v>
          </cell>
          <cell r="B87">
            <v>8</v>
          </cell>
          <cell r="C87" t="str">
            <v>TUVALREP SAS</v>
          </cell>
          <cell r="D87" t="str">
            <v>contador@tuvalrep.com.co</v>
          </cell>
          <cell r="E87" t="str">
            <v>6013713386</v>
          </cell>
          <cell r="F87" t="str">
            <v>AV CL 13 22 72 LC 3</v>
          </cell>
          <cell r="G87" t="str">
            <v>11001</v>
          </cell>
          <cell r="H87">
            <v>219</v>
          </cell>
          <cell r="I87">
            <v>3539760</v>
          </cell>
          <cell r="J87">
            <v>0</v>
          </cell>
          <cell r="K87">
            <v>0</v>
          </cell>
        </row>
        <row r="88">
          <cell r="A88">
            <v>900170621</v>
          </cell>
          <cell r="B88">
            <v>7</v>
          </cell>
          <cell r="C88" t="str">
            <v>HIDROPROTECCION S A</v>
          </cell>
          <cell r="D88" t="str">
            <v>contabilidad2@hidroproteccion.com</v>
          </cell>
          <cell r="E88" t="str">
            <v>3183470687</v>
          </cell>
          <cell r="F88" t="str">
            <v>KM 1 VDA ISLA VIA LA ARGENTINA PARQUE IND EL DORADO BG 44</v>
          </cell>
          <cell r="G88" t="str">
            <v>25286</v>
          </cell>
          <cell r="H88">
            <v>219</v>
          </cell>
          <cell r="I88">
            <v>2728571</v>
          </cell>
          <cell r="J88">
            <v>0</v>
          </cell>
          <cell r="K88">
            <v>0</v>
          </cell>
        </row>
        <row r="89">
          <cell r="A89">
            <v>900253422</v>
          </cell>
          <cell r="B89">
            <v>5</v>
          </cell>
          <cell r="C89" t="str">
            <v>HACERCASA LTDA</v>
          </cell>
          <cell r="D89" t="str">
            <v>hacercasa_ltda@hotmail.com</v>
          </cell>
          <cell r="E89" t="str">
            <v>2582097</v>
          </cell>
          <cell r="F89" t="str">
            <v>AK 45 128 C 47</v>
          </cell>
          <cell r="G89" t="str">
            <v>11001</v>
          </cell>
          <cell r="H89">
            <v>219</v>
          </cell>
          <cell r="I89">
            <v>11924382</v>
          </cell>
          <cell r="J89">
            <v>0</v>
          </cell>
          <cell r="K89">
            <v>0</v>
          </cell>
        </row>
        <row r="90">
          <cell r="A90">
            <v>900254020</v>
          </cell>
          <cell r="B90">
            <v>2</v>
          </cell>
          <cell r="C90" t="str">
            <v>LISTODO S.A.S</v>
          </cell>
          <cell r="D90" t="str">
            <v>almacenlistodo@listodo.com.co</v>
          </cell>
          <cell r="E90" t="str">
            <v>6016267640</v>
          </cell>
          <cell r="F90" t="str">
            <v>AUT NORTE 131 65</v>
          </cell>
          <cell r="G90" t="str">
            <v>11001</v>
          </cell>
          <cell r="H90">
            <v>219</v>
          </cell>
          <cell r="I90">
            <v>134115869</v>
          </cell>
          <cell r="J90">
            <v>0</v>
          </cell>
          <cell r="K90">
            <v>0</v>
          </cell>
        </row>
        <row r="91">
          <cell r="A91">
            <v>900293833</v>
          </cell>
          <cell r="B91">
            <v>1</v>
          </cell>
          <cell r="C91" t="str">
            <v>SURAMERICANA DE ELECTRICOS E ILUMINACION SAS</v>
          </cell>
          <cell r="D91" t="str">
            <v>info@suraelec.com</v>
          </cell>
          <cell r="E91" t="str">
            <v>7227905</v>
          </cell>
          <cell r="F91" t="str">
            <v>CR 4 15 86 LC 103 BRR EL DORADO</v>
          </cell>
          <cell r="G91" t="str">
            <v>25754</v>
          </cell>
          <cell r="H91">
            <v>219</v>
          </cell>
          <cell r="I91">
            <v>86167880</v>
          </cell>
          <cell r="J91">
            <v>0</v>
          </cell>
          <cell r="K91">
            <v>0</v>
          </cell>
        </row>
        <row r="92">
          <cell r="A92">
            <v>900341135</v>
          </cell>
          <cell r="B92">
            <v>3</v>
          </cell>
          <cell r="C92" t="str">
            <v>GLASSEC LTDA</v>
          </cell>
          <cell r="D92" t="str">
            <v>contabilidadglassesec@hotmail.com</v>
          </cell>
          <cell r="E92" t="str">
            <v>3182870647</v>
          </cell>
          <cell r="F92" t="str">
            <v>PARQUE INDUSTRIAL DE ORIENTE LOTE 62 MANZANA G</v>
          </cell>
          <cell r="G92" t="str">
            <v>15001</v>
          </cell>
          <cell r="H92">
            <v>219</v>
          </cell>
          <cell r="I92">
            <v>16167656</v>
          </cell>
          <cell r="J92">
            <v>0</v>
          </cell>
          <cell r="K92">
            <v>0</v>
          </cell>
        </row>
        <row r="93">
          <cell r="A93">
            <v>900412256</v>
          </cell>
          <cell r="B93">
            <v>1</v>
          </cell>
          <cell r="C93" t="str">
            <v>DISTRIBUIDORA FERREACEROS SAS</v>
          </cell>
          <cell r="D93" t="str">
            <v>ferreaceros.sas@gmail.com</v>
          </cell>
          <cell r="E93" t="str">
            <v>3123113434</v>
          </cell>
          <cell r="F93" t="str">
            <v>CL 22 40 08</v>
          </cell>
          <cell r="G93" t="str">
            <v>15238</v>
          </cell>
          <cell r="H93">
            <v>219</v>
          </cell>
          <cell r="I93">
            <v>116288350</v>
          </cell>
          <cell r="J93">
            <v>0</v>
          </cell>
          <cell r="K93">
            <v>0</v>
          </cell>
        </row>
        <row r="94">
          <cell r="A94">
            <v>900555902</v>
          </cell>
          <cell r="B94">
            <v>5</v>
          </cell>
          <cell r="C94" t="str">
            <v>ALUMBOY DISTRIBUCIONES SAS</v>
          </cell>
          <cell r="D94" t="str">
            <v>distribucionesalumboy@hotmail.com</v>
          </cell>
          <cell r="E94" t="str">
            <v>7613781</v>
          </cell>
          <cell r="F94" t="str">
            <v>CR 21 7 21</v>
          </cell>
          <cell r="G94" t="str">
            <v>15238</v>
          </cell>
          <cell r="H94">
            <v>219</v>
          </cell>
          <cell r="I94">
            <v>14118499</v>
          </cell>
          <cell r="J94">
            <v>0</v>
          </cell>
          <cell r="K94">
            <v>0</v>
          </cell>
        </row>
        <row r="95">
          <cell r="A95">
            <v>900827178</v>
          </cell>
          <cell r="B95">
            <v>7</v>
          </cell>
          <cell r="C95" t="str">
            <v>PREFABRICADOS DE DUITAMA COLOMBIA SAS</v>
          </cell>
          <cell r="D95" t="str">
            <v>preducol@gmail.com</v>
          </cell>
          <cell r="E95" t="str">
            <v>3507810458</v>
          </cell>
          <cell r="F95" t="str">
            <v>KM 8 VIA PAIPA DUITAMA</v>
          </cell>
          <cell r="G95" t="str">
            <v>15238</v>
          </cell>
          <cell r="H95">
            <v>219</v>
          </cell>
          <cell r="I95">
            <v>6450000</v>
          </cell>
          <cell r="J95">
            <v>0</v>
          </cell>
          <cell r="K95">
            <v>0</v>
          </cell>
        </row>
        <row r="96">
          <cell r="A96">
            <v>901032442</v>
          </cell>
          <cell r="B96">
            <v>8</v>
          </cell>
          <cell r="C96" t="str">
            <v>LUCTRA SAS</v>
          </cell>
          <cell r="D96" t="str">
            <v>luctrasas@gmail.com</v>
          </cell>
          <cell r="E96" t="str">
            <v>3144752589</v>
          </cell>
          <cell r="F96" t="str">
            <v>CL 22 20 77</v>
          </cell>
          <cell r="G96" t="str">
            <v>15516</v>
          </cell>
          <cell r="H96">
            <v>211</v>
          </cell>
          <cell r="I96">
            <v>22617413</v>
          </cell>
          <cell r="J96">
            <v>180940</v>
          </cell>
          <cell r="K96">
            <v>0</v>
          </cell>
        </row>
        <row r="97">
          <cell r="A97">
            <v>901041174</v>
          </cell>
          <cell r="B97">
            <v>7</v>
          </cell>
          <cell r="C97" t="str">
            <v>CENTRAL DE TRITURADOS S.A.S.</v>
          </cell>
          <cell r="D97" t="str">
            <v>ventascentraldetriturados@gmail.com</v>
          </cell>
          <cell r="E97" t="str">
            <v>3133927151</v>
          </cell>
          <cell r="F97" t="str">
            <v>CR 10 B 134A 35 OF 401</v>
          </cell>
          <cell r="G97" t="str">
            <v>11001</v>
          </cell>
          <cell r="H97">
            <v>219</v>
          </cell>
          <cell r="I97">
            <v>5778416</v>
          </cell>
          <cell r="J97">
            <v>0</v>
          </cell>
          <cell r="K97">
            <v>0</v>
          </cell>
        </row>
        <row r="98">
          <cell r="A98">
            <v>901128826</v>
          </cell>
          <cell r="B98">
            <v>6</v>
          </cell>
          <cell r="C98" t="str">
            <v>SOCIAL SOLAR S.A.S</v>
          </cell>
          <cell r="D98" t="str">
            <v>gerencia@socialsolar.com.co</v>
          </cell>
          <cell r="E98" t="str">
            <v>3204679942</v>
          </cell>
          <cell r="F98" t="str">
            <v>CR 19 28 60</v>
          </cell>
          <cell r="G98" t="str">
            <v>15516</v>
          </cell>
          <cell r="H98">
            <v>219</v>
          </cell>
          <cell r="I98">
            <v>2177943</v>
          </cell>
          <cell r="J98">
            <v>21714</v>
          </cell>
          <cell r="K98">
            <v>0</v>
          </cell>
        </row>
        <row r="99">
          <cell r="A99">
            <v>901200311</v>
          </cell>
          <cell r="B99">
            <v>2</v>
          </cell>
          <cell r="C99" t="str">
            <v>SERVI PRES S.A.S</v>
          </cell>
          <cell r="D99" t="str">
            <v>serviprees@outlook.com</v>
          </cell>
          <cell r="E99" t="str">
            <v>3123358333</v>
          </cell>
          <cell r="F99" t="str">
            <v>CR 46 20 33 BRR JUAN GRANDE</v>
          </cell>
          <cell r="G99" t="str">
            <v>15238</v>
          </cell>
          <cell r="H99">
            <v>219</v>
          </cell>
          <cell r="I99">
            <v>7648403</v>
          </cell>
          <cell r="J99">
            <v>0</v>
          </cell>
          <cell r="K99">
            <v>0</v>
          </cell>
        </row>
        <row r="100">
          <cell r="A100">
            <v>901220387</v>
          </cell>
          <cell r="B100">
            <v>7</v>
          </cell>
          <cell r="C100" t="str">
            <v>ISEK S.A.S</v>
          </cell>
          <cell r="D100" t="str">
            <v>isek.tunja@gmail.com</v>
          </cell>
          <cell r="E100" t="str">
            <v>3223801686</v>
          </cell>
          <cell r="F100" t="str">
            <v>KM 1 VIA TUNJA BOGOTA VDA RUNTA ARRIBA</v>
          </cell>
          <cell r="G100" t="str">
            <v>15001</v>
          </cell>
          <cell r="H100">
            <v>219</v>
          </cell>
          <cell r="I100">
            <v>12627310</v>
          </cell>
          <cell r="J100">
            <v>0</v>
          </cell>
          <cell r="K100">
            <v>0</v>
          </cell>
        </row>
        <row r="101">
          <cell r="A101">
            <v>901230211</v>
          </cell>
          <cell r="B101">
            <v>2</v>
          </cell>
          <cell r="C101" t="str">
            <v>CENTRO COMERCIAL Y APARTAMENTOS SENDERO PLAZA</v>
          </cell>
          <cell r="D101" t="str">
            <v>senderoplazapaipa@gmail.com</v>
          </cell>
          <cell r="E101">
            <v>3156026130</v>
          </cell>
          <cell r="F101" t="str">
            <v>CL 24 19 121</v>
          </cell>
          <cell r="G101" t="str">
            <v>15516</v>
          </cell>
          <cell r="H101">
            <v>219</v>
          </cell>
          <cell r="I101">
            <v>6543000</v>
          </cell>
          <cell r="J101">
            <v>0</v>
          </cell>
          <cell r="K101">
            <v>0</v>
          </cell>
        </row>
        <row r="102">
          <cell r="A102">
            <v>901254114</v>
          </cell>
          <cell r="B102">
            <v>1</v>
          </cell>
          <cell r="C102" t="str">
            <v>VIDRIOS SAN LORENZO SAS</v>
          </cell>
          <cell r="D102" t="str">
            <v>ventas@vidriosanlorenzo.com</v>
          </cell>
          <cell r="E102" t="str">
            <v>3153901028</v>
          </cell>
          <cell r="F102" t="str">
            <v>CL 20 28 21 LC 2</v>
          </cell>
          <cell r="G102" t="str">
            <v>15238</v>
          </cell>
          <cell r="H102">
            <v>219</v>
          </cell>
          <cell r="I102">
            <v>1302521</v>
          </cell>
          <cell r="J102">
            <v>0</v>
          </cell>
          <cell r="K102">
            <v>0</v>
          </cell>
        </row>
        <row r="103">
          <cell r="A103">
            <v>901293343</v>
          </cell>
          <cell r="B103">
            <v>6</v>
          </cell>
          <cell r="C103" t="str">
            <v>COCINAS NUEVAS TENDENCIAS S.A.S</v>
          </cell>
          <cell r="D103" t="str">
            <v>fe@cocinasnt.com</v>
          </cell>
          <cell r="E103" t="str">
            <v>3112283531</v>
          </cell>
          <cell r="F103" t="str">
            <v>CR 16 19 28 BRR VATICANO</v>
          </cell>
          <cell r="G103" t="str">
            <v>15238</v>
          </cell>
          <cell r="H103">
            <v>219</v>
          </cell>
          <cell r="I103">
            <v>159663864</v>
          </cell>
          <cell r="J103">
            <v>0</v>
          </cell>
          <cell r="K103">
            <v>0</v>
          </cell>
        </row>
        <row r="104">
          <cell r="A104">
            <v>901410058</v>
          </cell>
          <cell r="B104">
            <v>4</v>
          </cell>
          <cell r="C104" t="str">
            <v>LADRILLERA GRESPAN S.A.S</v>
          </cell>
          <cell r="D104" t="str">
            <v>facturacionladrilleragrespan@gmail.com</v>
          </cell>
          <cell r="E104" t="str">
            <v>3108751787</v>
          </cell>
          <cell r="F104" t="str">
            <v>KM 5 VIA ZIPAQUIRA UBATE SEC LOS CERROS</v>
          </cell>
          <cell r="G104" t="str">
            <v>25200</v>
          </cell>
          <cell r="H104">
            <v>219</v>
          </cell>
          <cell r="I104">
            <v>29000000</v>
          </cell>
          <cell r="J104">
            <v>0</v>
          </cell>
          <cell r="K104">
            <v>0</v>
          </cell>
        </row>
        <row r="105">
          <cell r="A105">
            <v>901465361</v>
          </cell>
          <cell r="B105">
            <v>8</v>
          </cell>
          <cell r="C105" t="str">
            <v>ARAMAR SUPERMERCADOS SAS</v>
          </cell>
          <cell r="D105" t="str">
            <v>aramar.paipa@gmail.com</v>
          </cell>
          <cell r="E105" t="str">
            <v>3125857981</v>
          </cell>
          <cell r="F105" t="str">
            <v>CR 23 22 51</v>
          </cell>
          <cell r="G105" t="str">
            <v>15516</v>
          </cell>
          <cell r="H105">
            <v>208</v>
          </cell>
          <cell r="I105">
            <v>4811721</v>
          </cell>
          <cell r="J105">
            <v>27488</v>
          </cell>
          <cell r="K105">
            <v>0</v>
          </cell>
        </row>
        <row r="106">
          <cell r="A106">
            <v>901683944</v>
          </cell>
          <cell r="B106">
            <v>6</v>
          </cell>
          <cell r="C106" t="str">
            <v>GRANISTON S.A.S</v>
          </cell>
          <cell r="D106" t="str">
            <v>graniston.sas@outlook.com</v>
          </cell>
          <cell r="E106" t="str">
            <v>311200900</v>
          </cell>
          <cell r="F106" t="str">
            <v>AV LIBERTADORES 43 110</v>
          </cell>
          <cell r="G106" t="str">
            <v>15516</v>
          </cell>
          <cell r="H106">
            <v>219</v>
          </cell>
          <cell r="I106">
            <v>50420706</v>
          </cell>
          <cell r="J106">
            <v>504208</v>
          </cell>
          <cell r="K106">
            <v>0</v>
          </cell>
        </row>
        <row r="107">
          <cell r="A107">
            <v>1007305372</v>
          </cell>
          <cell r="B107">
            <v>1</v>
          </cell>
          <cell r="C107" t="str">
            <v>JOSE FERNANDO OCHOA OCHOA</v>
          </cell>
          <cell r="D107" t="str">
            <v>josfe89@hotmail.com</v>
          </cell>
          <cell r="E107">
            <v>3114532962</v>
          </cell>
          <cell r="F107" t="str">
            <v>VDA SAN ONOFRE</v>
          </cell>
          <cell r="G107" t="str">
            <v>15516</v>
          </cell>
          <cell r="H107">
            <v>219</v>
          </cell>
          <cell r="I107">
            <v>19548500</v>
          </cell>
          <cell r="J107">
            <v>0</v>
          </cell>
          <cell r="K107">
            <v>0</v>
          </cell>
        </row>
        <row r="108">
          <cell r="A108">
            <v>1052392097</v>
          </cell>
          <cell r="B108">
            <v>5</v>
          </cell>
          <cell r="C108" t="str">
            <v>EDGAR ANDRES BECERRA PEDRAZA</v>
          </cell>
          <cell r="D108" t="str">
            <v>andresbecerrapedraza@hotmail.com</v>
          </cell>
          <cell r="E108" t="str">
            <v>3102053609</v>
          </cell>
          <cell r="F108" t="str">
            <v>CL 19 A 4 55</v>
          </cell>
          <cell r="G108" t="str">
            <v>15238</v>
          </cell>
          <cell r="H108">
            <v>219</v>
          </cell>
          <cell r="I108">
            <v>15870000</v>
          </cell>
          <cell r="J108">
            <v>0</v>
          </cell>
          <cell r="K108">
            <v>0</v>
          </cell>
        </row>
        <row r="109">
          <cell r="A109">
            <v>1054681194</v>
          </cell>
          <cell r="B109">
            <v>9</v>
          </cell>
          <cell r="C109" t="str">
            <v>BRAYAN DANIEL PIZA FORERO</v>
          </cell>
          <cell r="D109" t="str">
            <v>daniellpizaforero@gmail.com</v>
          </cell>
          <cell r="E109" t="str">
            <v>3122671928</v>
          </cell>
          <cell r="F109" t="str">
            <v>CL 19 5 45</v>
          </cell>
          <cell r="G109" t="str">
            <v>15469</v>
          </cell>
          <cell r="H109">
            <v>219</v>
          </cell>
          <cell r="I109">
            <v>1032000</v>
          </cell>
          <cell r="J109">
            <v>0</v>
          </cell>
          <cell r="K109">
            <v>0</v>
          </cell>
        </row>
        <row r="110">
          <cell r="A110">
            <v>1110460096</v>
          </cell>
          <cell r="B110">
            <v>1</v>
          </cell>
          <cell r="C110" t="str">
            <v>RAFAEL ALEJANDRO CAMARGO PEDRAZA</v>
          </cell>
          <cell r="D110" t="str">
            <v>proyectos@compuredesboyaca.com</v>
          </cell>
          <cell r="E110" t="str">
            <v>3164501924</v>
          </cell>
          <cell r="F110" t="str">
            <v>CL 24 17 AA 12 BRR LAS QUINTAS</v>
          </cell>
          <cell r="G110" t="str">
            <v>15516</v>
          </cell>
          <cell r="H110">
            <v>219</v>
          </cell>
          <cell r="I110">
            <v>1341000</v>
          </cell>
          <cell r="J110">
            <v>14670</v>
          </cell>
          <cell r="K110">
            <v>0</v>
          </cell>
        </row>
        <row r="111">
          <cell r="A111">
            <v>222222222</v>
          </cell>
          <cell r="C111" t="str">
            <v>CUANTIAS MENORES</v>
          </cell>
          <cell r="D111" t="str">
            <v>lagoverdeconstrucciones@gmail.com</v>
          </cell>
          <cell r="E111">
            <v>3156026130</v>
          </cell>
          <cell r="F111" t="str">
            <v>cl 24 19 121</v>
          </cell>
          <cell r="G111" t="str">
            <v>15238</v>
          </cell>
          <cell r="H111">
            <v>329</v>
          </cell>
          <cell r="I111">
            <v>21594045</v>
          </cell>
          <cell r="J111">
            <v>183839</v>
          </cell>
          <cell r="K111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64"/>
  <sheetViews>
    <sheetView tabSelected="1" zoomScale="85" zoomScaleNormal="85" workbookViewId="0">
      <pane ySplit="6" topLeftCell="A7" activePane="bottomLeft" state="frozen"/>
      <selection pane="bottomLeft" activeCell="D49" sqref="D4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1.1406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3.570312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10" t="s">
        <v>2244</v>
      </c>
      <c r="B2" s="10"/>
      <c r="C2" s="10"/>
      <c r="D2" s="24">
        <v>900447209</v>
      </c>
      <c r="E2" s="25"/>
      <c r="F2" s="25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6" t="s">
        <v>2410</v>
      </c>
      <c r="E3" s="27"/>
      <c r="F3" s="27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4">
        <v>2024</v>
      </c>
      <c r="E4" s="25"/>
      <c r="F4" s="25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1">
        <v>45894</v>
      </c>
      <c r="E5" s="22"/>
      <c r="F5" s="22"/>
      <c r="G5" s="8"/>
      <c r="H5" s="8"/>
      <c r="I5" s="8"/>
      <c r="J5" s="8"/>
      <c r="K5" s="8"/>
    </row>
    <row r="6" spans="1:11" s="14" customFormat="1" ht="60" x14ac:dyDescent="0.25">
      <c r="A6" s="17" t="s">
        <v>2235</v>
      </c>
      <c r="B6" s="18" t="s">
        <v>0</v>
      </c>
      <c r="C6" s="19" t="s">
        <v>2236</v>
      </c>
      <c r="D6" s="20" t="s">
        <v>1</v>
      </c>
      <c r="E6" s="18" t="s">
        <v>2237</v>
      </c>
      <c r="F6" s="19" t="s">
        <v>2238</v>
      </c>
      <c r="G6" s="18" t="s">
        <v>2239</v>
      </c>
      <c r="H6" s="17" t="s">
        <v>2240</v>
      </c>
      <c r="I6" s="17" t="s">
        <v>2243</v>
      </c>
      <c r="J6" s="17" t="s">
        <v>2241</v>
      </c>
      <c r="K6" s="17" t="s">
        <v>2242</v>
      </c>
    </row>
    <row r="7" spans="1:11" s="14" customFormat="1" x14ac:dyDescent="0.25">
      <c r="A7" s="13">
        <v>52251361</v>
      </c>
      <c r="B7" s="14">
        <f>VLOOKUP(A7,'[1]ExportarAExcel (2)'!$A$1:$F$852,2,0)</f>
        <v>1</v>
      </c>
      <c r="C7" s="13" t="s">
        <v>2248</v>
      </c>
      <c r="D7" s="14" t="s">
        <v>2386</v>
      </c>
      <c r="E7" s="14" t="s">
        <v>2298</v>
      </c>
      <c r="F7" s="14" t="s">
        <v>2299</v>
      </c>
      <c r="G7" s="13" t="s">
        <v>720</v>
      </c>
      <c r="H7" s="14">
        <v>239</v>
      </c>
      <c r="I7" s="13">
        <v>12000000</v>
      </c>
      <c r="J7" s="15">
        <v>0</v>
      </c>
      <c r="K7" s="14">
        <v>0</v>
      </c>
    </row>
    <row r="8" spans="1:11" s="14" customFormat="1" x14ac:dyDescent="0.25">
      <c r="A8" s="13">
        <v>800112602</v>
      </c>
      <c r="B8" s="14">
        <f>VLOOKUP(A8,'[1]ExportarAExcel (2)'!$A$1:$F$852,2,0)</f>
        <v>7</v>
      </c>
      <c r="C8" s="13" t="s">
        <v>2249</v>
      </c>
      <c r="D8" s="14" t="s">
        <v>2387</v>
      </c>
      <c r="E8" s="14" t="s">
        <v>2300</v>
      </c>
      <c r="F8" s="14" t="s">
        <v>2301</v>
      </c>
      <c r="G8" s="13" t="s">
        <v>704</v>
      </c>
      <c r="H8" s="14">
        <v>239</v>
      </c>
      <c r="I8" s="13">
        <v>2521008</v>
      </c>
      <c r="J8" s="15">
        <f>VLOOKUP(A8,[2]Hoja2!$A$30:$D$51,4,0)</f>
        <v>25211</v>
      </c>
      <c r="K8" s="14">
        <v>0</v>
      </c>
    </row>
    <row r="9" spans="1:11" s="14" customFormat="1" x14ac:dyDescent="0.25">
      <c r="A9" s="13">
        <v>1049624193</v>
      </c>
      <c r="B9" s="14">
        <f>VLOOKUP(A9,'[1]ExportarAExcel (2)'!$A$1:$F$852,2,0)</f>
        <v>0</v>
      </c>
      <c r="C9" s="13" t="s">
        <v>2250</v>
      </c>
      <c r="D9" s="14" t="s">
        <v>2388</v>
      </c>
      <c r="E9" s="14" t="s">
        <v>2302</v>
      </c>
      <c r="F9" s="14" t="s">
        <v>2303</v>
      </c>
      <c r="G9" s="13" t="s">
        <v>724</v>
      </c>
      <c r="H9" s="14">
        <v>239</v>
      </c>
      <c r="I9" s="13">
        <v>9250000</v>
      </c>
      <c r="J9" s="15">
        <f>VLOOKUP(A9,[2]Hoja2!$A$30:$D$51,4,0)</f>
        <v>92500</v>
      </c>
      <c r="K9" s="14">
        <v>0</v>
      </c>
    </row>
    <row r="10" spans="1:11" s="14" customFormat="1" x14ac:dyDescent="0.25">
      <c r="A10" s="13">
        <v>7162055</v>
      </c>
      <c r="B10" s="14">
        <f>VLOOKUP(A10,'[1]ExportarAExcel (2)'!$A$1:$F$852,2,0)</f>
        <v>5</v>
      </c>
      <c r="C10" s="13" t="s">
        <v>2251</v>
      </c>
      <c r="D10" s="14" t="str">
        <f>VLOOKUP(A10,[3]PFE5!$A$6:$K$111,4,0)</f>
        <v>joseeuclides44@outlook.com</v>
      </c>
      <c r="E10" s="14" t="s">
        <v>2304</v>
      </c>
      <c r="F10" s="14" t="s">
        <v>2305</v>
      </c>
      <c r="G10" s="13" t="s">
        <v>511</v>
      </c>
      <c r="H10" s="14">
        <v>329</v>
      </c>
      <c r="I10" s="13">
        <v>72597012</v>
      </c>
      <c r="J10" s="15">
        <f>VLOOKUP(A10,[2]Hoja2!$A$30:$D$51,4,0)</f>
        <v>580776</v>
      </c>
      <c r="K10" s="14">
        <v>0</v>
      </c>
    </row>
    <row r="11" spans="1:11" s="14" customFormat="1" x14ac:dyDescent="0.25">
      <c r="A11" s="13">
        <v>46454480</v>
      </c>
      <c r="B11" s="14">
        <f>VLOOKUP(A11,'[1]ExportarAExcel (2)'!$A$1:$F$852,2,0)</f>
        <v>8</v>
      </c>
      <c r="C11" s="13" t="s">
        <v>2252</v>
      </c>
      <c r="D11" s="14" t="s">
        <v>2389</v>
      </c>
      <c r="E11" s="14" t="s">
        <v>2306</v>
      </c>
      <c r="F11" s="14" t="s">
        <v>2307</v>
      </c>
      <c r="G11" s="13" t="s">
        <v>706</v>
      </c>
      <c r="H11" s="14">
        <v>329</v>
      </c>
      <c r="I11" s="13">
        <v>2057614</v>
      </c>
      <c r="J11" s="15">
        <f>VLOOKUP(A11,[2]Hoja2!$A$30:$D$51,4,0)</f>
        <v>16461</v>
      </c>
      <c r="K11" s="14">
        <v>0</v>
      </c>
    </row>
    <row r="12" spans="1:11" s="14" customFormat="1" x14ac:dyDescent="0.25">
      <c r="A12" s="13">
        <v>800095036</v>
      </c>
      <c r="B12" s="14">
        <f>VLOOKUP(A12,'[1]ExportarAExcel (2)'!$A$1:$F$852,2,0)</f>
        <v>4</v>
      </c>
      <c r="C12" s="13" t="s">
        <v>2253</v>
      </c>
      <c r="D12" s="14" t="s">
        <v>2390</v>
      </c>
      <c r="E12" s="14" t="s">
        <v>2308</v>
      </c>
      <c r="F12" s="14" t="s">
        <v>2309</v>
      </c>
      <c r="G12" s="13" t="s">
        <v>409</v>
      </c>
      <c r="H12" s="14">
        <v>302</v>
      </c>
      <c r="I12" s="13">
        <v>400990</v>
      </c>
      <c r="J12" s="15">
        <v>0</v>
      </c>
      <c r="K12" s="14">
        <v>0</v>
      </c>
    </row>
    <row r="13" spans="1:11" s="14" customFormat="1" x14ac:dyDescent="0.25">
      <c r="A13" s="13">
        <v>890304099</v>
      </c>
      <c r="B13" s="14">
        <f>VLOOKUP(A13,'[1]ExportarAExcel (2)'!$A$1:$F$852,2,0)</f>
        <v>3</v>
      </c>
      <c r="C13" s="13" t="s">
        <v>2254</v>
      </c>
      <c r="D13" s="14" t="s">
        <v>2391</v>
      </c>
      <c r="E13" s="14" t="s">
        <v>2310</v>
      </c>
      <c r="F13" s="14" t="s">
        <v>2311</v>
      </c>
      <c r="G13" s="13" t="s">
        <v>724</v>
      </c>
      <c r="H13" s="14">
        <v>302</v>
      </c>
      <c r="I13" s="13">
        <v>372221</v>
      </c>
      <c r="J13" s="15">
        <v>0</v>
      </c>
      <c r="K13" s="14">
        <v>0</v>
      </c>
    </row>
    <row r="14" spans="1:11" s="14" customFormat="1" x14ac:dyDescent="0.25">
      <c r="A14" s="13">
        <v>901145641</v>
      </c>
      <c r="B14" s="14">
        <f>VLOOKUP(A14,'[1]ExportarAExcel (2)'!$A$1:$F$852,2,0)</f>
        <v>2</v>
      </c>
      <c r="C14" s="13" t="s">
        <v>2255</v>
      </c>
      <c r="D14" s="14" t="s">
        <v>2392</v>
      </c>
      <c r="E14" s="14" t="s">
        <v>2312</v>
      </c>
      <c r="F14" s="14" t="s">
        <v>2313</v>
      </c>
      <c r="G14" s="13" t="s">
        <v>724</v>
      </c>
      <c r="H14" s="14">
        <v>334</v>
      </c>
      <c r="I14" s="13">
        <v>197273</v>
      </c>
      <c r="J14" s="15">
        <f>VLOOKUP(A14,[2]Hoja2!$A$30:$D$51,4,0)</f>
        <v>1953</v>
      </c>
      <c r="K14" s="14">
        <v>0</v>
      </c>
    </row>
    <row r="15" spans="1:11" s="14" customFormat="1" x14ac:dyDescent="0.25">
      <c r="A15" s="13">
        <v>901240494</v>
      </c>
      <c r="B15" s="14">
        <f>VLOOKUP(A15,'[1]ExportarAExcel (2)'!$A$1:$F$852,2,0)</f>
        <v>2</v>
      </c>
      <c r="C15" s="13" t="s">
        <v>2256</v>
      </c>
      <c r="D15" s="14" t="s">
        <v>2393</v>
      </c>
      <c r="E15" s="14">
        <v>6731283</v>
      </c>
      <c r="F15" s="14" t="s">
        <v>2314</v>
      </c>
      <c r="G15" s="13" t="s">
        <v>409</v>
      </c>
      <c r="H15" s="14">
        <v>219</v>
      </c>
      <c r="I15" s="13">
        <v>159194</v>
      </c>
      <c r="J15" s="15">
        <v>0</v>
      </c>
      <c r="K15" s="14">
        <v>0</v>
      </c>
    </row>
    <row r="16" spans="1:11" s="14" customFormat="1" x14ac:dyDescent="0.25">
      <c r="A16" s="13">
        <v>1051588410</v>
      </c>
      <c r="B16" s="14">
        <f>VLOOKUP(A16,'[1]ExportarAExcel (2)'!$A$1:$F$852,2,0)</f>
        <v>7</v>
      </c>
      <c r="C16" s="13" t="s">
        <v>2257</v>
      </c>
      <c r="D16" s="14" t="s">
        <v>2394</v>
      </c>
      <c r="E16" s="14" t="s">
        <v>2315</v>
      </c>
      <c r="F16" s="14" t="s">
        <v>2305</v>
      </c>
      <c r="G16" s="13" t="s">
        <v>511</v>
      </c>
      <c r="H16" s="14">
        <v>329</v>
      </c>
      <c r="I16" s="13">
        <v>54377000</v>
      </c>
      <c r="J16" s="15">
        <f>VLOOKUP(A16,[2]Hoja2!$A$30:$D$51,4,0)</f>
        <v>435016</v>
      </c>
      <c r="K16" s="14">
        <v>0</v>
      </c>
    </row>
    <row r="17" spans="1:11" s="14" customFormat="1" x14ac:dyDescent="0.25">
      <c r="A17" s="13">
        <v>1052392097</v>
      </c>
      <c r="B17" s="14">
        <f>VLOOKUP(A17,'[1]ExportarAExcel (2)'!$A$1:$F$852,2,0)</f>
        <v>5</v>
      </c>
      <c r="C17" s="13" t="s">
        <v>2258</v>
      </c>
      <c r="D17" s="14" t="str">
        <f>VLOOKUP(A17,[3]PFE5!$A$6:$K$111,4,0)</f>
        <v>andresbecerrapedraza@hotmail.com</v>
      </c>
      <c r="E17" s="14" t="s">
        <v>2316</v>
      </c>
      <c r="F17" s="14" t="s">
        <v>2317</v>
      </c>
      <c r="G17" s="13" t="s">
        <v>720</v>
      </c>
      <c r="H17" s="14">
        <v>211</v>
      </c>
      <c r="I17" s="13">
        <v>10130000</v>
      </c>
      <c r="J17" s="15">
        <v>0</v>
      </c>
      <c r="K17" s="14">
        <v>0</v>
      </c>
    </row>
    <row r="18" spans="1:11" s="14" customFormat="1" x14ac:dyDescent="0.25">
      <c r="A18" s="13">
        <v>1055332675</v>
      </c>
      <c r="B18" s="14">
        <f>VLOOKUP(A18,'[1]ExportarAExcel (2)'!$A$1:$F$852,2,0)</f>
        <v>7</v>
      </c>
      <c r="C18" s="13" t="s">
        <v>2259</v>
      </c>
      <c r="D18" s="14" t="str">
        <f>VLOOKUP(A18,[3]PFE5!$A$6:$K$111,4,0)</f>
        <v>cuervoedwin182@gmail.com</v>
      </c>
      <c r="E18" s="14" t="s">
        <v>2318</v>
      </c>
      <c r="F18" s="14" t="s">
        <v>2319</v>
      </c>
      <c r="G18" s="13" t="s">
        <v>521</v>
      </c>
      <c r="H18" s="14">
        <v>329</v>
      </c>
      <c r="I18" s="13">
        <v>33376376</v>
      </c>
      <c r="J18" s="15">
        <f>VLOOKUP(A18,[2]Hoja2!$A$30:$D$51,4,0)</f>
        <v>267010</v>
      </c>
      <c r="K18" s="14">
        <v>0</v>
      </c>
    </row>
    <row r="19" spans="1:11" s="14" customFormat="1" x14ac:dyDescent="0.25">
      <c r="A19" s="13">
        <v>4191930</v>
      </c>
      <c r="B19" s="14">
        <f>VLOOKUP(A19,'[1]ExportarAExcel (2)'!$A$1:$F$852,2,0)</f>
        <v>8</v>
      </c>
      <c r="C19" s="13" t="s">
        <v>2260</v>
      </c>
      <c r="D19" s="14" t="s">
        <v>2395</v>
      </c>
      <c r="E19" s="14" t="s">
        <v>2320</v>
      </c>
      <c r="F19" s="14" t="s">
        <v>2321</v>
      </c>
      <c r="G19" s="13" t="s">
        <v>724</v>
      </c>
      <c r="H19" s="14">
        <v>313</v>
      </c>
      <c r="I19" s="13">
        <v>29482443</v>
      </c>
      <c r="J19" s="15">
        <f>VLOOKUP(A19,[2]Hoja2!$A$30:$D$51,4,0)</f>
        <v>235857</v>
      </c>
      <c r="K19" s="16">
        <v>0</v>
      </c>
    </row>
    <row r="20" spans="1:11" s="14" customFormat="1" x14ac:dyDescent="0.25">
      <c r="A20" s="13">
        <v>19451796</v>
      </c>
      <c r="B20" s="14">
        <f>VLOOKUP(A20,'[1]ExportarAExcel (2)'!$A$1:$F$852,2,0)</f>
        <v>8</v>
      </c>
      <c r="C20" s="13" t="s">
        <v>2261</v>
      </c>
      <c r="D20" s="14" t="s">
        <v>2390</v>
      </c>
      <c r="E20" s="14" t="s">
        <v>2322</v>
      </c>
      <c r="F20" s="14" t="s">
        <v>2323</v>
      </c>
      <c r="G20" s="13" t="s">
        <v>724</v>
      </c>
      <c r="H20" s="14">
        <v>313</v>
      </c>
      <c r="I20" s="13">
        <v>11847297</v>
      </c>
      <c r="J20" s="15">
        <f>VLOOKUP(A20,[2]Hoja2!$A$30:$D$51,4,0)</f>
        <v>94782</v>
      </c>
      <c r="K20" s="16">
        <v>0</v>
      </c>
    </row>
    <row r="21" spans="1:11" s="14" customFormat="1" x14ac:dyDescent="0.25">
      <c r="A21" s="13">
        <v>23854940</v>
      </c>
      <c r="B21" s="14">
        <f>VLOOKUP(A21,'[1]ExportarAExcel (2)'!$A$1:$F$852,2,0)</f>
        <v>7</v>
      </c>
      <c r="C21" s="13" t="s">
        <v>2262</v>
      </c>
      <c r="D21" s="14" t="s">
        <v>2396</v>
      </c>
      <c r="E21" s="14" t="s">
        <v>2324</v>
      </c>
      <c r="F21" s="14" t="s">
        <v>2325</v>
      </c>
      <c r="G21" s="13" t="s">
        <v>724</v>
      </c>
      <c r="H21" s="14">
        <v>313</v>
      </c>
      <c r="I21" s="13">
        <v>12264270</v>
      </c>
      <c r="J21" s="15">
        <f>VLOOKUP(A21,[2]Hoja2!$A$30:$D$51,4,0)</f>
        <v>98113</v>
      </c>
      <c r="K21" s="16">
        <v>0</v>
      </c>
    </row>
    <row r="22" spans="1:11" s="14" customFormat="1" x14ac:dyDescent="0.25">
      <c r="A22" s="13">
        <v>74360851</v>
      </c>
      <c r="B22" s="14">
        <f>VLOOKUP(A22,'[1]ExportarAExcel (2)'!$A$1:$F$852,2,0)</f>
        <v>4</v>
      </c>
      <c r="C22" s="13" t="s">
        <v>2263</v>
      </c>
      <c r="D22" s="14" t="s">
        <v>2397</v>
      </c>
      <c r="E22" s="14" t="s">
        <v>2326</v>
      </c>
      <c r="F22" s="14" t="s">
        <v>2327</v>
      </c>
      <c r="G22" s="13" t="s">
        <v>409</v>
      </c>
      <c r="H22" s="14">
        <v>313</v>
      </c>
      <c r="I22" s="13">
        <v>11014197</v>
      </c>
      <c r="J22" s="15">
        <f>VLOOKUP(A22,[2]Hoja2!$A$30:$D$51,4,0)</f>
        <v>88111</v>
      </c>
      <c r="K22" s="16">
        <v>0</v>
      </c>
    </row>
    <row r="23" spans="1:11" s="14" customFormat="1" x14ac:dyDescent="0.25">
      <c r="A23" s="13">
        <v>1053609700</v>
      </c>
      <c r="B23" s="14">
        <f>VLOOKUP(A23,'[1]ExportarAExcel (2)'!$A$1:$F$852,2,0)</f>
        <v>7</v>
      </c>
      <c r="C23" s="13" t="s">
        <v>2264</v>
      </c>
      <c r="D23" s="14" t="s">
        <v>2397</v>
      </c>
      <c r="E23" s="14" t="s">
        <v>2328</v>
      </c>
      <c r="F23" s="14" t="s">
        <v>2329</v>
      </c>
      <c r="G23" s="13" t="s">
        <v>720</v>
      </c>
      <c r="H23" s="14">
        <v>313</v>
      </c>
      <c r="I23" s="13">
        <v>8339718</v>
      </c>
      <c r="J23" s="15">
        <f>VLOOKUP(A23,[2]Hoja2!$A$30:$D$51,4,0)</f>
        <v>66723</v>
      </c>
      <c r="K23" s="16">
        <v>0</v>
      </c>
    </row>
    <row r="24" spans="1:11" s="14" customFormat="1" x14ac:dyDescent="0.25">
      <c r="A24" s="13">
        <v>1053611547</v>
      </c>
      <c r="B24" s="14">
        <f>VLOOKUP(A24,'[1]ExportarAExcel (2)'!$A$1:$F$852,2,0)</f>
        <v>0</v>
      </c>
      <c r="C24" s="13" t="s">
        <v>2265</v>
      </c>
      <c r="D24" s="14" t="s">
        <v>2398</v>
      </c>
      <c r="E24" s="14" t="s">
        <v>2330</v>
      </c>
      <c r="F24" s="14" t="s">
        <v>2331</v>
      </c>
      <c r="G24" s="13" t="s">
        <v>1498</v>
      </c>
      <c r="H24" s="14">
        <v>313</v>
      </c>
      <c r="I24" s="13">
        <v>12264270</v>
      </c>
      <c r="J24" s="15">
        <f>VLOOKUP(A24,[2]Hoja2!$A$30:$D$51,4,0)</f>
        <v>98113</v>
      </c>
      <c r="K24" s="16">
        <v>0</v>
      </c>
    </row>
    <row r="25" spans="1:11" s="14" customFormat="1" x14ac:dyDescent="0.25">
      <c r="A25" s="13">
        <v>7212963</v>
      </c>
      <c r="B25" s="14">
        <f>VLOOKUP(A25,'[1]ExportarAExcel (2)'!$A$1:$F$852,2,0)</f>
        <v>3</v>
      </c>
      <c r="C25" s="13" t="s">
        <v>2268</v>
      </c>
      <c r="D25" s="14" t="str">
        <f>VLOOKUP(A25,[3]PFE5!$A$6:$K$111,4,0)</f>
        <v>erropazduitama@yahoo.com</v>
      </c>
      <c r="E25" s="14" t="s">
        <v>2335</v>
      </c>
      <c r="F25" s="14" t="s">
        <v>2336</v>
      </c>
      <c r="G25" s="13" t="s">
        <v>720</v>
      </c>
      <c r="H25" s="14">
        <v>219</v>
      </c>
      <c r="I25" s="13">
        <v>5048319</v>
      </c>
      <c r="J25" s="15">
        <v>0</v>
      </c>
      <c r="K25" s="16">
        <v>0</v>
      </c>
    </row>
    <row r="26" spans="1:11" s="14" customFormat="1" x14ac:dyDescent="0.25">
      <c r="A26" s="13">
        <v>7226847</v>
      </c>
      <c r="B26" s="14">
        <f>VLOOKUP(A26,'[1]ExportarAExcel (2)'!$A$1:$F$852,2,0)</f>
        <v>8</v>
      </c>
      <c r="C26" s="13" t="s">
        <v>2269</v>
      </c>
      <c r="D26" s="14" t="s">
        <v>2401</v>
      </c>
      <c r="E26" s="14" t="s">
        <v>2337</v>
      </c>
      <c r="F26" s="14" t="s">
        <v>2338</v>
      </c>
      <c r="G26" s="13" t="s">
        <v>720</v>
      </c>
      <c r="H26" s="14">
        <v>219</v>
      </c>
      <c r="I26" s="13">
        <v>386555</v>
      </c>
      <c r="J26" s="15">
        <v>0</v>
      </c>
      <c r="K26" s="16">
        <v>0</v>
      </c>
    </row>
    <row r="27" spans="1:11" s="14" customFormat="1" x14ac:dyDescent="0.25">
      <c r="A27" s="13">
        <v>9524528</v>
      </c>
      <c r="B27" s="14">
        <f>VLOOKUP(A27,'[1]ExportarAExcel (2)'!$A$1:$F$852,2,0)</f>
        <v>9</v>
      </c>
      <c r="C27" s="13" t="s">
        <v>2270</v>
      </c>
      <c r="D27" s="14" t="str">
        <f>VLOOKUP(A27,[3]PFE5!$A$6:$K$111,4,0)</f>
        <v>unicpaipa@supernotariado.gov.co</v>
      </c>
      <c r="E27" s="14" t="s">
        <v>2339</v>
      </c>
      <c r="F27" s="14" t="s">
        <v>2340</v>
      </c>
      <c r="G27" s="13" t="s">
        <v>724</v>
      </c>
      <c r="H27" s="14">
        <v>310</v>
      </c>
      <c r="I27" s="13">
        <v>1787197</v>
      </c>
      <c r="J27" s="15">
        <f>VLOOKUP(A27,[2]Hoja2!$A$30:$D$51,4,0)</f>
        <v>4298</v>
      </c>
      <c r="K27" s="16">
        <v>0</v>
      </c>
    </row>
    <row r="28" spans="1:11" s="14" customFormat="1" x14ac:dyDescent="0.25">
      <c r="A28" s="13">
        <v>19444770</v>
      </c>
      <c r="B28" s="14">
        <f>VLOOKUP(A28,'[1]ExportarAExcel (2)'!$A$1:$F$852,2,0)</f>
        <v>8</v>
      </c>
      <c r="C28" s="13" t="s">
        <v>2271</v>
      </c>
      <c r="D28" s="14" t="s">
        <v>2402</v>
      </c>
      <c r="E28" s="14" t="s">
        <v>2341</v>
      </c>
      <c r="F28" s="14" t="s">
        <v>2342</v>
      </c>
      <c r="G28" s="13" t="s">
        <v>704</v>
      </c>
      <c r="H28" s="14">
        <v>211</v>
      </c>
      <c r="I28" s="13">
        <v>1260000</v>
      </c>
      <c r="J28" s="15">
        <v>0</v>
      </c>
      <c r="K28" s="16">
        <v>0</v>
      </c>
    </row>
    <row r="29" spans="1:11" s="14" customFormat="1" x14ac:dyDescent="0.25">
      <c r="A29" s="13">
        <v>23853895</v>
      </c>
      <c r="B29" s="14">
        <f>VLOOKUP(A29,'[1]ExportarAExcel (2)'!$A$1:$F$852,2,0)</f>
        <v>0</v>
      </c>
      <c r="C29" s="13" t="s">
        <v>2272</v>
      </c>
      <c r="D29" s="14" t="str">
        <f>VLOOKUP(A29,[3]PFE5!$A$6:$K$111,4,0)</f>
        <v>doraalamos61@gmail.com</v>
      </c>
      <c r="E29" s="14" t="s">
        <v>2343</v>
      </c>
      <c r="F29" s="14" t="s">
        <v>2344</v>
      </c>
      <c r="G29" s="13" t="s">
        <v>724</v>
      </c>
      <c r="H29" s="14">
        <v>211</v>
      </c>
      <c r="I29" s="13">
        <v>710000</v>
      </c>
      <c r="J29" s="15">
        <f>VLOOKUP(A29,[2]Hoja2!$A$30:$D$51,4,0)</f>
        <v>5680</v>
      </c>
      <c r="K29" s="16">
        <v>0</v>
      </c>
    </row>
    <row r="30" spans="1:11" s="14" customFormat="1" x14ac:dyDescent="0.25">
      <c r="A30" s="13">
        <v>24091237</v>
      </c>
      <c r="B30" s="14">
        <f>VLOOKUP(A30,'[1]ExportarAExcel (2)'!$A$1:$F$852,2,0)</f>
        <v>5</v>
      </c>
      <c r="C30" s="13" t="s">
        <v>2273</v>
      </c>
      <c r="D30" s="14" t="s">
        <v>2403</v>
      </c>
      <c r="E30" s="14" t="s">
        <v>2345</v>
      </c>
      <c r="F30" s="14" t="s">
        <v>2346</v>
      </c>
      <c r="G30" s="13" t="s">
        <v>720</v>
      </c>
      <c r="H30" s="14">
        <v>219</v>
      </c>
      <c r="I30" s="13">
        <v>937815</v>
      </c>
      <c r="J30" s="15">
        <v>0</v>
      </c>
      <c r="K30" s="16">
        <v>0</v>
      </c>
    </row>
    <row r="31" spans="1:11" s="14" customFormat="1" x14ac:dyDescent="0.25">
      <c r="A31" s="13">
        <v>74085634</v>
      </c>
      <c r="B31" s="14">
        <f>VLOOKUP(A31,'[1]ExportarAExcel (2)'!$A$1:$F$852,2,0)</f>
        <v>3</v>
      </c>
      <c r="C31" s="13" t="s">
        <v>2274</v>
      </c>
      <c r="D31" s="14" t="str">
        <f>VLOOKUP(A31,[3]PFE5!$A$6:$K$111,4,0)</f>
        <v>diegoladsol@gmail.com</v>
      </c>
      <c r="E31" s="14" t="s">
        <v>2347</v>
      </c>
      <c r="F31" s="14" t="s">
        <v>2348</v>
      </c>
      <c r="G31" s="13" t="s">
        <v>720</v>
      </c>
      <c r="H31" s="14">
        <v>211</v>
      </c>
      <c r="I31" s="13">
        <v>9400000</v>
      </c>
      <c r="J31" s="15">
        <v>0</v>
      </c>
      <c r="K31" s="16">
        <v>0</v>
      </c>
    </row>
    <row r="32" spans="1:11" s="14" customFormat="1" x14ac:dyDescent="0.25">
      <c r="A32" s="13">
        <v>74372707</v>
      </c>
      <c r="B32" s="14">
        <f>VLOOKUP(A32,'[1]ExportarAExcel (2)'!$A$1:$F$852,2,0)</f>
        <v>3</v>
      </c>
      <c r="C32" s="13" t="s">
        <v>2275</v>
      </c>
      <c r="D32" s="14" t="str">
        <f>VLOOKUP(A32,[3]PFE5!$A$6:$K$111,4,0)</f>
        <v>carpinteriajoseabel@gmail.com</v>
      </c>
      <c r="E32" s="14" t="s">
        <v>2349</v>
      </c>
      <c r="F32" s="14" t="s">
        <v>2350</v>
      </c>
      <c r="G32" s="13" t="s">
        <v>720</v>
      </c>
      <c r="H32" s="14">
        <v>211</v>
      </c>
      <c r="I32" s="13">
        <v>3600000</v>
      </c>
      <c r="J32" s="15">
        <v>0</v>
      </c>
      <c r="K32" s="16">
        <v>0</v>
      </c>
    </row>
    <row r="33" spans="1:11" s="14" customFormat="1" x14ac:dyDescent="0.25">
      <c r="A33" s="13">
        <v>800130426</v>
      </c>
      <c r="B33" s="14">
        <f>VLOOKUP(A33,'[1]ExportarAExcel (2)'!$A$1:$F$852,2,0)</f>
        <v>3</v>
      </c>
      <c r="C33" s="13" t="s">
        <v>2276</v>
      </c>
      <c r="D33" s="14" t="str">
        <f>VLOOKUP(A33,[3]PFE5!$A$6:$K$111,4,0)</f>
        <v>servicioalcliente@gyj.com.co</v>
      </c>
      <c r="E33" s="14" t="s">
        <v>2351</v>
      </c>
      <c r="F33" s="14" t="s">
        <v>2352</v>
      </c>
      <c r="G33" s="13" t="s">
        <v>720</v>
      </c>
      <c r="H33" s="14">
        <v>211</v>
      </c>
      <c r="I33" s="13">
        <v>5042016</v>
      </c>
      <c r="J33" s="15">
        <v>0</v>
      </c>
      <c r="K33" s="16">
        <v>0</v>
      </c>
    </row>
    <row r="34" spans="1:11" s="14" customFormat="1" x14ac:dyDescent="0.25">
      <c r="A34" s="13">
        <v>800185511</v>
      </c>
      <c r="B34" s="14">
        <f>VLOOKUP(A34,'[1]ExportarAExcel (2)'!$A$1:$F$852,2,0)</f>
        <v>8</v>
      </c>
      <c r="C34" s="13" t="s">
        <v>2277</v>
      </c>
      <c r="D34" s="14" t="str">
        <f>VLOOKUP(A34,[3]PFE5!$A$6:$K$111,4,0)</f>
        <v>ladrilloselzipa@yahoo.com</v>
      </c>
      <c r="E34" s="14" t="s">
        <v>2353</v>
      </c>
      <c r="F34" s="14" t="s">
        <v>2354</v>
      </c>
      <c r="G34" s="13" t="s">
        <v>724</v>
      </c>
      <c r="H34" s="14">
        <v>211</v>
      </c>
      <c r="I34" s="13">
        <v>18000000</v>
      </c>
      <c r="J34" s="15">
        <f>VLOOKUP(A34,[2]Hoja2!$A$30:$D$51,4,0)</f>
        <v>180000</v>
      </c>
      <c r="K34" s="16">
        <v>0</v>
      </c>
    </row>
    <row r="35" spans="1:11" s="14" customFormat="1" x14ac:dyDescent="0.25">
      <c r="A35" s="13">
        <v>800242586</v>
      </c>
      <c r="B35" s="14">
        <f>VLOOKUP(A35,'[1]ExportarAExcel (2)'!$A$1:$F$852,2,0)</f>
        <v>4</v>
      </c>
      <c r="C35" s="13" t="s">
        <v>2278</v>
      </c>
      <c r="D35" s="14" t="str">
        <f>VLOOKUP(A35,[3]PFE5!$A$6:$K$111,4,0)</f>
        <v>atencionalcliente@centraldedotaciones.com</v>
      </c>
      <c r="E35" s="14" t="s">
        <v>2355</v>
      </c>
      <c r="F35" s="14" t="s">
        <v>2356</v>
      </c>
      <c r="G35" s="13" t="s">
        <v>720</v>
      </c>
      <c r="H35" s="14">
        <v>211</v>
      </c>
      <c r="I35" s="13">
        <v>157984</v>
      </c>
      <c r="J35" s="15">
        <v>0</v>
      </c>
      <c r="K35" s="16">
        <v>0</v>
      </c>
    </row>
    <row r="36" spans="1:11" s="14" customFormat="1" x14ac:dyDescent="0.25">
      <c r="A36" s="13">
        <v>830063800</v>
      </c>
      <c r="B36" s="14">
        <f>VLOOKUP(A36,'[1]ExportarAExcel (2)'!$A$1:$F$852,2,0)</f>
        <v>7</v>
      </c>
      <c r="C36" s="13" t="s">
        <v>2279</v>
      </c>
      <c r="D36" s="14" t="str">
        <f>VLOOKUP(A36,[3]PFE5!$A$6:$K$111,4,0)</f>
        <v>ocubides@coval.com.co</v>
      </c>
      <c r="E36" s="14" t="s">
        <v>2357</v>
      </c>
      <c r="F36" s="14" t="s">
        <v>2358</v>
      </c>
      <c r="G36" s="13" t="s">
        <v>720</v>
      </c>
      <c r="H36" s="14">
        <v>211</v>
      </c>
      <c r="I36" s="13">
        <v>2103239</v>
      </c>
      <c r="J36" s="15">
        <v>0</v>
      </c>
      <c r="K36" s="16">
        <v>0</v>
      </c>
    </row>
    <row r="37" spans="1:11" s="14" customFormat="1" x14ac:dyDescent="0.25">
      <c r="A37" s="13">
        <v>860002184</v>
      </c>
      <c r="B37" s="14">
        <f>VLOOKUP(A37,'[1]ExportarAExcel (2)'!$A$1:$F$852,2,0)</f>
        <v>6</v>
      </c>
      <c r="C37" s="13" t="s">
        <v>2280</v>
      </c>
      <c r="D37" s="14" t="s">
        <v>2404</v>
      </c>
      <c r="E37" s="14" t="s">
        <v>2359</v>
      </c>
      <c r="F37" s="14" t="s">
        <v>2360</v>
      </c>
      <c r="G37" s="13" t="s">
        <v>409</v>
      </c>
      <c r="H37" s="14">
        <v>219</v>
      </c>
      <c r="I37" s="13">
        <v>1032300</v>
      </c>
      <c r="J37" s="15">
        <v>0</v>
      </c>
      <c r="K37" s="16">
        <v>0</v>
      </c>
    </row>
    <row r="38" spans="1:11" s="14" customFormat="1" x14ac:dyDescent="0.25">
      <c r="A38" s="13">
        <v>860029807</v>
      </c>
      <c r="B38" s="14">
        <f>VLOOKUP(A38,'[1]ExportarAExcel (2)'!$A$1:$F$852,2,0)</f>
        <v>3</v>
      </c>
      <c r="C38" s="13" t="s">
        <v>2281</v>
      </c>
      <c r="D38" s="14" t="s">
        <v>2405</v>
      </c>
      <c r="E38" s="14" t="s">
        <v>2361</v>
      </c>
      <c r="F38" s="14" t="s">
        <v>2362</v>
      </c>
      <c r="G38" s="13" t="s">
        <v>409</v>
      </c>
      <c r="H38" s="14">
        <v>211</v>
      </c>
      <c r="I38" s="13">
        <v>346000</v>
      </c>
      <c r="J38" s="15">
        <v>0</v>
      </c>
      <c r="K38" s="16">
        <v>0</v>
      </c>
    </row>
    <row r="39" spans="1:11" s="14" customFormat="1" x14ac:dyDescent="0.25">
      <c r="A39" s="13">
        <v>860034313</v>
      </c>
      <c r="B39" s="14">
        <f>VLOOKUP(A39,'[1]ExportarAExcel (2)'!$A$1:$F$852,2,0)</f>
        <v>7</v>
      </c>
      <c r="C39" s="13" t="s">
        <v>2282</v>
      </c>
      <c r="D39" s="14" t="str">
        <f>VLOOKUP(A39,[3]PFE5!$A$6:$K$111,4,0)</f>
        <v>defensordelcliente@davivienda.com</v>
      </c>
      <c r="E39" s="14" t="s">
        <v>2363</v>
      </c>
      <c r="F39" s="14" t="s">
        <v>2364</v>
      </c>
      <c r="G39" s="13" t="s">
        <v>720</v>
      </c>
      <c r="H39" s="14">
        <v>219</v>
      </c>
      <c r="I39" s="13">
        <v>4530997</v>
      </c>
      <c r="J39" s="15">
        <v>0</v>
      </c>
      <c r="K39" s="16">
        <v>0</v>
      </c>
    </row>
    <row r="40" spans="1:11" s="14" customFormat="1" x14ac:dyDescent="0.25">
      <c r="A40" s="13">
        <v>860047657</v>
      </c>
      <c r="B40" s="14">
        <f>VLOOKUP(A40,'[1]ExportarAExcel (2)'!$A$1:$F$852,2,0)</f>
        <v>1</v>
      </c>
      <c r="C40" s="13" t="s">
        <v>2283</v>
      </c>
      <c r="D40" s="14" t="s">
        <v>2406</v>
      </c>
      <c r="E40" s="14">
        <v>4238300</v>
      </c>
      <c r="F40" s="14" t="s">
        <v>2365</v>
      </c>
      <c r="G40" s="13" t="s">
        <v>409</v>
      </c>
      <c r="H40" s="14">
        <v>219</v>
      </c>
      <c r="I40" s="13">
        <v>289858</v>
      </c>
      <c r="J40" s="15">
        <v>0</v>
      </c>
      <c r="K40" s="16">
        <v>0</v>
      </c>
    </row>
    <row r="41" spans="1:11" s="14" customFormat="1" x14ac:dyDescent="0.25">
      <c r="A41" s="13">
        <v>890200756</v>
      </c>
      <c r="B41" s="14">
        <f>VLOOKUP(A41,'[1]ExportarAExcel (2)'!$A$1:$F$852,2,0)</f>
        <v>7</v>
      </c>
      <c r="C41" s="13" t="s">
        <v>2284</v>
      </c>
      <c r="D41" s="14" t="s">
        <v>2390</v>
      </c>
      <c r="E41" s="14" t="s">
        <v>2366</v>
      </c>
      <c r="F41" s="14" t="s">
        <v>2367</v>
      </c>
      <c r="G41" s="13" t="s">
        <v>409</v>
      </c>
      <c r="H41" s="14">
        <v>219</v>
      </c>
      <c r="I41" s="13">
        <v>1825536</v>
      </c>
      <c r="J41" s="15">
        <v>0</v>
      </c>
      <c r="K41" s="16">
        <v>0</v>
      </c>
    </row>
    <row r="42" spans="1:11" s="14" customFormat="1" x14ac:dyDescent="0.25">
      <c r="A42" s="13">
        <v>891700037</v>
      </c>
      <c r="B42" s="14">
        <f>VLOOKUP(A42,'[1]ExportarAExcel (2)'!$A$1:$F$852,2,0)</f>
        <v>9</v>
      </c>
      <c r="C42" s="13" t="s">
        <v>2267</v>
      </c>
      <c r="D42" s="14" t="s">
        <v>2400</v>
      </c>
      <c r="E42" s="14" t="s">
        <v>2333</v>
      </c>
      <c r="F42" s="14" t="s">
        <v>2334</v>
      </c>
      <c r="G42" s="13" t="s">
        <v>409</v>
      </c>
      <c r="H42" s="14">
        <v>219</v>
      </c>
      <c r="I42" s="13">
        <v>2091498</v>
      </c>
      <c r="J42" s="15">
        <v>0</v>
      </c>
      <c r="K42" s="16">
        <v>0</v>
      </c>
    </row>
    <row r="43" spans="1:11" s="14" customFormat="1" x14ac:dyDescent="0.25">
      <c r="A43" s="13">
        <v>891855025</v>
      </c>
      <c r="B43" s="14">
        <f>VLOOKUP(A43,'[1]ExportarAExcel (2)'!$A$1:$F$852,2,0)</f>
        <v>6</v>
      </c>
      <c r="C43" s="13" t="s">
        <v>2285</v>
      </c>
      <c r="D43" s="14" t="str">
        <f>VLOOKUP(A43,[3]PFE5!$A$6:$K$111,4,0)</f>
        <v>acontabilidad@ccduitama.org.co</v>
      </c>
      <c r="E43" s="14">
        <v>7651039</v>
      </c>
      <c r="F43" s="14" t="s">
        <v>2368</v>
      </c>
      <c r="G43" s="13" t="s">
        <v>720</v>
      </c>
      <c r="H43" s="14">
        <v>334</v>
      </c>
      <c r="I43" s="13">
        <v>2175200</v>
      </c>
      <c r="J43" s="15">
        <v>0</v>
      </c>
      <c r="K43" s="16">
        <v>0</v>
      </c>
    </row>
    <row r="44" spans="1:11" s="14" customFormat="1" x14ac:dyDescent="0.25">
      <c r="A44" s="13">
        <v>891855859</v>
      </c>
      <c r="B44" s="14">
        <f>VLOOKUP(A44,'[1]ExportarAExcel (2)'!$A$1:$F$852,2,0)</f>
        <v>1</v>
      </c>
      <c r="C44" s="13" t="s">
        <v>2266</v>
      </c>
      <c r="D44" s="14" t="s">
        <v>2399</v>
      </c>
      <c r="E44" s="14">
        <v>3153171894</v>
      </c>
      <c r="F44" s="14" t="s">
        <v>2332</v>
      </c>
      <c r="G44" s="13" t="s">
        <v>720</v>
      </c>
      <c r="H44" s="14">
        <v>334</v>
      </c>
      <c r="I44" s="13">
        <v>157001</v>
      </c>
      <c r="J44" s="15">
        <v>0</v>
      </c>
      <c r="K44" s="16">
        <v>0</v>
      </c>
    </row>
    <row r="45" spans="1:11" s="14" customFormat="1" x14ac:dyDescent="0.25">
      <c r="A45" s="13">
        <v>891855991</v>
      </c>
      <c r="B45" s="14">
        <f>VLOOKUP(A45,'[1]ExportarAExcel (2)'!$A$1:$F$852,2,0)</f>
        <v>6</v>
      </c>
      <c r="C45" s="13" t="s">
        <v>2286</v>
      </c>
      <c r="D45" s="14" t="s">
        <v>2407</v>
      </c>
      <c r="E45" s="14" t="s">
        <v>2369</v>
      </c>
      <c r="F45" s="14" t="s">
        <v>2370</v>
      </c>
      <c r="G45" s="13" t="s">
        <v>720</v>
      </c>
      <c r="H45" s="14">
        <v>334</v>
      </c>
      <c r="I45" s="13">
        <v>481286</v>
      </c>
      <c r="J45" s="15">
        <v>0</v>
      </c>
      <c r="K45" s="16">
        <v>0</v>
      </c>
    </row>
    <row r="46" spans="1:11" s="14" customFormat="1" x14ac:dyDescent="0.25">
      <c r="A46" s="13">
        <v>899999007</v>
      </c>
      <c r="B46" s="14">
        <f>VLOOKUP(A46,'[1]ExportarAExcel (2)'!$A$1:$F$852,2,0)</f>
        <v>0</v>
      </c>
      <c r="C46" s="13" t="s">
        <v>2287</v>
      </c>
      <c r="D46" s="14" t="str">
        <f>VLOOKUP(A46,[3]PFE5!$A$6:$K$111,4,0)</f>
        <v> correspondencia@supernotariado.gov.co.</v>
      </c>
      <c r="E46" s="14" t="s">
        <v>2371</v>
      </c>
      <c r="F46" s="14" t="s">
        <v>2372</v>
      </c>
      <c r="G46" s="13" t="s">
        <v>409</v>
      </c>
      <c r="H46" s="14">
        <v>334</v>
      </c>
      <c r="I46" s="13">
        <v>1133200</v>
      </c>
      <c r="J46" s="15">
        <v>0</v>
      </c>
      <c r="K46" s="16">
        <v>0</v>
      </c>
    </row>
    <row r="47" spans="1:11" s="14" customFormat="1" x14ac:dyDescent="0.25">
      <c r="A47" s="13">
        <v>900031780</v>
      </c>
      <c r="B47" s="14">
        <f>VLOOKUP(A47,'[1]ExportarAExcel (2)'!$A$1:$F$852,2,0)</f>
        <v>4</v>
      </c>
      <c r="C47" s="13" t="s">
        <v>2288</v>
      </c>
      <c r="D47" s="14" t="str">
        <f>VLOOKUP(A47,[3]PFE5!$A$6:$K$111,4,0)</f>
        <v>ferreteriasym@hotmail.es</v>
      </c>
      <c r="E47" s="14" t="s">
        <v>2373</v>
      </c>
      <c r="F47" s="14" t="s">
        <v>2374</v>
      </c>
      <c r="G47" s="13" t="s">
        <v>724</v>
      </c>
      <c r="H47" s="14">
        <v>211</v>
      </c>
      <c r="I47" s="13">
        <v>19121411</v>
      </c>
      <c r="J47" s="15">
        <f>VLOOKUP(A47,[2]Hoja2!$A$30:$D$51,4,0)</f>
        <v>152971</v>
      </c>
      <c r="K47" s="16">
        <v>0</v>
      </c>
    </row>
    <row r="48" spans="1:11" s="14" customFormat="1" x14ac:dyDescent="0.25">
      <c r="A48" s="13">
        <v>900412256</v>
      </c>
      <c r="B48" s="14">
        <f>VLOOKUP(A48,'[1]ExportarAExcel (2)'!$A$1:$F$852,2,0)</f>
        <v>1</v>
      </c>
      <c r="C48" s="13" t="s">
        <v>2289</v>
      </c>
      <c r="D48" s="14" t="str">
        <f>VLOOKUP(A48,[3]PFE5!$A$6:$K$111,4,0)</f>
        <v>ferreaceros.sas@gmail.com</v>
      </c>
      <c r="E48" s="14" t="s">
        <v>2375</v>
      </c>
      <c r="F48" s="14" t="s">
        <v>2376</v>
      </c>
      <c r="G48" s="13" t="s">
        <v>720</v>
      </c>
      <c r="H48" s="14">
        <v>211</v>
      </c>
      <c r="I48" s="13">
        <v>2974790</v>
      </c>
      <c r="J48" s="15">
        <v>0</v>
      </c>
      <c r="K48" s="16">
        <v>0</v>
      </c>
    </row>
    <row r="49" spans="1:11" s="14" customFormat="1" x14ac:dyDescent="0.25">
      <c r="A49" s="13">
        <v>900534356</v>
      </c>
      <c r="B49" s="14">
        <f>VLOOKUP(A49,'[1]ExportarAExcel (2)'!$A$1:$F$852,2,0)</f>
        <v>3</v>
      </c>
      <c r="C49" s="13" t="s">
        <v>2290</v>
      </c>
      <c r="D49" s="14" t="s">
        <v>2408</v>
      </c>
      <c r="E49" s="14">
        <v>7451010</v>
      </c>
      <c r="F49" s="14" t="s">
        <v>2377</v>
      </c>
      <c r="G49" s="13" t="s">
        <v>409</v>
      </c>
      <c r="H49" s="14">
        <v>211</v>
      </c>
      <c r="I49" s="13">
        <v>1816100</v>
      </c>
      <c r="J49" s="15">
        <v>0</v>
      </c>
      <c r="K49" s="16">
        <v>0</v>
      </c>
    </row>
    <row r="50" spans="1:11" s="14" customFormat="1" x14ac:dyDescent="0.25">
      <c r="A50" s="13">
        <v>901032442</v>
      </c>
      <c r="B50" s="14">
        <f>VLOOKUP(A50,'[1]ExportarAExcel (2)'!$A$1:$F$852,2,0)</f>
        <v>8</v>
      </c>
      <c r="C50" s="13" t="s">
        <v>2291</v>
      </c>
      <c r="D50" s="14" t="str">
        <f>VLOOKUP(A50,[3]PFE5!$A$6:$K$111,4,0)</f>
        <v>luctrasas@gmail.com</v>
      </c>
      <c r="E50" s="14">
        <v>3128942615</v>
      </c>
      <c r="F50" s="14" t="s">
        <v>2378</v>
      </c>
      <c r="G50" s="13" t="s">
        <v>724</v>
      </c>
      <c r="H50" s="14">
        <v>211</v>
      </c>
      <c r="I50" s="13">
        <v>205882</v>
      </c>
      <c r="J50" s="15">
        <f>VLOOKUP(A50,[2]Hoja2!$A$30:$D$51,4,0)</f>
        <v>1647</v>
      </c>
      <c r="K50" s="16">
        <v>0</v>
      </c>
    </row>
    <row r="51" spans="1:11" s="14" customFormat="1" x14ac:dyDescent="0.25">
      <c r="A51" s="13">
        <v>901128826</v>
      </c>
      <c r="B51" s="14">
        <f>VLOOKUP(A51,'[1]ExportarAExcel (2)'!$A$1:$F$852,2,0)</f>
        <v>6</v>
      </c>
      <c r="C51" s="13" t="s">
        <v>2292</v>
      </c>
      <c r="D51" s="14" t="str">
        <f>VLOOKUP(A51,[3]PFE5!$A$6:$K$111,4,0)</f>
        <v>gerencia@socialsolar.com.co</v>
      </c>
      <c r="E51" s="14" t="s">
        <v>2379</v>
      </c>
      <c r="F51" s="14" t="s">
        <v>2380</v>
      </c>
      <c r="G51" s="13" t="s">
        <v>724</v>
      </c>
      <c r="H51" s="14">
        <v>219</v>
      </c>
      <c r="I51" s="13">
        <v>299160</v>
      </c>
      <c r="J51" s="15">
        <f>VLOOKUP(A51,[2]Hoja2!$A$30:$D$51,4,0)</f>
        <v>2992</v>
      </c>
      <c r="K51" s="16">
        <v>0</v>
      </c>
    </row>
    <row r="52" spans="1:11" s="14" customFormat="1" x14ac:dyDescent="0.25">
      <c r="A52" s="13">
        <v>901230211</v>
      </c>
      <c r="B52" s="14">
        <f>VLOOKUP(A52,'[1]ExportarAExcel (2)'!$A$1:$F$852,2,0)</f>
        <v>2</v>
      </c>
      <c r="C52" s="13" t="s">
        <v>2293</v>
      </c>
      <c r="D52" s="14" t="str">
        <f>VLOOKUP(A52,[3]PFE5!$A$6:$K$111,4,0)</f>
        <v>senderoplazapaipa@gmail.com</v>
      </c>
      <c r="E52" s="14">
        <v>3133402567</v>
      </c>
      <c r="F52" s="14" t="s">
        <v>2381</v>
      </c>
      <c r="G52" s="13" t="s">
        <v>724</v>
      </c>
      <c r="H52" s="14">
        <v>334</v>
      </c>
      <c r="I52" s="13">
        <v>19833000</v>
      </c>
      <c r="J52" s="15">
        <v>0</v>
      </c>
      <c r="K52" s="16">
        <v>0</v>
      </c>
    </row>
    <row r="53" spans="1:11" s="14" customFormat="1" x14ac:dyDescent="0.25">
      <c r="A53" s="13">
        <v>901410058</v>
      </c>
      <c r="B53" s="14">
        <f>VLOOKUP(A53,'[1]ExportarAExcel (2)'!$A$1:$F$852,2,0)</f>
        <v>4</v>
      </c>
      <c r="C53" s="13" t="s">
        <v>2294</v>
      </c>
      <c r="D53" s="14" t="str">
        <f>VLOOKUP(A53,[3]PFE5!$A$6:$K$111,4,0)</f>
        <v>facturacionladrilleragrespan@gmail.com</v>
      </c>
      <c r="E53" s="14" t="s">
        <v>2382</v>
      </c>
      <c r="F53" s="14" t="s">
        <v>2383</v>
      </c>
      <c r="G53" s="13" t="s">
        <v>1239</v>
      </c>
      <c r="H53" s="14">
        <v>211</v>
      </c>
      <c r="I53" s="13">
        <v>29000000</v>
      </c>
      <c r="J53" s="15">
        <v>0</v>
      </c>
      <c r="K53" s="16">
        <v>0</v>
      </c>
    </row>
    <row r="54" spans="1:11" s="14" customFormat="1" x14ac:dyDescent="0.25">
      <c r="A54" s="13">
        <v>1052392097</v>
      </c>
      <c r="B54" s="14">
        <f>VLOOKUP(A54,'[1]ExportarAExcel (2)'!$A$1:$F$852,2,0)</f>
        <v>5</v>
      </c>
      <c r="C54" s="13" t="s">
        <v>2258</v>
      </c>
      <c r="D54" s="14" t="str">
        <f>VLOOKUP(A54,[3]PFE5!$A$6:$K$111,4,0)</f>
        <v>andresbecerrapedraza@hotmail.com</v>
      </c>
      <c r="E54" s="14" t="s">
        <v>2316</v>
      </c>
      <c r="F54" s="14" t="s">
        <v>2317</v>
      </c>
      <c r="G54" s="13" t="s">
        <v>720</v>
      </c>
      <c r="H54" s="14">
        <v>211</v>
      </c>
      <c r="I54" s="13">
        <v>3654000</v>
      </c>
      <c r="J54" s="15">
        <v>0</v>
      </c>
      <c r="K54" s="16">
        <v>0</v>
      </c>
    </row>
    <row r="55" spans="1:11" s="14" customFormat="1" x14ac:dyDescent="0.25">
      <c r="A55" s="13">
        <v>222222222</v>
      </c>
      <c r="C55" s="13" t="s">
        <v>2295</v>
      </c>
      <c r="D55" s="14" t="str">
        <f>VLOOKUP(A55,[3]PFE5!$A$6:$K$111,4,0)</f>
        <v>lagoverdeconstrucciones@gmail.com</v>
      </c>
      <c r="E55" s="14">
        <v>3156026130</v>
      </c>
      <c r="F55" s="14" t="s">
        <v>2297</v>
      </c>
      <c r="G55" s="13" t="s">
        <v>724</v>
      </c>
      <c r="H55" s="14">
        <v>211</v>
      </c>
      <c r="I55" s="13">
        <f>304341+152125+327000</f>
        <v>783466</v>
      </c>
      <c r="J55" s="15">
        <v>0</v>
      </c>
      <c r="K55" s="16">
        <v>0</v>
      </c>
    </row>
    <row r="56" spans="1:11" s="14" customFormat="1" x14ac:dyDescent="0.25">
      <c r="A56" s="13">
        <v>1053605035</v>
      </c>
      <c r="B56" s="14">
        <f>VLOOKUP(A56,'[1]ExportarAExcel (2)'!$A$1:$F$852,2,0)</f>
        <v>9</v>
      </c>
      <c r="C56" s="13" t="s">
        <v>2296</v>
      </c>
      <c r="D56" s="14" t="s">
        <v>2409</v>
      </c>
      <c r="E56" s="14" t="s">
        <v>2384</v>
      </c>
      <c r="F56" s="14" t="s">
        <v>2385</v>
      </c>
      <c r="G56" s="13" t="s">
        <v>724</v>
      </c>
      <c r="H56" s="14">
        <v>211</v>
      </c>
      <c r="I56" s="13">
        <v>2250000</v>
      </c>
      <c r="J56" s="15">
        <f>VLOOKUP(A56,[2]Hoja2!$A$30:$D$51,4,0)</f>
        <v>22500</v>
      </c>
      <c r="K56" s="16">
        <v>0</v>
      </c>
    </row>
    <row r="57" spans="1:11" s="14" customFormat="1" x14ac:dyDescent="0.25"/>
    <row r="58" spans="1:11" s="14" customFormat="1" x14ac:dyDescent="0.25"/>
    <row r="59" spans="1:11" s="14" customFormat="1" x14ac:dyDescent="0.25"/>
    <row r="60" spans="1:11" s="14" customFormat="1" x14ac:dyDescent="0.25"/>
    <row r="61" spans="1:11" s="14" customFormat="1" x14ac:dyDescent="0.25"/>
    <row r="62" spans="1:11" s="14" customFormat="1" x14ac:dyDescent="0.25"/>
    <row r="63" spans="1:11" s="14" customFormat="1" x14ac:dyDescent="0.25"/>
    <row r="64" spans="1:11" s="14" customFormat="1" x14ac:dyDescent="0.25"/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Contable</cp:lastModifiedBy>
  <dcterms:created xsi:type="dcterms:W3CDTF">2015-06-05T18:19:34Z</dcterms:created>
  <dcterms:modified xsi:type="dcterms:W3CDTF">2025-08-25T18:03:18Z</dcterms:modified>
</cp:coreProperties>
</file>