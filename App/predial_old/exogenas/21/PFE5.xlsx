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rente\e\disco c\IVA 2024\INDUSTRIAS CEM\"/>
    </mc:Choice>
  </mc:AlternateContent>
  <xr:revisionPtr revIDLastSave="0" documentId="8_{FE71A55E-DE63-47CE-AC20-CF53E0631905}" xr6:coauthVersionLast="45" xr6:coauthVersionMax="45" xr10:uidLastSave="{00000000-0000-0000-0000-000000000000}"/>
  <bookViews>
    <workbookView xWindow="-120" yWindow="-120" windowWidth="20730" windowHeight="11160" xr2:uid="{ED706F64-3687-4AAD-AB5C-F7018895DCCB}"/>
  </bookViews>
  <sheets>
    <sheet name="PFE5" sheetId="2" r:id="rId1"/>
    <sheet name="Hoja1" sheetId="1" r:id="rId2"/>
  </sheets>
  <externalReferences>
    <externalReference r:id="rId3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" i="2" l="1"/>
  <c r="J11" i="2"/>
  <c r="J12" i="2"/>
  <c r="J13" i="2"/>
  <c r="J18" i="2"/>
  <c r="J19" i="2"/>
  <c r="J22" i="2"/>
</calcChain>
</file>

<file path=xl/sharedStrings.xml><?xml version="1.0" encoding="utf-8"?>
<sst xmlns="http://schemas.openxmlformats.org/spreadsheetml/2006/main" count="88" uniqueCount="85">
  <si>
    <t>CL24  24 44</t>
  </si>
  <si>
    <t>industrias.cem@hotmail.com</t>
  </si>
  <si>
    <t>DISTRIAGROS SAS</t>
  </si>
  <si>
    <t>CR 19 34  12</t>
  </si>
  <si>
    <t>facturacionelectronicatax@gmail.com</t>
  </si>
  <si>
    <t>TAXTURISTICO PAIPA S A</t>
  </si>
  <si>
    <t>800025690</t>
  </si>
  <si>
    <t>AV LIBERTADORES 35 99</t>
  </si>
  <si>
    <t>lubriservicios.we@gmail.com</t>
  </si>
  <si>
    <t xml:space="preserve">ERNESTO FONSECA VASQUEZ </t>
  </si>
  <si>
    <t>74130977</t>
  </si>
  <si>
    <t>CL 22 26 22</t>
  </si>
  <si>
    <t>surtielectricosrvs.a.s@gmail.com</t>
  </si>
  <si>
    <t>SURTIELECTRICOS RV S.A.S</t>
  </si>
  <si>
    <t>901553229</t>
  </si>
  <si>
    <t>CR 19  28 60</t>
  </si>
  <si>
    <t>Administrativo@socialsolar.com.co</t>
  </si>
  <si>
    <t>SOCIAL SOLAR SAS</t>
  </si>
  <si>
    <t>901128826</t>
  </si>
  <si>
    <t>CR 24 22 04</t>
  </si>
  <si>
    <t>andrea.camargo2305@gmail.com</t>
  </si>
  <si>
    <t xml:space="preserve">GERMAN CAMARGO CIPAGAUTA </t>
  </si>
  <si>
    <t>79869266</t>
  </si>
  <si>
    <t>AV LOS LIBERTADORES 22 23</t>
  </si>
  <si>
    <t>auniondelsur@hotmail.com</t>
  </si>
  <si>
    <t>HENRY ALFONSO GARCIA</t>
  </si>
  <si>
    <t>79132118</t>
  </si>
  <si>
    <t>CR 73 B 147 95</t>
  </si>
  <si>
    <t>facturaelectronica@ambientesceramicos.com</t>
  </si>
  <si>
    <t>AMBIENTES CERAMICOS LTDA</t>
  </si>
  <si>
    <t>830514610</t>
  </si>
  <si>
    <t>KM 2 VIA PAIPA DUITAMA</t>
  </si>
  <si>
    <t>facturas@quiminsa.com</t>
  </si>
  <si>
    <t>QUIMICOS INDUSTRIALES ASOCIADOS SAS</t>
  </si>
  <si>
    <t>800141903</t>
  </si>
  <si>
    <t>CL 27 A 22  32</t>
  </si>
  <si>
    <t>yolandat24@hotmail.com</t>
  </si>
  <si>
    <t>YOLANDA TORRES VALDERRAMA</t>
  </si>
  <si>
    <t>46663540</t>
  </si>
  <si>
    <t>CR 23 A 22 53</t>
  </si>
  <si>
    <t>lilianamedinam35@gmail.com</t>
  </si>
  <si>
    <t xml:space="preserve">LILIANA MEDINA SALAZAR </t>
  </si>
  <si>
    <t>26442150</t>
  </si>
  <si>
    <t>VEREDA SATIVA KM 1 VIA PAIPA TUNJA</t>
  </si>
  <si>
    <t>comercial@ladrilloselzipa.com</t>
  </si>
  <si>
    <t>LADRILLOS EL ZIPA SAS</t>
  </si>
  <si>
    <t>800185511</t>
  </si>
  <si>
    <t>CL 27 22 70</t>
  </si>
  <si>
    <t>ferreteria.alcatraz@hotmail.com</t>
  </si>
  <si>
    <t>RICHAR FONSECA PATARROYO</t>
  </si>
  <si>
    <t>74130335</t>
  </si>
  <si>
    <t>CL 27 23 41</t>
  </si>
  <si>
    <t>humberto-acevedo@hotmail.com</t>
  </si>
  <si>
    <t xml:space="preserve">HUMBERTO ACEVEDO NOSSA </t>
  </si>
  <si>
    <t>9526962</t>
  </si>
  <si>
    <t>DG 31 31A 6</t>
  </si>
  <si>
    <t>com.elrey@yahoo.es</t>
  </si>
  <si>
    <t>JOSE OSVALDO RIVERA TUTA</t>
  </si>
  <si>
    <t>4191297</t>
  </si>
  <si>
    <t>CR 19  34  12</t>
  </si>
  <si>
    <t xml:space="preserve">AV  LIBERTADORES 22 71 </t>
  </si>
  <si>
    <t>ferreteriasym@hotmail.e</t>
  </si>
  <si>
    <t>S M  ASOCIADOS SA</t>
  </si>
  <si>
    <t>900031780</t>
  </si>
  <si>
    <t>AV LIBERTADORES 22 21</t>
  </si>
  <si>
    <t>marfle07@hotmail.com</t>
  </si>
  <si>
    <t>MIRYAM STELLA MARTINEZ NIÑO</t>
  </si>
  <si>
    <t>23855363</t>
  </si>
  <si>
    <t>DEVOLUCIONES REBAJAS Y DESCUENTOS</t>
  </si>
  <si>
    <t>RETENCIÓN PRACTICADA</t>
  </si>
  <si>
    <t xml:space="preserve">VALOR FACTURADO CONSOLIDADO POR ACTIVIDAD ECONÓMICA </t>
  </si>
  <si>
    <t>CÓDIGO ACTIVIDAD DEL BIEN O SERVICIO ADQUIRIDO</t>
  </si>
  <si>
    <t>CÓDIGO DEL MUNICIPIO</t>
  </si>
  <si>
    <t>DIRECCIÓN DOMICILIO FISCAL</t>
  </si>
  <si>
    <t xml:space="preserve">TELÉFONO </t>
  </si>
  <si>
    <t xml:space="preserve">CORREO ELECTRÓNICO </t>
  </si>
  <si>
    <t xml:space="preserve">NOMBRE O RAZON SOCIAL DEL PROVEEDOR </t>
  </si>
  <si>
    <t>DV</t>
  </si>
  <si>
    <t>NIT / CC DEL PROVEEDOR</t>
  </si>
  <si>
    <t>FECHA DE ENVÍO</t>
  </si>
  <si>
    <t>VIGENCIA A REPORTAR</t>
  </si>
  <si>
    <t>INDUSTRIAS Y CONSTRUCIONES CIVILES Y ESTRUCTURAS METALICAS SAS</t>
  </si>
  <si>
    <t>RAZÓN SOCIAL O NOMBRE DEL INFORMANTE</t>
  </si>
  <si>
    <t>NIT O CÉDULA DEL  INFORMANTE</t>
  </si>
  <si>
    <t>24 DE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</si>
</sst>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2" fillId="0" borderId="0" xfId="1" applyFill="1" applyBorder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38" fontId="4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" fillId="2" borderId="0" xfId="0" applyFont="1" applyFill="1"/>
    <xf numFmtId="0" fontId="0" fillId="4" borderId="4" xfId="0" applyFill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1" fillId="4" borderId="0" xfId="0" applyFont="1" applyFill="1"/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" fillId="0" borderId="0" xfId="0" applyFont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605F9B-CD9D-4299-B3D9-77D75F0C7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6497172" cy="1720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FE1%20PFE4%20PFE5%20EXOGENA%20PAIPAC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icipios"/>
      <sheetName val="Actividades"/>
      <sheetName val="Hoja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F102-D959-4669-BAD1-91413D34FC6A}">
  <dimension ref="A1:EP24"/>
  <sheetViews>
    <sheetView tabSelected="1" zoomScale="85" zoomScaleNormal="85" workbookViewId="0">
      <pane ySplit="6" topLeftCell="A10" activePane="bottomLeft" state="frozen"/>
      <selection pane="bottomLeft" activeCell="H4" sqref="H4"/>
    </sheetView>
  </sheetViews>
  <sheetFormatPr baseColWidth="10" defaultColWidth="8.85546875" defaultRowHeight="15"/>
  <cols>
    <col min="1" max="1" width="13.7109375" style="1" customWidth="1"/>
    <col min="2" max="2" width="8.85546875" style="1"/>
    <col min="3" max="3" width="17" style="1" bestFit="1" customWidth="1"/>
    <col min="4" max="4" width="20.7109375" style="1" bestFit="1" customWidth="1"/>
    <col min="5" max="5" width="11.28515625" style="1" customWidth="1"/>
    <col min="6" max="6" width="19.42578125" style="1" customWidth="1"/>
    <col min="7" max="7" width="22.42578125" style="1" bestFit="1" customWidth="1"/>
    <col min="8" max="8" width="21.28515625" style="1" bestFit="1" customWidth="1"/>
    <col min="9" max="9" width="21.7109375" style="1" customWidth="1"/>
    <col min="10" max="10" width="11.85546875" style="1" bestFit="1" customWidth="1"/>
    <col min="11" max="11" width="14" style="1" customWidth="1"/>
    <col min="12" max="12" width="19.28515625" style="2" customWidth="1"/>
    <col min="13" max="13" width="19.5703125" style="2" customWidth="1"/>
    <col min="14" max="146" width="8.85546875" style="2"/>
    <col min="147" max="16384" width="8.85546875" style="1"/>
  </cols>
  <sheetData>
    <row r="1" spans="1:11" ht="137.2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A2" s="17" t="s">
        <v>83</v>
      </c>
      <c r="B2" s="17"/>
      <c r="C2" s="17"/>
      <c r="D2" s="16">
        <v>900244577</v>
      </c>
      <c r="E2" s="15"/>
      <c r="F2" s="15"/>
      <c r="G2" s="2"/>
      <c r="H2" s="2"/>
      <c r="I2" s="2"/>
      <c r="J2" s="2"/>
      <c r="K2" s="2"/>
    </row>
    <row r="3" spans="1:11">
      <c r="A3" s="20" t="s">
        <v>82</v>
      </c>
      <c r="B3" s="20"/>
      <c r="C3" s="20"/>
      <c r="D3" s="19" t="s">
        <v>81</v>
      </c>
      <c r="E3" s="18"/>
      <c r="F3" s="18"/>
      <c r="G3" s="2"/>
      <c r="H3" s="2"/>
      <c r="I3" s="2"/>
      <c r="J3" s="2"/>
      <c r="K3" s="2"/>
    </row>
    <row r="4" spans="1:11">
      <c r="A4" s="17" t="s">
        <v>80</v>
      </c>
      <c r="B4" s="17"/>
      <c r="C4" s="17"/>
      <c r="D4" s="16">
        <v>2024</v>
      </c>
      <c r="E4" s="15"/>
      <c r="F4" s="15"/>
      <c r="G4" s="2"/>
      <c r="H4" s="2"/>
      <c r="I4" s="2"/>
      <c r="J4" s="2"/>
      <c r="K4" s="2"/>
    </row>
    <row r="5" spans="1:11">
      <c r="A5" s="14" t="s">
        <v>79</v>
      </c>
      <c r="B5" s="14"/>
      <c r="C5" s="14"/>
      <c r="D5" s="13" t="s">
        <v>84</v>
      </c>
      <c r="E5" s="12"/>
      <c r="F5" s="12"/>
      <c r="G5" s="2"/>
      <c r="H5" s="2"/>
      <c r="I5" s="2"/>
      <c r="J5" s="2"/>
      <c r="K5" s="2"/>
    </row>
    <row r="6" spans="1:11" ht="60">
      <c r="A6" s="8" t="s">
        <v>78</v>
      </c>
      <c r="B6" s="9" t="s">
        <v>77</v>
      </c>
      <c r="C6" s="10" t="s">
        <v>76</v>
      </c>
      <c r="D6" s="11" t="s">
        <v>75</v>
      </c>
      <c r="E6" s="9" t="s">
        <v>74</v>
      </c>
      <c r="F6" s="10" t="s">
        <v>73</v>
      </c>
      <c r="G6" s="9" t="s">
        <v>72</v>
      </c>
      <c r="H6" s="8" t="s">
        <v>71</v>
      </c>
      <c r="I6" s="8" t="s">
        <v>70</v>
      </c>
      <c r="J6" s="8" t="s">
        <v>69</v>
      </c>
      <c r="K6" s="8" t="s">
        <v>68</v>
      </c>
    </row>
    <row r="7" spans="1:11">
      <c r="A7" s="6" t="s">
        <v>67</v>
      </c>
      <c r="B7" s="1">
        <v>1</v>
      </c>
      <c r="C7" s="1" t="s">
        <v>66</v>
      </c>
      <c r="D7" s="3" t="s">
        <v>65</v>
      </c>
      <c r="E7" s="1">
        <v>3158031907</v>
      </c>
      <c r="F7" s="1" t="s">
        <v>64</v>
      </c>
      <c r="G7" s="1">
        <v>15516</v>
      </c>
      <c r="H7" s="1">
        <v>4752</v>
      </c>
      <c r="I7" s="1">
        <v>1601951</v>
      </c>
      <c r="J7" s="1">
        <v>12814</v>
      </c>
      <c r="K7" s="1">
        <v>0</v>
      </c>
    </row>
    <row r="8" spans="1:11">
      <c r="A8" s="6" t="s">
        <v>63</v>
      </c>
      <c r="B8" s="1">
        <v>4</v>
      </c>
      <c r="C8" s="1" t="s">
        <v>62</v>
      </c>
      <c r="D8" s="3" t="s">
        <v>61</v>
      </c>
      <c r="E8" s="1">
        <v>7850541</v>
      </c>
      <c r="F8" s="1" t="s">
        <v>60</v>
      </c>
      <c r="G8" s="1">
        <v>15516</v>
      </c>
      <c r="H8" s="1">
        <v>4752</v>
      </c>
      <c r="I8" s="1">
        <v>1336219</v>
      </c>
      <c r="J8" s="1">
        <v>10691</v>
      </c>
      <c r="K8" s="1">
        <v>0</v>
      </c>
    </row>
    <row r="9" spans="1:11">
      <c r="A9" s="6" t="s">
        <v>6</v>
      </c>
      <c r="B9" s="1">
        <v>2</v>
      </c>
      <c r="C9" s="6" t="s">
        <v>5</v>
      </c>
      <c r="D9" s="3" t="s">
        <v>4</v>
      </c>
      <c r="E9" s="1">
        <v>7853578</v>
      </c>
      <c r="F9" s="1" t="s">
        <v>59</v>
      </c>
      <c r="G9" s="1">
        <v>15516</v>
      </c>
      <c r="H9" s="1">
        <v>5051</v>
      </c>
      <c r="I9" s="1">
        <v>100000</v>
      </c>
      <c r="J9" s="1">
        <v>900</v>
      </c>
      <c r="K9" s="1">
        <v>0</v>
      </c>
    </row>
    <row r="10" spans="1:11">
      <c r="A10" s="6" t="s">
        <v>58</v>
      </c>
      <c r="B10" s="1">
        <v>3</v>
      </c>
      <c r="C10" s="1" t="s">
        <v>57</v>
      </c>
      <c r="D10" s="3" t="s">
        <v>56</v>
      </c>
      <c r="E10" s="1">
        <v>7853796</v>
      </c>
      <c r="F10" s="1" t="s">
        <v>55</v>
      </c>
      <c r="G10" s="1">
        <v>15516</v>
      </c>
      <c r="H10" s="1">
        <v>4665</v>
      </c>
      <c r="I10" s="1">
        <v>3999454</v>
      </c>
      <c r="J10" s="7">
        <f>6292+18564+5210+1929</f>
        <v>31995</v>
      </c>
      <c r="K10" s="1">
        <v>0</v>
      </c>
    </row>
    <row r="11" spans="1:11">
      <c r="A11" s="6" t="s">
        <v>54</v>
      </c>
      <c r="B11" s="1">
        <v>1</v>
      </c>
      <c r="C11" s="1" t="s">
        <v>53</v>
      </c>
      <c r="D11" s="3" t="s">
        <v>52</v>
      </c>
      <c r="E11" s="1">
        <v>3103375253</v>
      </c>
      <c r="F11" s="1" t="s">
        <v>51</v>
      </c>
      <c r="G11" s="1">
        <v>15516</v>
      </c>
      <c r="H11" s="1">
        <v>4752</v>
      </c>
      <c r="I11" s="1">
        <v>469454</v>
      </c>
      <c r="J11" s="1">
        <f>1586+1397+773</f>
        <v>3756</v>
      </c>
      <c r="K11" s="1">
        <v>0</v>
      </c>
    </row>
    <row r="12" spans="1:11">
      <c r="A12" s="6" t="s">
        <v>50</v>
      </c>
      <c r="B12" s="1">
        <v>9</v>
      </c>
      <c r="C12" s="1" t="s">
        <v>49</v>
      </c>
      <c r="D12" s="3" t="s">
        <v>48</v>
      </c>
      <c r="E12" s="1">
        <v>7851248</v>
      </c>
      <c r="F12" s="1" t="s">
        <v>47</v>
      </c>
      <c r="G12" s="1">
        <v>15516</v>
      </c>
      <c r="H12" s="1">
        <v>4752</v>
      </c>
      <c r="I12" s="1">
        <v>6156176</v>
      </c>
      <c r="J12" s="1">
        <f>28901+13882+6466</f>
        <v>49249</v>
      </c>
      <c r="K12" s="1">
        <v>0</v>
      </c>
    </row>
    <row r="13" spans="1:11">
      <c r="A13" s="6" t="s">
        <v>46</v>
      </c>
      <c r="B13" s="1">
        <v>8</v>
      </c>
      <c r="C13" s="1" t="s">
        <v>45</v>
      </c>
      <c r="D13" s="3" t="s">
        <v>44</v>
      </c>
      <c r="E13" s="1">
        <v>7851186</v>
      </c>
      <c r="F13" s="1" t="s">
        <v>43</v>
      </c>
      <c r="G13" s="1">
        <v>15516</v>
      </c>
      <c r="H13" s="1">
        <v>2392</v>
      </c>
      <c r="I13" s="1">
        <v>5950000</v>
      </c>
      <c r="J13" s="1">
        <f>39200+8400</f>
        <v>47600</v>
      </c>
      <c r="K13" s="1">
        <v>0</v>
      </c>
    </row>
    <row r="14" spans="1:11">
      <c r="A14" s="6" t="s">
        <v>42</v>
      </c>
      <c r="B14" s="1">
        <v>8</v>
      </c>
      <c r="C14" s="1" t="s">
        <v>41</v>
      </c>
      <c r="D14" s="3" t="s">
        <v>40</v>
      </c>
      <c r="E14" s="1">
        <v>3208714728</v>
      </c>
      <c r="F14" s="1" t="s">
        <v>39</v>
      </c>
      <c r="G14" s="1">
        <v>15516</v>
      </c>
      <c r="H14" s="1">
        <v>4752</v>
      </c>
      <c r="I14" s="1">
        <v>1900350</v>
      </c>
      <c r="J14" s="1">
        <v>15203</v>
      </c>
      <c r="K14" s="1">
        <v>0</v>
      </c>
    </row>
    <row r="15" spans="1:11">
      <c r="A15" s="6" t="s">
        <v>38</v>
      </c>
      <c r="B15" s="1">
        <v>8</v>
      </c>
      <c r="C15" s="1" t="s">
        <v>37</v>
      </c>
      <c r="D15" s="3" t="s">
        <v>36</v>
      </c>
      <c r="E15" s="1">
        <v>3112912501</v>
      </c>
      <c r="F15" s="1" t="s">
        <v>35</v>
      </c>
      <c r="G15" s="1">
        <v>15516</v>
      </c>
      <c r="H15" s="1">
        <v>4752</v>
      </c>
      <c r="I15" s="1">
        <v>235546</v>
      </c>
      <c r="J15" s="1">
        <v>1884</v>
      </c>
      <c r="K15" s="1">
        <v>0</v>
      </c>
    </row>
    <row r="16" spans="1:11">
      <c r="A16" s="6" t="s">
        <v>34</v>
      </c>
      <c r="B16" s="1">
        <v>2</v>
      </c>
      <c r="C16" s="1" t="s">
        <v>33</v>
      </c>
      <c r="D16" s="3" t="s">
        <v>32</v>
      </c>
      <c r="E16" s="1">
        <v>312522148</v>
      </c>
      <c r="F16" s="1" t="s">
        <v>31</v>
      </c>
      <c r="G16" s="1">
        <v>15516</v>
      </c>
      <c r="H16" s="1">
        <v>4752</v>
      </c>
      <c r="I16" s="1">
        <v>94000</v>
      </c>
      <c r="J16" s="1">
        <v>752</v>
      </c>
      <c r="K16" s="1">
        <v>0</v>
      </c>
    </row>
    <row r="17" spans="1:11">
      <c r="A17" s="6" t="s">
        <v>30</v>
      </c>
      <c r="B17" s="1">
        <v>0</v>
      </c>
      <c r="C17" s="1" t="s">
        <v>29</v>
      </c>
      <c r="D17" s="3" t="s">
        <v>28</v>
      </c>
      <c r="E17" s="1">
        <v>3552155</v>
      </c>
      <c r="F17" s="1" t="s">
        <v>27</v>
      </c>
      <c r="G17" s="1">
        <v>15516</v>
      </c>
      <c r="H17" s="1">
        <v>4663</v>
      </c>
      <c r="I17" s="1">
        <v>3945252</v>
      </c>
      <c r="J17" s="1">
        <v>31562</v>
      </c>
      <c r="K17" s="1">
        <v>0</v>
      </c>
    </row>
    <row r="18" spans="1:11">
      <c r="A18" s="6" t="s">
        <v>26</v>
      </c>
      <c r="B18" s="1">
        <v>4</v>
      </c>
      <c r="C18" s="1" t="s">
        <v>25</v>
      </c>
      <c r="D18" s="3" t="s">
        <v>24</v>
      </c>
      <c r="E18" s="1">
        <v>7851454</v>
      </c>
      <c r="F18" s="1" t="s">
        <v>23</v>
      </c>
      <c r="G18" s="1">
        <v>15516</v>
      </c>
      <c r="H18" s="1">
        <v>4752</v>
      </c>
      <c r="I18" s="1">
        <v>236975</v>
      </c>
      <c r="J18" s="1">
        <f>1738+158</f>
        <v>1896</v>
      </c>
      <c r="K18" s="1">
        <v>0</v>
      </c>
    </row>
    <row r="19" spans="1:11">
      <c r="A19" s="6" t="s">
        <v>22</v>
      </c>
      <c r="B19" s="4">
        <v>1</v>
      </c>
      <c r="C19" s="1" t="s">
        <v>21</v>
      </c>
      <c r="D19" s="3" t="s">
        <v>20</v>
      </c>
      <c r="E19" s="1">
        <v>3134538141</v>
      </c>
      <c r="F19" s="1" t="s">
        <v>19</v>
      </c>
      <c r="G19" s="1">
        <v>15516</v>
      </c>
      <c r="H19" s="1">
        <v>4732</v>
      </c>
      <c r="I19" s="1">
        <v>263200</v>
      </c>
      <c r="J19" s="1">
        <f>1256+850</f>
        <v>2106</v>
      </c>
      <c r="K19" s="1">
        <v>0</v>
      </c>
    </row>
    <row r="20" spans="1:11">
      <c r="A20" s="6" t="s">
        <v>18</v>
      </c>
      <c r="B20" s="4">
        <v>6</v>
      </c>
      <c r="C20" s="6" t="s">
        <v>17</v>
      </c>
      <c r="D20" s="3" t="s">
        <v>16</v>
      </c>
      <c r="E20" s="1">
        <v>3152024993</v>
      </c>
      <c r="F20" s="1" t="s">
        <v>15</v>
      </c>
      <c r="G20" s="1">
        <v>15516</v>
      </c>
      <c r="H20" s="1">
        <v>4669</v>
      </c>
      <c r="I20" s="1">
        <v>522689</v>
      </c>
      <c r="J20" s="1">
        <v>4182</v>
      </c>
      <c r="K20" s="1">
        <v>0</v>
      </c>
    </row>
    <row r="21" spans="1:11">
      <c r="A21" s="6" t="s">
        <v>14</v>
      </c>
      <c r="B21" s="4">
        <v>0</v>
      </c>
      <c r="C21" s="6" t="s">
        <v>13</v>
      </c>
      <c r="D21" s="3" t="s">
        <v>12</v>
      </c>
      <c r="E21" s="1">
        <v>3115071069</v>
      </c>
      <c r="F21" s="1" t="s">
        <v>11</v>
      </c>
      <c r="G21" s="1">
        <v>15516</v>
      </c>
      <c r="H21" s="1">
        <v>4752</v>
      </c>
      <c r="I21" s="1">
        <v>1589580</v>
      </c>
      <c r="J21" s="1">
        <v>12717</v>
      </c>
      <c r="K21" s="1">
        <v>0</v>
      </c>
    </row>
    <row r="22" spans="1:11">
      <c r="A22" s="6" t="s">
        <v>10</v>
      </c>
      <c r="B22" s="4">
        <v>7</v>
      </c>
      <c r="C22" s="1" t="s">
        <v>9</v>
      </c>
      <c r="D22" s="3" t="s">
        <v>8</v>
      </c>
      <c r="E22" s="1">
        <v>3108098891</v>
      </c>
      <c r="F22" s="1" t="s">
        <v>7</v>
      </c>
      <c r="G22" s="1">
        <v>15516</v>
      </c>
      <c r="H22" s="1">
        <v>4520</v>
      </c>
      <c r="I22" s="1">
        <v>1760000</v>
      </c>
      <c r="J22" s="1">
        <f>7680+6400</f>
        <v>14080</v>
      </c>
      <c r="K22" s="1">
        <v>0</v>
      </c>
    </row>
    <row r="23" spans="1:11">
      <c r="A23" s="6" t="s">
        <v>6</v>
      </c>
      <c r="B23" s="4">
        <v>2</v>
      </c>
      <c r="C23" s="6" t="s">
        <v>5</v>
      </c>
      <c r="D23" s="3" t="s">
        <v>4</v>
      </c>
      <c r="E23" s="1">
        <v>7853578</v>
      </c>
      <c r="F23" s="1" t="s">
        <v>3</v>
      </c>
      <c r="G23" s="1">
        <v>15516</v>
      </c>
      <c r="H23" s="1">
        <v>4731</v>
      </c>
      <c r="I23" s="1">
        <v>100000</v>
      </c>
      <c r="J23" s="1">
        <v>900</v>
      </c>
      <c r="K23" s="1">
        <v>0</v>
      </c>
    </row>
    <row r="24" spans="1:11">
      <c r="A24" s="5">
        <v>901062604</v>
      </c>
      <c r="B24" s="4">
        <v>2</v>
      </c>
      <c r="C24" s="1" t="s">
        <v>2</v>
      </c>
      <c r="D24" s="3" t="s">
        <v>1</v>
      </c>
      <c r="E24" s="1">
        <v>3226821731</v>
      </c>
      <c r="F24" s="1" t="s">
        <v>0</v>
      </c>
      <c r="G24" s="1">
        <v>15516</v>
      </c>
      <c r="H24" s="1">
        <v>4752</v>
      </c>
      <c r="I24" s="1">
        <v>90000</v>
      </c>
      <c r="J24" s="1">
        <v>720</v>
      </c>
      <c r="K24" s="1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4678-1D53-4E1E-AAD2-564559A78D84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PFE5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2025-06-24T17:46:11Z</dcterms:created>
  <dcterms:modified xsi:type="dcterms:W3CDTF">2025-06-24T17:46:51Z</dcterms:modified>
</cp:coreProperties>
</file>