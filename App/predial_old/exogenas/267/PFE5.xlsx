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Pro\Documents\Contabilidad\2025\EXOGENA PAIPA\"/>
    </mc:Choice>
  </mc:AlternateContent>
  <bookViews>
    <workbookView xWindow="0" yWindow="0" windowWidth="19200" windowHeight="693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2" i="1" l="1"/>
  <c r="I82" i="1"/>
  <c r="I14" i="1"/>
</calcChain>
</file>

<file path=xl/sharedStrings.xml><?xml version="1.0" encoding="utf-8"?>
<sst xmlns="http://schemas.openxmlformats.org/spreadsheetml/2006/main" count="3442" uniqueCount="3124">
  <si>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</si>
  <si>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</si>
  <si>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</si>
  <si>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</si>
  <si>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</si>
  <si>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</si>
  <si>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</si>
  <si>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</si>
  <si>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</si>
  <si>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</si>
  <si>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</si>
  <si>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</si>
  <si>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</si>
  <si>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</si>
  <si>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</si>
  <si>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</si>
  <si>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</si>
  <si>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</si>
  <si>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</si>
  <si>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</si>
  <si>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</si>
  <si>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</si>
  <si>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</si>
  <si>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</si>
  <si>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</si>
  <si>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</si>
  <si>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</si>
  <si>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</si>
  <si>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</si>
  <si>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</si>
  <si>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</si>
  <si>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</si>
  <si>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</si>
  <si>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</si>
  <si>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</si>
  <si>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</si>
  <si>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</si>
  <si>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</si>
  <si>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</si>
  <si>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</si>
  <si>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</si>
  <si>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</si>
  <si>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</si>
  <si>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</si>
  <si>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</si>
  <si>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</si>
  <si>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</si>
  <si>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</si>
  <si>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</si>
  <si>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</si>
  <si>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</si>
  <si>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</si>
  <si>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</si>
  <si>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</si>
  <si>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</si>
  <si>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</si>
  <si>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</si>
  <si>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</si>
  <si>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</si>
  <si>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</si>
  <si>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</si>
  <si>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</si>
  <si>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</si>
  <si>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</si>
  <si>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</si>
  <si>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</si>
  <si>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</si>
  <si>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</si>
  <si>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</si>
  <si>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</si>
  <si>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</si>
  <si>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</si>
  <si>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</si>
  <si>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</si>
  <si>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</si>
  <si>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</si>
  <si>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</si>
  <si>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</si>
  <si>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</si>
  <si>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</si>
  <si>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</si>
  <si>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</si>
  <si>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</si>
  <si>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</si>
  <si>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</si>
  <si>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</si>
  <si>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</si>
  <si>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</si>
  <si>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</si>
  <si>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</si>
  <si>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</si>
  <si>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</si>
  <si>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</si>
  <si>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</si>
  <si>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</si>
  <si>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</si>
  <si>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</si>
  <si>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</si>
  <si>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</si>
  <si>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</si>
  <si>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</si>
  <si>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</si>
  <si>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</si>
  <si>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</si>
  <si>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</si>
  <si>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</si>
  <si>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</si>
  <si>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</si>
  <si>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</si>
  <si>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</si>
  <si>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</si>
  <si>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</si>
  <si>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</si>
  <si>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</si>
  <si>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</si>
  <si>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</si>
  <si>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</si>
  <si>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</si>
  <si>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</si>
  <si>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</si>
  <si>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</si>
  <si>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</si>
  <si>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</si>
  <si>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</si>
  <si>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</si>
  <si>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</si>
  <si>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</si>
  <si>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</si>
  <si>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</si>
  <si>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</si>
  <si>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</si>
  <si>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</si>
  <si>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</si>
  <si>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</si>
  <si>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</si>
  <si>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</si>
  <si>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</si>
  <si>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</si>
  <si>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</si>
  <si>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</si>
  <si>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</si>
  <si>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</si>
  <si>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</si>
  <si>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</si>
  <si>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</si>
  <si>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</si>
  <si>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</si>
  <si>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</si>
  <si>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</si>
  <si>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</si>
  <si>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</si>
  <si>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</si>
  <si>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</si>
  <si>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</si>
  <si>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</si>
  <si>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</si>
  <si>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</si>
  <si>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</si>
  <si>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</si>
  <si>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</si>
  <si>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</si>
  <si>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</si>
  <si>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</si>
  <si>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</si>
  <si>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</si>
  <si>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</si>
  <si>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</si>
  <si>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</si>
  <si>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</si>
  <si>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</si>
  <si>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</si>
  <si>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</si>
  <si>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</si>
  <si>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</si>
  <si>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</si>
  <si>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</si>
  <si>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</si>
  <si>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</si>
  <si>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</si>
  <si>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</si>
  <si>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</si>
  <si>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</si>
  <si>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</si>
  <si>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</si>
  <si>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</si>
  <si>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</si>
  <si>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</si>
  <si>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</si>
  <si>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</si>
  <si>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</si>
  <si>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</si>
  <si>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</si>
  <si>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</si>
  <si>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</si>
  <si>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</si>
  <si>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</si>
  <si>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</si>
  <si>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</si>
  <si>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</si>
  <si>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</si>
  <si>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</si>
  <si>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</si>
  <si>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</si>
  <si>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</si>
  <si>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</si>
  <si>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</si>
  <si>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</si>
  <si>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</si>
  <si>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</si>
  <si>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</si>
  <si>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</si>
  <si>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</si>
  <si>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</si>
  <si>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</si>
  <si>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</si>
  <si>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</si>
  <si>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</si>
  <si>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</si>
  <si>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</si>
  <si>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</si>
  <si>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</si>
  <si>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</si>
  <si>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</si>
  <si>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</si>
  <si>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</si>
  <si>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</si>
  <si>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</si>
  <si>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</si>
  <si>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</si>
  <si>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</si>
  <si>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</si>
  <si>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</si>
  <si>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</si>
  <si>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</si>
  <si>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</si>
  <si>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</si>
  <si>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</si>
  <si>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</si>
  <si>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</si>
  <si>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</si>
  <si>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</si>
  <si>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</si>
  <si>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</si>
  <si>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</si>
  <si>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</si>
  <si>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</si>
  <si>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</si>
  <si>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</si>
  <si>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</si>
  <si>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</si>
  <si>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</si>
  <si>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</si>
  <si>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</si>
  <si>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</si>
  <si>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</si>
  <si>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</si>
  <si>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</si>
  <si>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</si>
  <si>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</si>
  <si>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</si>
  <si>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</si>
  <si>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</si>
  <si>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</si>
  <si>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</si>
  <si>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</si>
  <si>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</si>
  <si>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</si>
  <si>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</si>
  <si>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</si>
  <si>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</si>
  <si>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</si>
  <si>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</si>
  <si>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</si>
  <si>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</si>
  <si>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</si>
  <si>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</si>
  <si>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</si>
  <si>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</si>
  <si>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</si>
  <si>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</si>
  <si>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</si>
  <si>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</si>
  <si>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</si>
  <si>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</si>
  <si>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</si>
  <si>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</si>
  <si>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</si>
  <si>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</si>
  <si>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</si>
  <si>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</si>
  <si>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</si>
  <si>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</si>
  <si>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</si>
  <si>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</si>
  <si>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</si>
  <si>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</si>
  <si>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</si>
  <si>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</si>
  <si>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</si>
  <si>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</si>
  <si>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</si>
  <si>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</si>
  <si>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</si>
  <si>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</si>
  <si>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</si>
  <si>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</si>
  <si>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</si>
  <si>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</si>
  <si>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</si>
  <si>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</si>
  <si>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</si>
  <si>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</si>
  <si>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</si>
  <si>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</si>
  <si>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</si>
  <si>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</si>
  <si>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</si>
  <si>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</si>
  <si>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</si>
  <si>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</si>
  <si>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</si>
  <si>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</si>
  <si>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</si>
  <si>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</si>
  <si>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</si>
  <si>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</si>
  <si>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</si>
  <si>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</si>
  <si>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</si>
  <si>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</si>
  <si>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</si>
  <si>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</si>
  <si>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</si>
  <si>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</si>
  <si>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</si>
  <si>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</si>
  <si>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</si>
  <si>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</si>
  <si>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</si>
  <si>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</si>
  <si>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</si>
  <si>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</si>
  <si>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</si>
  <si>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</si>
  <si>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</si>
  <si>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</si>
  <si>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</si>
  <si>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</si>
  <si>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</si>
  <si>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</si>
  <si>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</si>
  <si>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</si>
  <si>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</si>
  <si>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</si>
  <si>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</si>
  <si>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</si>
  <si>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</si>
  <si>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</si>
  <si>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</si>
  <si>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</si>
  <si>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</si>
  <si>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</si>
  <si>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</si>
  <si>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</si>
  <si>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</si>
  <si>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</si>
  <si>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</si>
  <si>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</si>
  <si>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</si>
  <si>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</si>
  <si>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</si>
  <si>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</si>
  <si>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</si>
  <si>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</si>
  <si>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</si>
  <si>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</si>
  <si>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</si>
  <si>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</si>
  <si>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</si>
  <si>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</si>
  <si>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</si>
  <si>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</si>
  <si>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</si>
  <si>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</si>
  <si>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</si>
  <si>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</si>
  <si>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</si>
  <si>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</si>
  <si>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</si>
  <si>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</si>
  <si>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</si>
  <si>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</si>
  <si>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</si>
  <si>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</si>
  <si>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</si>
  <si>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</si>
  <si>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</si>
  <si>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</si>
  <si>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</si>
  <si>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</si>
  <si>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</si>
  <si>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</si>
  <si>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</si>
  <si>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</si>
  <si>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</si>
  <si>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</si>
  <si>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</si>
  <si>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</si>
  <si>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</si>
  <si>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</si>
  <si>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</si>
  <si>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</si>
  <si>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</si>
  <si>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</si>
  <si>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</si>
  <si>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</si>
  <si>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</si>
  <si>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</si>
  <si>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</si>
  <si>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</si>
  <si>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</si>
  <si>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</si>
  <si>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</si>
  <si>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</si>
  <si>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</si>
  <si>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</si>
  <si>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</si>
  <si>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</si>
  <si>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</si>
  <si>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</si>
  <si>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</si>
  <si>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</si>
  <si>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</si>
  <si>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</si>
  <si>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</si>
  <si>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</si>
  <si>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</si>
  <si>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</si>
  <si>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</si>
  <si>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</si>
  <si>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</si>
  <si>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</si>
  <si>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</si>
  <si>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</si>
  <si>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</si>
  <si>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</si>
  <si>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</si>
  <si>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</si>
  <si>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</si>
  <si>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</si>
  <si>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</si>
  <si>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</si>
  <si>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</si>
  <si>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</si>
  <si>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</si>
  <si>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</si>
  <si>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</si>
  <si>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</si>
  <si>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</si>
  <si>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</si>
  <si>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</si>
  <si>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</si>
  <si>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</si>
  <si>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</si>
  <si>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</si>
  <si>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</si>
  <si>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</si>
  <si>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</si>
  <si>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</si>
  <si>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</si>
  <si>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</si>
  <si>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</si>
  <si>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</si>
  <si>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</si>
  <si>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</si>
  <si>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</si>
  <si>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</si>
  <si>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</si>
  <si>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</si>
  <si>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</si>
  <si>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</si>
  <si>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</si>
  <si>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</si>
  <si>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</si>
  <si>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</si>
  <si>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</si>
  <si>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</si>
  <si>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</si>
  <si>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</si>
  <si>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</si>
  <si>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</si>
  <si>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</si>
  <si>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</si>
  <si>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</si>
  <si>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</si>
  <si>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</si>
  <si>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</si>
  <si>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</si>
  <si>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</si>
  <si>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</si>
  <si>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</si>
  <si>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</si>
  <si>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</si>
  <si>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</si>
  <si>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</si>
  <si>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</si>
  <si>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</si>
  <si>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</si>
  <si>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</si>
  <si>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</si>
  <si>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</si>
  <si>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</si>
  <si>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</si>
  <si>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</si>
  <si>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</si>
  <si>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</si>
  <si>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</si>
  <si>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</si>
  <si>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</si>
  <si>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</si>
  <si>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</si>
  <si>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</si>
  <si>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</si>
  <si>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</si>
  <si>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</si>
  <si>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</si>
  <si>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</si>
  <si>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</si>
  <si>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</si>
  <si>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</si>
  <si>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</si>
  <si>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</si>
  <si>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</si>
  <si>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</si>
  <si>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</si>
  <si>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</si>
  <si>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</si>
  <si>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</si>
  <si>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</si>
  <si>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</si>
  <si>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</si>
  <si>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</si>
  <si>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</si>
  <si>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</si>
  <si>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</si>
  <si>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</si>
  <si>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</si>
  <si>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</si>
  <si>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</si>
  <si>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</si>
  <si>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</si>
  <si>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</si>
  <si>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</si>
  <si>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</si>
  <si>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</si>
  <si>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</si>
  <si>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</si>
  <si>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</si>
  <si>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</si>
  <si>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</si>
  <si>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</si>
  <si>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</si>
  <si>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</si>
  <si>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</si>
  <si>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</si>
  <si>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</si>
  <si>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</si>
  <si>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</si>
  <si>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</si>
  <si>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</si>
  <si>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</si>
  <si>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</si>
  <si>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</si>
  <si>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</si>
  <si>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</si>
  <si>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</si>
  <si>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</si>
  <si>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</si>
  <si>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</si>
  <si>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</si>
  <si>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</si>
  <si>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</si>
  <si>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</si>
  <si>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</si>
  <si>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</si>
  <si>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</si>
  <si>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</si>
  <si>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</si>
  <si>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</si>
  <si>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</si>
  <si>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</si>
  <si>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</si>
  <si>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</si>
  <si>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</si>
  <si>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</si>
  <si>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</si>
  <si>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</si>
  <si>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</si>
  <si>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</si>
  <si>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</si>
  <si>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</si>
  <si>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</si>
  <si>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</si>
  <si>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</si>
  <si>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</si>
  <si>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</si>
  <si>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</si>
  <si>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</si>
  <si>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</si>
  <si>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</si>
  <si>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</si>
  <si>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</si>
  <si>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</si>
  <si>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</si>
  <si>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</si>
  <si>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</si>
  <si>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</si>
  <si>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</si>
  <si>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</si>
  <si>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</si>
  <si>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</si>
  <si>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</si>
  <si>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</si>
  <si>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</si>
  <si>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</si>
  <si>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</si>
  <si>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</si>
  <si>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</si>
  <si>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</si>
  <si>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</si>
  <si>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</si>
  <si>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</si>
  <si>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</si>
  <si>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</si>
  <si>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</si>
  <si>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</si>
  <si>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</si>
  <si>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</si>
  <si>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</si>
  <si>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</si>
  <si>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</si>
  <si>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</si>
  <si>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</si>
  <si>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</si>
  <si>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</si>
  <si>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</si>
  <si>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</si>
  <si>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</si>
  <si>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</si>
  <si>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</si>
  <si>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</si>
  <si>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</si>
  <si>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</si>
  <si>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</si>
  <si>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</si>
  <si>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</si>
  <si>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</si>
  <si>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</si>
  <si>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</si>
  <si>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</si>
  <si>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</si>
  <si>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</si>
  <si>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</si>
  <si>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</si>
  <si>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</si>
  <si>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</si>
  <si>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</si>
  <si>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</si>
  <si>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</si>
  <si>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</si>
  <si>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</si>
  <si>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</si>
  <si>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</si>
  <si>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</si>
  <si>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</si>
  <si>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</si>
  <si>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</si>
  <si>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</si>
  <si>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</si>
  <si>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</si>
  <si>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</si>
  <si>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</si>
  <si>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</si>
  <si>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</si>
  <si>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</si>
  <si>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</si>
  <si>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</si>
  <si>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</si>
  <si>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</si>
  <si>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</si>
  <si>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</si>
  <si>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</si>
  <si>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</si>
  <si>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</si>
  <si>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</si>
  <si>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</si>
  <si>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</si>
  <si>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</si>
  <si>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</si>
  <si>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</si>
  <si>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</si>
  <si>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</si>
  <si>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</si>
  <si>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</si>
  <si>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</si>
  <si>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</si>
  <si>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</si>
  <si>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</si>
  <si>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</si>
  <si>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</si>
  <si>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</si>
  <si>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</si>
  <si>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</si>
  <si>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</si>
  <si>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</si>
  <si>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</si>
  <si>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</si>
  <si>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</si>
  <si>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</si>
  <si>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</si>
  <si>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</si>
  <si>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</si>
  <si>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</si>
  <si>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</si>
  <si>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</si>
  <si>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</si>
  <si>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</si>
  <si>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</si>
  <si>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</si>
  <si>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</si>
  <si>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</si>
  <si>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</si>
  <si>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</si>
  <si>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</si>
  <si>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</si>
  <si>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</si>
  <si>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</si>
  <si>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</si>
  <si>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</si>
  <si>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</si>
  <si>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</si>
  <si>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</si>
  <si>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</si>
  <si>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</si>
  <si>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</si>
  <si>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</si>
  <si>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</si>
  <si>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</si>
  <si>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</si>
  <si>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</si>
  <si>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</si>
  <si>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</si>
  <si>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</si>
  <si>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</si>
  <si>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</si>
  <si>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</si>
  <si>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</si>
  <si>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</si>
  <si>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</si>
  <si>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</si>
  <si>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</si>
  <si>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</si>
  <si>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</si>
  <si>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</si>
  <si>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</si>
  <si>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</si>
  <si>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</si>
  <si>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</si>
  <si>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</si>
  <si>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</si>
  <si>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</si>
  <si>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</si>
  <si>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</si>
  <si>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</si>
  <si>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</si>
  <si>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</si>
  <si>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</si>
  <si>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</si>
  <si>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</si>
  <si>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</si>
  <si>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</si>
  <si>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</si>
  <si>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</si>
  <si>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</si>
  <si>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</si>
  <si>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</si>
  <si>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</si>
  <si>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</si>
  <si>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</si>
  <si>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</si>
  <si>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</si>
  <si>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</si>
  <si>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</si>
  <si>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</si>
  <si>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</si>
  <si>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</si>
  <si>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</si>
  <si>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</si>
  <si>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</si>
  <si>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</si>
  <si>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</si>
  <si>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</si>
  <si>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</si>
  <si>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</si>
  <si>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</si>
  <si>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</si>
  <si>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</si>
  <si>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</si>
  <si>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</si>
  <si>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</si>
  <si>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</si>
  <si>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</si>
  <si>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</si>
  <si>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</si>
  <si>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</si>
  <si>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</si>
  <si>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</si>
  <si>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</si>
  <si>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</si>
  <si>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</si>
  <si>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</si>
  <si>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</si>
  <si>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</si>
  <si>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</si>
  <si>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</si>
  <si>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</si>
  <si>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</si>
  <si>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</si>
  <si>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</si>
  <si>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</si>
  <si>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</si>
  <si>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</si>
  <si>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</si>
  <si>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</si>
  <si>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</si>
  <si>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</si>
  <si>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</si>
  <si>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</si>
  <si>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</si>
  <si>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</si>
  <si>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</si>
  <si>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</si>
  <si>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</si>
  <si>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</si>
  <si>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</si>
  <si>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</si>
  <si>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</si>
  <si>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</si>
  <si>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</si>
  <si>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</si>
  <si>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</si>
  <si>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</si>
  <si>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</si>
  <si>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</si>
  <si>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</si>
  <si>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</si>
  <si>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</si>
  <si>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</si>
  <si>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</si>
  <si>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</si>
  <si>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</si>
  <si>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</si>
  <si>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</si>
  <si>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</si>
  <si>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</si>
  <si>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</si>
  <si>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</si>
  <si>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</si>
  <si>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</si>
  <si>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</si>
  <si>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</si>
  <si>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</si>
  <si>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</si>
  <si>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</si>
  <si>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</si>
  <si>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</si>
  <si>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</si>
  <si>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</si>
  <si>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</si>
  <si>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</si>
  <si>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</si>
  <si>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</si>
  <si>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</si>
  <si>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</si>
  <si>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</si>
  <si>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</si>
  <si>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</si>
  <si>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</si>
  <si>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</si>
  <si>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</si>
  <si>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</si>
  <si>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</si>
  <si>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</si>
  <si>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</si>
  <si>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</si>
  <si>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</si>
  <si>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</si>
  <si>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</si>
  <si>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</si>
  <si>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</si>
  <si>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</si>
  <si>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</si>
  <si>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</si>
  <si>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</si>
  <si>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</si>
  <si>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</si>
  <si>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</si>
  <si>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</si>
  <si>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</si>
  <si>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</si>
  <si>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</si>
  <si>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</si>
  <si>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</si>
  <si>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</si>
  <si>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</si>
  <si>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</si>
  <si>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</si>
  <si>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</si>
  <si>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</si>
  <si>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</si>
  <si>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</si>
  <si>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</si>
  <si>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</si>
  <si>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</si>
  <si>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</si>
  <si>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</si>
  <si>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</si>
  <si>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</si>
  <si>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</si>
  <si>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</si>
  <si>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</si>
  <si>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</si>
  <si>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</si>
  <si>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</si>
  <si>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</si>
  <si>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</si>
  <si>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</si>
  <si>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</si>
  <si>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</si>
  <si>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</si>
  <si>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</si>
  <si>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</si>
  <si>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</si>
  <si>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</si>
  <si>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</si>
  <si>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</si>
  <si>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</si>
  <si>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</si>
  <si>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</si>
  <si>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</si>
  <si>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</si>
  <si>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</si>
  <si>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</si>
  <si>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</si>
  <si>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</si>
  <si>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</si>
  <si>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</si>
  <si>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</si>
  <si>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</si>
  <si>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</si>
  <si>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</si>
  <si>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</si>
  <si>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</si>
  <si>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</si>
  <si>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</si>
  <si>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</si>
  <si>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</si>
  <si>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</si>
  <si>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</si>
  <si>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</si>
  <si>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</si>
  <si>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</si>
  <si>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</si>
  <si>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</si>
  <si>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</si>
  <si>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</si>
  <si>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</si>
  <si>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</si>
  <si>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</si>
  <si>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</si>
  <si>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</si>
  <si>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</si>
  <si>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</si>
  <si>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</si>
  <si>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</si>
  <si>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</si>
  <si>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</si>
  <si>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</si>
  <si>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</si>
  <si>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</si>
  <si>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</si>
  <si>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</si>
  <si>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</si>
  <si>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</si>
  <si>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</si>
  <si>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</si>
  <si>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</si>
  <si>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</si>
  <si>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</si>
  <si>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</si>
  <si>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</si>
  <si>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</si>
  <si>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</si>
  <si>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</si>
  <si>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</si>
  <si>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</si>
  <si>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</si>
  <si>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</si>
  <si>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</si>
  <si>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</si>
  <si>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</si>
  <si>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</si>
  <si>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</si>
  <si>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</si>
  <si>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</si>
  <si>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</si>
  <si>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</si>
  <si>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</si>
  <si>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</si>
  <si>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</si>
  <si>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</si>
  <si>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</si>
  <si>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</si>
  <si>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</si>
  <si>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</si>
  <si>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</si>
  <si>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</si>
  <si>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</si>
  <si>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</si>
  <si>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</si>
  <si>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</si>
  <si>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</si>
  <si>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</si>
  <si>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</si>
  <si>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</si>
  <si>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</si>
  <si>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</si>
  <si>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</si>
  <si>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</si>
  <si>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</si>
  <si>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</si>
  <si>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</si>
  <si>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</si>
  <si>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</si>
  <si>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</si>
  <si>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</si>
  <si>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</si>
  <si>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</si>
  <si>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</si>
  <si>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</si>
  <si>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</si>
  <si>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</si>
  <si>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</si>
  <si>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</si>
  <si>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</si>
  <si>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</si>
  <si>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</si>
  <si>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</si>
  <si>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</si>
  <si>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</si>
  <si>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</si>
  <si>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</si>
  <si>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</si>
  <si>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</si>
  <si>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</si>
  <si>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</si>
  <si>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</si>
  <si>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</si>
  <si>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</si>
  <si>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</si>
  <si>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</si>
  <si>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</si>
  <si>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</si>
  <si>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</si>
  <si>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</si>
  <si>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</si>
  <si>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</si>
  <si>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</si>
  <si>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</si>
  <si>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</si>
  <si>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</si>
  <si>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</si>
  <si>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</si>
  <si>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</si>
  <si>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</si>
  <si>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</si>
  <si>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</si>
  <si>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</si>
  <si>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</si>
  <si>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</si>
  <si>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</si>
  <si>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</si>
  <si>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</si>
  <si>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</si>
  <si>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</si>
  <si>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</si>
  <si>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</si>
  <si>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</si>
  <si>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</si>
  <si>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</si>
  <si>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</si>
  <si>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</si>
  <si>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</si>
  <si>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</si>
  <si>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</si>
  <si>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</si>
  <si>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</si>
  <si>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</si>
  <si>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</si>
  <si>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</si>
  <si>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</si>
  <si>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</si>
  <si>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</si>
  <si>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</si>
  <si>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</si>
  <si>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</si>
  <si>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</si>
  <si>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</si>
  <si>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</si>
  <si>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</si>
  <si>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</si>
  <si>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</si>
  <si>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</si>
  <si>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</si>
  <si>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</si>
  <si>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</si>
  <si>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</si>
  <si>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</si>
  <si>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</si>
  <si>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</si>
  <si>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</si>
  <si>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</si>
  <si>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</si>
  <si>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</si>
  <si>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</si>
  <si>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</si>
  <si>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</si>
  <si>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</si>
  <si>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</si>
  <si>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</si>
  <si>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</si>
  <si>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</si>
  <si>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</si>
  <si>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</si>
  <si>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</si>
  <si>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</si>
  <si>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</si>
  <si>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</si>
  <si>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</si>
  <si>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</si>
  <si>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</si>
  <si>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</si>
  <si>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</si>
  <si>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</si>
  <si>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</si>
  <si>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</si>
  <si>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</si>
  <si>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</si>
  <si>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</si>
  <si>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</si>
  <si>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</si>
  <si>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</si>
  <si>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</si>
  <si>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</si>
  <si>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</si>
  <si>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</si>
  <si>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</si>
  <si>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</si>
  <si>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</si>
  <si>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</si>
  <si>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</si>
  <si>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</si>
  <si>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</si>
  <si>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</si>
  <si>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</si>
  <si>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</si>
  <si>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</si>
  <si>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</si>
  <si>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</si>
  <si>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</si>
  <si>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</si>
  <si>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</si>
  <si>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</si>
  <si>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</si>
  <si>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</si>
  <si>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</si>
  <si>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</si>
  <si>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</si>
  <si>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</si>
  <si>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</si>
  <si>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</si>
  <si>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</si>
  <si>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</si>
  <si>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</si>
  <si>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</si>
  <si>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</si>
  <si>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</si>
  <si>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</si>
  <si>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</si>
  <si>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</si>
  <si>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</si>
  <si>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</si>
  <si>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</si>
  <si>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</si>
  <si>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</si>
  <si>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</si>
  <si>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</si>
  <si>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</si>
  <si>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</si>
  <si>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</si>
  <si>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</si>
  <si>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</si>
  <si>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</si>
  <si>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</si>
  <si>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</si>
  <si>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</si>
  <si>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</si>
  <si>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</si>
  <si>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</si>
  <si>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</si>
  <si>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</si>
  <si>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</si>
  <si>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</si>
  <si>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</si>
  <si>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</si>
  <si>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</si>
  <si>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</si>
  <si>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</si>
  <si>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</si>
  <si>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</si>
  <si>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</si>
  <si>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</si>
  <si>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</si>
  <si>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</si>
  <si>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</si>
  <si>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</si>
  <si>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</si>
  <si>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</si>
  <si>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</si>
  <si>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</si>
  <si>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</si>
  <si>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</si>
  <si>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</si>
  <si>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</si>
  <si>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</si>
  <si>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</si>
  <si>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</si>
  <si>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</si>
  <si>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</si>
  <si>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</si>
  <si>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</si>
  <si>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</si>
  <si>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</si>
  <si>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</si>
  <si>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</si>
  <si>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</si>
  <si>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</si>
  <si>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</si>
  <si>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</si>
  <si>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</si>
  <si>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</si>
  <si>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</si>
  <si>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</si>
  <si>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</si>
  <si>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</si>
  <si>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</si>
  <si>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</si>
  <si>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</si>
  <si>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</si>
  <si>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</si>
  <si>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</si>
  <si>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</si>
  <si>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</si>
  <si>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</si>
  <si>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</si>
  <si>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</si>
  <si>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</si>
  <si>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</si>
  <si>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</si>
  <si>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</si>
  <si>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</si>
  <si>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</si>
  <si>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</si>
  <si>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</si>
  <si>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</si>
  <si>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</si>
  <si>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</si>
  <si>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</si>
  <si>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</si>
  <si>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</si>
  <si>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</si>
  <si>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</si>
  <si>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</si>
  <si>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</si>
  <si>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</si>
  <si>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</si>
  <si>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</si>
  <si>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</si>
  <si>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</si>
  <si>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</si>
  <si>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</si>
  <si>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</si>
  <si>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</si>
  <si>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</si>
  <si>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</si>
  <si>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</si>
  <si>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</si>
  <si>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</si>
  <si>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</si>
  <si>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</si>
  <si>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</si>
  <si>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</si>
  <si>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</si>
  <si>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</si>
  <si>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</si>
  <si>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</si>
  <si>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</si>
  <si>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</si>
  <si>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</si>
  <si>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</si>
  <si>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</si>
  <si>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</si>
  <si>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</si>
  <si>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</si>
  <si>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</si>
  <si>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</si>
  <si>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</si>
  <si>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</si>
  <si>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</si>
  <si>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</si>
  <si>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</si>
  <si>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</si>
  <si>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</si>
  <si>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</si>
  <si>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</si>
  <si>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</si>
  <si>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</si>
  <si>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</si>
  <si>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</si>
  <si>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</si>
  <si>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</si>
  <si>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</si>
  <si>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</si>
  <si>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</si>
  <si>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</si>
  <si>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</si>
  <si>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</si>
  <si>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</si>
  <si>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</si>
  <si>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</si>
  <si>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</si>
  <si>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</si>
  <si>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</si>
  <si>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</si>
  <si>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</si>
  <si>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</si>
  <si>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</si>
  <si>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</si>
  <si>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</si>
  <si>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</si>
  <si>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</si>
  <si>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</si>
  <si>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</si>
  <si>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</si>
  <si>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</si>
  <si>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</si>
  <si>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</si>
  <si>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</si>
  <si>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</si>
  <si>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</si>
  <si>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</si>
  <si>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</si>
  <si>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</si>
  <si>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</si>
  <si>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</si>
  <si>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</si>
  <si>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</si>
  <si>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</si>
  <si>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</si>
  <si>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</si>
  <si>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</si>
  <si>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</si>
  <si>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</si>
  <si>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</si>
  <si>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</si>
  <si>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</si>
  <si>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</si>
  <si>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</si>
  <si>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</si>
  <si>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</si>
  <si>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</si>
  <si>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</si>
  <si>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</si>
  <si>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</si>
  <si>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</si>
  <si>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</si>
  <si>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</si>
  <si>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</si>
  <si>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</si>
  <si>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</si>
  <si>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</si>
  <si>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</si>
  <si>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</si>
  <si>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</si>
  <si>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</si>
  <si>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</si>
  <si>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</si>
  <si>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</si>
  <si>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</si>
  <si>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</si>
  <si>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</si>
  <si>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</si>
  <si>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</si>
  <si>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</si>
  <si>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</si>
  <si>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</si>
  <si>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</si>
  <si>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</si>
  <si>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</si>
  <si>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</si>
  <si>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</si>
  <si>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</si>
  <si>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</si>
  <si>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</si>
  <si>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</si>
  <si>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</si>
  <si>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</si>
  <si>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</si>
  <si>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</si>
  <si>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</si>
  <si>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</si>
  <si>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</si>
  <si>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</si>
  <si>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</si>
  <si>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</si>
  <si>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</si>
  <si>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</si>
  <si>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</si>
  <si>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</si>
  <si>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</si>
  <si>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</si>
  <si>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</si>
  <si>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</si>
  <si>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</si>
  <si>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</si>
  <si>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</si>
  <si>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</si>
  <si>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</si>
  <si>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</si>
  <si>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</si>
  <si>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</si>
  <si>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</si>
  <si>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</si>
  <si>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</si>
  <si>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</si>
  <si>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</si>
  <si>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</si>
  <si>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</si>
  <si>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</si>
  <si>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</si>
  <si>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</si>
  <si>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</si>
  <si>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</si>
  <si>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</si>
  <si>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</si>
  <si>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</si>
  <si>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</si>
  <si>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</si>
  <si>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</si>
  <si>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</si>
  <si>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</si>
  <si>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</si>
  <si>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</si>
  <si>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</si>
  <si>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</si>
  <si>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</si>
  <si>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</si>
  <si>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</si>
  <si>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</si>
  <si>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</si>
  <si>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</si>
  <si>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</si>
  <si>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</si>
  <si>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</si>
  <si>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</si>
  <si>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</si>
  <si>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</si>
  <si>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</si>
  <si>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</si>
  <si>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</si>
  <si>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</si>
  <si>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</si>
  <si>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</si>
  <si>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</si>
  <si>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</si>
  <si>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</si>
  <si>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</si>
  <si>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</si>
  <si>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</si>
  <si>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</si>
  <si>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</si>
  <si>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</si>
  <si>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</si>
  <si>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</si>
  <si>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</si>
  <si>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</si>
  <si>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</si>
  <si>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</si>
  <si>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</si>
  <si>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</si>
  <si>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</si>
  <si>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</si>
  <si>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</si>
  <si>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</si>
  <si>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</si>
  <si>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</si>
  <si>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</si>
  <si>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</si>
  <si>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</si>
  <si>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</si>
  <si>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</si>
  <si>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</si>
  <si>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</si>
  <si>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</si>
  <si>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</si>
  <si>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</si>
  <si>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</si>
  <si>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</si>
  <si>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</si>
  <si>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</si>
  <si>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</si>
  <si>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</si>
  <si>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</si>
  <si>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</si>
  <si>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</si>
  <si>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</si>
  <si>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</si>
  <si>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</si>
  <si>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</si>
  <si>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</si>
  <si>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</si>
  <si>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</si>
  <si>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</si>
  <si>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</si>
  <si>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</si>
  <si>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</si>
  <si>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</si>
  <si>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</si>
  <si>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</si>
  <si>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</si>
  <si>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</si>
  <si>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</si>
  <si>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</si>
  <si>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</si>
  <si>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</si>
  <si>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</si>
  <si>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</si>
  <si>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</si>
  <si>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</si>
  <si>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</si>
  <si>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</si>
  <si>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</si>
  <si>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</si>
  <si>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</si>
  <si>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</si>
  <si>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</si>
  <si>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</si>
  <si>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</si>
  <si>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</si>
  <si>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</si>
  <si>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</si>
  <si>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</si>
  <si>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</si>
  <si>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</si>
  <si>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</si>
  <si>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</si>
  <si>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</si>
  <si>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</si>
  <si>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</si>
  <si>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</si>
  <si>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</si>
  <si>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</si>
  <si>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</si>
  <si>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</si>
  <si>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</si>
  <si>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</si>
  <si>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</si>
  <si>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</si>
  <si>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</si>
  <si>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</si>
  <si>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</si>
  <si>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</si>
  <si>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</si>
  <si>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</si>
  <si>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</si>
  <si>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</si>
  <si>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</si>
  <si>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</si>
  <si>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</si>
  <si>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</si>
  <si>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</si>
  <si>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</si>
  <si>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</si>
  <si>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</si>
  <si>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</si>
  <si>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</si>
  <si>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</si>
  <si>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</si>
  <si>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</si>
  <si>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</si>
  <si>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</si>
  <si>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</si>
  <si>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</si>
  <si>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</si>
  <si>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</si>
  <si>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</si>
  <si>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</si>
  <si>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</si>
  <si>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</si>
  <si>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</si>
  <si>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</si>
  <si>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</si>
  <si>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</si>
  <si>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</si>
  <si>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</si>
  <si>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</si>
  <si>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</si>
  <si>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</si>
  <si>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</si>
  <si>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</si>
  <si>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</si>
  <si>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</si>
  <si>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</si>
  <si>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</si>
  <si>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</si>
  <si>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</si>
  <si>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</si>
  <si>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</si>
  <si>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</si>
  <si>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</si>
  <si>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</si>
  <si>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</si>
  <si>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</si>
  <si>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</si>
  <si>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</si>
  <si>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</si>
  <si>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</si>
  <si>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</si>
  <si>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</si>
  <si>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</si>
  <si>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</si>
  <si>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</si>
  <si>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</si>
  <si>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</si>
  <si>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</si>
  <si>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</si>
  <si>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</si>
  <si>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</si>
  <si>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</si>
  <si>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</si>
  <si>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</si>
  <si>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</si>
  <si>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</si>
  <si>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</si>
  <si>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</si>
  <si>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</si>
  <si>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</si>
  <si>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</si>
  <si>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</si>
  <si>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</si>
  <si>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</si>
  <si>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</si>
  <si>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</si>
  <si>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</si>
  <si>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</si>
  <si>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</si>
  <si>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</si>
  <si>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</si>
  <si>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</si>
  <si>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</si>
  <si>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</si>
  <si>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</si>
  <si>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</si>
  <si>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</si>
  <si>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</si>
  <si>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</si>
  <si>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</si>
  <si>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</si>
  <si>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</si>
  <si>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</si>
  <si>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</si>
  <si>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</si>
  <si>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</si>
  <si>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</si>
  <si>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</si>
  <si>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</si>
  <si>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</si>
  <si>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</si>
  <si>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</si>
  <si>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</si>
  <si>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</si>
  <si>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</si>
  <si>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</si>
  <si>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</si>
  <si>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</si>
  <si>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</si>
  <si>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</si>
  <si>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</si>
  <si>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</si>
  <si>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</si>
  <si>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</si>
  <si>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</si>
  <si>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</si>
  <si>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</si>
  <si>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</si>
  <si>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</si>
  <si>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</si>
  <si>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</si>
  <si>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</si>
  <si>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</si>
  <si>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</si>
  <si>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</si>
  <si>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</si>
  <si>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</si>
  <si>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</si>
  <si>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</si>
  <si>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</si>
  <si>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</si>
  <si>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</si>
  <si>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</si>
  <si>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</si>
  <si>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</si>
  <si>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</si>
  <si>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</si>
  <si>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</si>
  <si>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</si>
  <si>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</si>
  <si>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</si>
  <si>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</si>
  <si>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</si>
  <si>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</si>
  <si>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</si>
  <si>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</si>
  <si>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</si>
  <si>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</si>
  <si>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</si>
  <si>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</si>
  <si>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</si>
  <si>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</si>
  <si>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</si>
  <si>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</si>
  <si>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</si>
  <si>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</si>
  <si>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</si>
  <si>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</si>
  <si>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</si>
  <si>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</si>
  <si>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</si>
  <si>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</si>
  <si>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</si>
  <si>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</si>
  <si>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</si>
  <si>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</si>
  <si>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</si>
  <si>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</si>
  <si>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</si>
  <si>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</si>
  <si>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</si>
  <si>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</si>
  <si>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</si>
  <si>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</si>
  <si>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</si>
  <si>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</si>
  <si>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</si>
  <si>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</si>
  <si>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</si>
  <si>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</si>
  <si>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</si>
  <si>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</si>
  <si>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</si>
  <si>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</si>
  <si>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</si>
  <si>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</si>
  <si>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</si>
  <si>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</si>
  <si>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</si>
  <si>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</si>
  <si>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</si>
  <si>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</si>
  <si>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</si>
  <si>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</si>
  <si>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</si>
  <si>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</si>
  <si>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</si>
  <si>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</si>
  <si>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</si>
  <si>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</si>
  <si>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</si>
  <si>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</si>
  <si>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</si>
  <si>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</si>
  <si>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</si>
  <si>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</si>
  <si>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</si>
  <si>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</si>
  <si>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</si>
  <si>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</si>
  <si>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</si>
  <si>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</si>
  <si>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</si>
  <si>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</si>
  <si>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</si>
  <si>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</si>
  <si>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</si>
  <si>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</si>
  <si>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</si>
  <si>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</si>
  <si>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</si>
  <si>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</si>
  <si>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</si>
  <si>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</si>
  <si>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</si>
  <si>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</si>
  <si>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</si>
  <si>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</si>
  <si>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</si>
  <si>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</si>
  <si>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</si>
  <si>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</si>
  <si>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</si>
  <si>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</si>
  <si>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</si>
  <si>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</si>
  <si>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</si>
  <si>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</si>
  <si>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</si>
  <si>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</si>
  <si>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</si>
  <si>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</si>
  <si>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</si>
  <si>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</si>
  <si>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</si>
  <si>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</si>
  <si>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</si>
  <si>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</si>
  <si>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</si>
  <si>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</si>
  <si>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</si>
  <si>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</si>
  <si>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</si>
  <si>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</si>
  <si>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</si>
  <si>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</si>
  <si>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</si>
  <si>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</si>
  <si>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</si>
  <si>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</si>
  <si>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</si>
  <si>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</si>
  <si>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</si>
  <si>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</si>
  <si>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</si>
  <si>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</si>
  <si>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</si>
  <si>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</si>
  <si>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</si>
  <si>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</si>
  <si>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</si>
  <si>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</si>
  <si>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</si>
  <si>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</si>
  <si>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</si>
  <si>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</si>
  <si>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</si>
  <si>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</si>
  <si>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</si>
  <si>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</si>
  <si>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</si>
  <si>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</si>
  <si>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</si>
  <si>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</si>
  <si>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</si>
  <si>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</si>
  <si>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</si>
  <si>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</si>
  <si>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</si>
  <si>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</si>
  <si>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</si>
  <si>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</si>
  <si>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</si>
  <si>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</si>
  <si>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</si>
  <si>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</si>
  <si>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</si>
  <si>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</si>
  <si>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</si>
  <si>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</si>
  <si>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</si>
  <si>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</si>
  <si>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</si>
  <si>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</si>
  <si>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</si>
  <si>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</si>
  <si>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</si>
  <si>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</si>
  <si>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</si>
  <si>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</si>
  <si>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</si>
  <si>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</si>
  <si>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</si>
  <si>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</si>
  <si>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</si>
  <si>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</si>
  <si>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</si>
  <si>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</si>
  <si>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</si>
  <si>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</si>
  <si>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</si>
  <si>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</si>
  <si>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</si>
  <si>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</si>
  <si>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</si>
  <si>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</si>
  <si>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</si>
  <si>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</si>
  <si>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</si>
  <si>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</si>
  <si>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</si>
  <si>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</si>
  <si>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</si>
  <si>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</si>
  <si>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</si>
  <si>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</si>
  <si>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</si>
  <si>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</si>
  <si>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</si>
  <si>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</si>
  <si>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</si>
  <si>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</si>
  <si>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</si>
  <si>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</si>
  <si>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</si>
  <si>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</si>
  <si>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</si>
  <si>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</si>
  <si>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</si>
  <si>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</si>
  <si>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</si>
  <si>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</si>
  <si>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</si>
  <si>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</si>
  <si>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</si>
  <si>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</si>
  <si>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</si>
  <si>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</si>
  <si>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</si>
  <si>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</si>
  <si>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</si>
  <si>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</si>
  <si>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</si>
  <si>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</si>
  <si>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</si>
  <si>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</si>
  <si>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</si>
  <si>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</si>
  <si>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</si>
  <si>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</si>
  <si>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</si>
  <si>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</si>
  <si>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</si>
  <si>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</si>
  <si>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</si>
  <si>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</si>
  <si>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</si>
  <si>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</si>
  <si>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</si>
  <si>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</si>
  <si>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</si>
  <si>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</si>
  <si>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</si>
  <si>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</si>
  <si>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</si>
  <si>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</si>
  <si>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</si>
  <si>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</si>
  <si>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</si>
  <si>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</si>
  <si>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</si>
  <si>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</si>
  <si>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</si>
  <si>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</si>
  <si>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</si>
  <si>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</si>
  <si>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</si>
  <si>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</si>
  <si>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</si>
  <si>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</si>
  <si>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</si>
  <si>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</si>
  <si>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</si>
  <si>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</si>
  <si>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</si>
  <si>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</si>
  <si>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</si>
  <si>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</si>
  <si>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</si>
  <si>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</si>
  <si>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</si>
  <si>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</si>
  <si>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</si>
  <si>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</si>
  <si>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</si>
  <si>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</si>
  <si>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</si>
  <si>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</si>
  <si>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</si>
  <si>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</si>
  <si>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</si>
  <si>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</si>
  <si>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</si>
  <si>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</si>
  <si>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</si>
  <si>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</si>
  <si>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</si>
  <si>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</si>
  <si>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</si>
  <si>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</si>
  <si>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</si>
  <si>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</si>
  <si>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</si>
  <si>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</si>
  <si>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</si>
  <si>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</si>
  <si>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</si>
  <si>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</si>
  <si>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</si>
  <si>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</si>
  <si>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</si>
  <si>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</si>
  <si>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</si>
  <si>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</si>
  <si>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</si>
  <si>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</si>
  <si>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</si>
  <si>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</si>
  <si>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</si>
  <si>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</si>
  <si>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</si>
  <si>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</si>
  <si>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</si>
  <si>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</si>
  <si>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</si>
  <si>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</si>
  <si>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</si>
  <si>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</si>
  <si>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</si>
  <si>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</si>
  <si>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</si>
  <si>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</si>
  <si>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</si>
  <si>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</si>
  <si>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</si>
  <si>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</si>
  <si>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</si>
  <si>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</si>
  <si>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</si>
  <si>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</si>
  <si>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</si>
  <si>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</si>
  <si>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</si>
  <si>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</si>
  <si>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</si>
  <si>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</si>
  <si>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</si>
  <si>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</si>
  <si>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</si>
  <si>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</si>
  <si>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</si>
  <si>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</si>
  <si>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</si>
  <si>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</si>
  <si>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</si>
  <si>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</si>
  <si>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</si>
  <si>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</si>
  <si>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</si>
  <si>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</si>
  <si>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</si>
  <si>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</si>
  <si>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</si>
  <si>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</si>
  <si>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</si>
  <si>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</si>
  <si>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</si>
  <si>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</si>
  <si>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</si>
  <si>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</si>
  <si>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</si>
  <si>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</si>
  <si>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</si>
  <si>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</si>
  <si>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</si>
  <si>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</si>
  <si>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</si>
  <si>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</si>
  <si>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</si>
  <si>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</si>
  <si>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</si>
  <si>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</si>
  <si>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</si>
  <si>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</si>
  <si>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</si>
  <si>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</si>
  <si>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</si>
  <si>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</si>
  <si>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</si>
  <si>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</si>
  <si>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</si>
  <si>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</si>
  <si>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</si>
  <si>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</si>
  <si>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</si>
  <si>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</si>
  <si>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</si>
  <si>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</si>
  <si>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</si>
  <si>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</si>
  <si>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</si>
  <si>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</si>
  <si>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</si>
  <si>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</si>
  <si>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</si>
  <si>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</si>
  <si>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</si>
  <si>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</si>
  <si>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</si>
  <si>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</si>
  <si>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</si>
  <si>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</si>
  <si>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</si>
  <si>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</si>
  <si>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</si>
  <si>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</si>
  <si>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</si>
  <si>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</si>
  <si>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</si>
  <si>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</si>
  <si>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</si>
  <si>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</si>
  <si>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</si>
  <si>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</si>
  <si>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</si>
  <si>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</si>
  <si>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</si>
  <si>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</si>
  <si>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</si>
  <si>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</si>
  <si>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</si>
  <si>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</si>
  <si>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</si>
  <si>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</si>
  <si>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</si>
  <si>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</si>
  <si>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</si>
  <si>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</si>
  <si>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</si>
  <si>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</si>
  <si>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</si>
  <si>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</si>
  <si>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</si>
  <si>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</si>
  <si>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</si>
  <si>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</si>
  <si>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</si>
  <si>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</si>
  <si>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</si>
  <si>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</si>
  <si>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</si>
  <si>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</si>
  <si>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</si>
  <si>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</si>
  <si>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</si>
  <si>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</si>
  <si>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</si>
  <si>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</si>
  <si>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</si>
  <si>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</si>
  <si>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</si>
  <si>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</si>
  <si>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</si>
  <si>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</si>
  <si>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</si>
  <si>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</si>
  <si>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</si>
  <si>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</si>
  <si>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</si>
  <si>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</si>
  <si>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</si>
  <si>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</si>
  <si>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</si>
  <si>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</si>
  <si>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</si>
  <si>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</si>
  <si>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</si>
  <si>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</si>
  <si>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</si>
  <si>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</si>
  <si>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</si>
  <si>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</si>
  <si>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</si>
  <si>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</si>
  <si>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</si>
  <si>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</si>
  <si>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</si>
  <si>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</si>
  <si>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</si>
  <si>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</si>
  <si>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</si>
  <si>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</si>
  <si>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</si>
  <si>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</si>
  <si>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</si>
  <si>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</si>
  <si>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</si>
  <si>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</si>
  <si>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</si>
  <si>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</si>
  <si>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</si>
  <si>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</si>
  <si>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</si>
  <si>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</si>
  <si>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</si>
  <si>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</si>
  <si>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</si>
  <si>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</si>
  <si>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</si>
  <si>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</si>
  <si>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</si>
  <si>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</si>
  <si>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</si>
  <si>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</si>
  <si>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</si>
  <si>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</si>
  <si>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</si>
  <si>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</si>
  <si>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</si>
  <si>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</si>
  <si>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</si>
  <si>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HOTEL EL LAGO LTDA</t>
  </si>
  <si>
    <t>1002538727</t>
  </si>
  <si>
    <t>LAURA STEFANIA PATARROYO FONSECA</t>
  </si>
  <si>
    <t>laurapatarroyo2003@gmail.com</t>
  </si>
  <si>
    <t/>
  </si>
  <si>
    <t>VEREDA LA ESPERANZA</t>
  </si>
  <si>
    <t>1052836459</t>
  </si>
  <si>
    <t>DIEGO FERNANDO ROJAS FONSECA</t>
  </si>
  <si>
    <t>poshacienda93@gmail.com</t>
  </si>
  <si>
    <t>3042763017</t>
  </si>
  <si>
    <t>VRDA LA ESPERANZA</t>
  </si>
  <si>
    <t>1053608865</t>
  </si>
  <si>
    <t>DAVID ALBERTO GARCIA FERREIRA</t>
  </si>
  <si>
    <t>dayvid1227@hotmial.com</t>
  </si>
  <si>
    <t>3102867472</t>
  </si>
  <si>
    <t>CL 28  12B 24</t>
  </si>
  <si>
    <t>1053609538</t>
  </si>
  <si>
    <t>MANUEL DAVID PINTO ARERO</t>
  </si>
  <si>
    <t>manolo237@hotmail.com</t>
  </si>
  <si>
    <t>3123255331</t>
  </si>
  <si>
    <t>DIAG.22 No.22-103</t>
  </si>
  <si>
    <t>1053615047</t>
  </si>
  <si>
    <t>ANDRES FELIPE RODRÍGUEZ PARADA</t>
  </si>
  <si>
    <t>andres.rodriguez@gmail.com</t>
  </si>
  <si>
    <t>3132823409</t>
  </si>
  <si>
    <t>CR 27  19A 26</t>
  </si>
  <si>
    <t>1121816157</t>
  </si>
  <si>
    <t>DIANA FABIOLA PACHECO CAMACHO</t>
  </si>
  <si>
    <t>diafa1604@gmail.com</t>
  </si>
  <si>
    <t>3227303516</t>
  </si>
  <si>
    <t>CALLE 25  24 A 53</t>
  </si>
  <si>
    <t>23552349</t>
  </si>
  <si>
    <t>GLORIA ESPERANZA PEÑA SANCHEZ</t>
  </si>
  <si>
    <t>contabilidadlago110@gmail.com</t>
  </si>
  <si>
    <t>3103684540</t>
  </si>
  <si>
    <t>CRA 23 N 24 17</t>
  </si>
  <si>
    <t>23857703</t>
  </si>
  <si>
    <t>MARIA CRISTINA ROJAS BARRERA</t>
  </si>
  <si>
    <t>crismoda@gmail.com</t>
  </si>
  <si>
    <t>7850380</t>
  </si>
  <si>
    <t>CR 19 25 49</t>
  </si>
  <si>
    <t>46666504</t>
  </si>
  <si>
    <t>AFRA NANCY SANDOVAL PINZON</t>
  </si>
  <si>
    <t>afranancy@hotmail.com</t>
  </si>
  <si>
    <t>3213192235</t>
  </si>
  <si>
    <t>CL 26 13 39</t>
  </si>
  <si>
    <t>46669199</t>
  </si>
  <si>
    <t>OLGA VICTORIA LOZANO RAMIREZ</t>
  </si>
  <si>
    <t>victoriaturismopaipa@gmail.com</t>
  </si>
  <si>
    <t>CLL 25 10 43</t>
  </si>
  <si>
    <t>46682882</t>
  </si>
  <si>
    <t>FLOR ADORFENI PATARROYO ROSAS</t>
  </si>
  <si>
    <t>flor1728@hotmail.com</t>
  </si>
  <si>
    <t>3112440759</t>
  </si>
  <si>
    <t>CR 26 27 11</t>
  </si>
  <si>
    <t>7210795</t>
  </si>
  <si>
    <t>JUAN AGUSTIN GUEVARA CAMARGO</t>
  </si>
  <si>
    <t>aguasantalibrada@gmail.com</t>
  </si>
  <si>
    <t>CLL 23 19 20</t>
  </si>
  <si>
    <t>74130526</t>
  </si>
  <si>
    <t>JHON JAIRO VARGAS ESPINOSA</t>
  </si>
  <si>
    <t>jojavaes2005@hotmail.com</t>
  </si>
  <si>
    <t>3105542265</t>
  </si>
  <si>
    <t>CR 22 30 88 BR LOS LIBERTADORES</t>
  </si>
  <si>
    <t>74130861</t>
  </si>
  <si>
    <t>ETDWAR PALACIOS</t>
  </si>
  <si>
    <t>NA</t>
  </si>
  <si>
    <t>AV LIBERTADORES 22 04</t>
  </si>
  <si>
    <t>74358835</t>
  </si>
  <si>
    <t>MILTON MORA MATEUS</t>
  </si>
  <si>
    <t>m_m_mora@yahoo.com</t>
  </si>
  <si>
    <t>3108521792</t>
  </si>
  <si>
    <t>CALLE 25 21 18 OF 301</t>
  </si>
  <si>
    <t>74359628</t>
  </si>
  <si>
    <t>OSCAR RAIMUNDO LOZANO RAMIREZ</t>
  </si>
  <si>
    <t>lozanoconta@hotmail.com</t>
  </si>
  <si>
    <t>VEREDA EL MIRABAL</t>
  </si>
  <si>
    <t>74392288</t>
  </si>
  <si>
    <t>EULISES PLAZAS GOMEZ</t>
  </si>
  <si>
    <t>hotelellago@hotmail.es</t>
  </si>
  <si>
    <t>3125187874</t>
  </si>
  <si>
    <t>VDA LA ESPERANZA</t>
  </si>
  <si>
    <t>79132118</t>
  </si>
  <si>
    <t>HENRY ALFONSO GARCIA</t>
  </si>
  <si>
    <t>launiondelsur@hotmail.com</t>
  </si>
  <si>
    <t>7851454</t>
  </si>
  <si>
    <t>AV.LIBERTADORES 22-23</t>
  </si>
  <si>
    <t>80414998</t>
  </si>
  <si>
    <t>DANILO ALONSO MONROY</t>
  </si>
  <si>
    <t>daniloalonso748@gmail.com</t>
  </si>
  <si>
    <t>CLL 27 17a 70 LOCAL 1</t>
  </si>
  <si>
    <t>9517142</t>
  </si>
  <si>
    <t>ABRAHAM MERCHAN CORREDOR</t>
  </si>
  <si>
    <t>hotellibertadores@yahoo.com</t>
  </si>
  <si>
    <t>km 1 via piscinas</t>
  </si>
  <si>
    <t>1002332098</t>
  </si>
  <si>
    <t>DAVID SANTIAGO AVELLA DIAZ</t>
  </si>
  <si>
    <t>jogusavella@gmail.com</t>
  </si>
  <si>
    <t>3158651153</t>
  </si>
  <si>
    <t>CL 23A 17 38</t>
  </si>
  <si>
    <t>1024532536</t>
  </si>
  <si>
    <t>ALEJANDRO PEREZ SALAMANCA</t>
  </si>
  <si>
    <t>alpezalaperez1992@gmail.com</t>
  </si>
  <si>
    <t>3185335369</t>
  </si>
  <si>
    <t>CL 28 14 09 BRR EL BOSQUE</t>
  </si>
  <si>
    <t>1052380480</t>
  </si>
  <si>
    <t>OSCAR IGNACIO MARROQUIN SALCEDO</t>
  </si>
  <si>
    <t>pjmanly0204@gmail.com</t>
  </si>
  <si>
    <t>3118313554</t>
  </si>
  <si>
    <t>CR 19 N O 26 38</t>
  </si>
  <si>
    <t>1052387297</t>
  </si>
  <si>
    <t>NELSON RICARDO NIÑO ZARTHA</t>
  </si>
  <si>
    <t>7853238</t>
  </si>
  <si>
    <t>CL 26 21 62</t>
  </si>
  <si>
    <t>1052388252</t>
  </si>
  <si>
    <t>JORGE LEONARDO GALINDO PUERTO</t>
  </si>
  <si>
    <t>cortocircuito130@gmail.com</t>
  </si>
  <si>
    <t>3142435764</t>
  </si>
  <si>
    <t>CR 19 23 43</t>
  </si>
  <si>
    <t>1053604973</t>
  </si>
  <si>
    <t>YENNY XIMENA ZAMBRANO PEREZ</t>
  </si>
  <si>
    <t>ximena8654@gmal.com</t>
  </si>
  <si>
    <t>3164217859</t>
  </si>
  <si>
    <t>MANZANA 14 No 8</t>
  </si>
  <si>
    <t>1053606084</t>
  </si>
  <si>
    <t>JUAN CARLOS MORANTES BOLIVAR</t>
  </si>
  <si>
    <t>juan.k.a456@hotmail.com</t>
  </si>
  <si>
    <t>3112824471</t>
  </si>
  <si>
    <t>AV LIBERTADORES 25 36</t>
  </si>
  <si>
    <t>1053606869</t>
  </si>
  <si>
    <t>EBER AGUSTIN BAUTISTA RAMIREZ</t>
  </si>
  <si>
    <t>eberbautista@gmail.com</t>
  </si>
  <si>
    <t>3115804994</t>
  </si>
  <si>
    <t>CL 25  22 40</t>
  </si>
  <si>
    <t>1053608187</t>
  </si>
  <si>
    <t>ELDA KATHERINE AVENDAÑO GRANADOS</t>
  </si>
  <si>
    <t>kathe260410@hotmail.com</t>
  </si>
  <si>
    <t>3138327832</t>
  </si>
  <si>
    <t>VDA CRUZ DE BONZA</t>
  </si>
  <si>
    <t>1053616526</t>
  </si>
  <si>
    <t>DANIA PATRICIA NIÑO CASTRO</t>
  </si>
  <si>
    <t>castrodania122@gmail.com</t>
  </si>
  <si>
    <t>3136058758</t>
  </si>
  <si>
    <t>CL 23 19 40 L 1</t>
  </si>
  <si>
    <t>1053616911</t>
  </si>
  <si>
    <t>SNEIDER MONTAÑA MORA</t>
  </si>
  <si>
    <t>stihlintegralcompany@gmail.com</t>
  </si>
  <si>
    <t>3104595077</t>
  </si>
  <si>
    <t>CR 23A 22 35</t>
  </si>
  <si>
    <t>23856303</t>
  </si>
  <si>
    <t>NELLY AVENDAÑO AVELLA</t>
  </si>
  <si>
    <t>7853364</t>
  </si>
  <si>
    <t>CR 22  25  44</t>
  </si>
  <si>
    <t>23856562</t>
  </si>
  <si>
    <t>MYRIAM LUZ SOLANO LOPEZ</t>
  </si>
  <si>
    <t>miluzdensuenos@gmail.com</t>
  </si>
  <si>
    <t>7850051</t>
  </si>
  <si>
    <t>CR 22  25 36</t>
  </si>
  <si>
    <t>23857273</t>
  </si>
  <si>
    <t>FLOR DE MARIA OJEDA FONSECA</t>
  </si>
  <si>
    <t>florojeda@yahoo.com</t>
  </si>
  <si>
    <t>7851219</t>
  </si>
  <si>
    <t>CR 23B 29  10</t>
  </si>
  <si>
    <t>23913485</t>
  </si>
  <si>
    <t>MERLEI GALLO PEREZ</t>
  </si>
  <si>
    <t>merlei423@outlook.com</t>
  </si>
  <si>
    <t>3125213001</t>
  </si>
  <si>
    <t>CR  19   25   55</t>
  </si>
  <si>
    <t>24176552</t>
  </si>
  <si>
    <t>JOICE ALVARADO</t>
  </si>
  <si>
    <t>joyceventas@hotmail.com</t>
  </si>
  <si>
    <t>7850770</t>
  </si>
  <si>
    <t>km 3  camino historico</t>
  </si>
  <si>
    <t>40008485</t>
  </si>
  <si>
    <t>ROSALBA DEL CARMEN PRECIADO CHAPARRO</t>
  </si>
  <si>
    <t>jogusavella@hotmail.com</t>
  </si>
  <si>
    <t>3205664461</t>
  </si>
  <si>
    <t>CL 26 23 13</t>
  </si>
  <si>
    <t>40040871</t>
  </si>
  <si>
    <t>NAYIVE IRLANDA NIÑO AGUILLON</t>
  </si>
  <si>
    <t>consultoriolaboral2020@gmail.com</t>
  </si>
  <si>
    <t>3114628068</t>
  </si>
  <si>
    <t>CL  25   22   40</t>
  </si>
  <si>
    <t>4046991</t>
  </si>
  <si>
    <t>HECTOR ARMANDO AYALA SUESCA</t>
  </si>
  <si>
    <t>hectorayala@gmail.com</t>
  </si>
  <si>
    <t>3142441817</t>
  </si>
  <si>
    <t>CL 26  22  11</t>
  </si>
  <si>
    <t>4191297</t>
  </si>
  <si>
    <t>JOSE OSVALDO RIVERA TUTA</t>
  </si>
  <si>
    <t>com.elrey@yahoo.es</t>
  </si>
  <si>
    <t>7853796</t>
  </si>
  <si>
    <t>AV LIBERTADORES 31A 70  72</t>
  </si>
  <si>
    <t>4192435</t>
  </si>
  <si>
    <t>WILLIAM FERNEY FONSECA NIÑO</t>
  </si>
  <si>
    <t>avicola.sanfrancisco2002@gmail.com</t>
  </si>
  <si>
    <t>3102016594</t>
  </si>
  <si>
    <t>CL 21 A 28 27 AP 302</t>
  </si>
  <si>
    <t>4207899</t>
  </si>
  <si>
    <t>ESTEBAN PACHON ROJAS</t>
  </si>
  <si>
    <t>grafisand@gmail.com</t>
  </si>
  <si>
    <t>7853545</t>
  </si>
  <si>
    <t>CR 22 27 15</t>
  </si>
  <si>
    <t>46450687</t>
  </si>
  <si>
    <t>EDNA MARGARITA CEPEDA RINCON</t>
  </si>
  <si>
    <t>facturastarcolors@gmail.com</t>
  </si>
  <si>
    <t>3138549153</t>
  </si>
  <si>
    <t>CR 19 27 33</t>
  </si>
  <si>
    <t>46450731</t>
  </si>
  <si>
    <t>LIDA PATRICIA TORRES SAAVEDRA</t>
  </si>
  <si>
    <t>paipanprimerodemayo@gmail.com</t>
  </si>
  <si>
    <t>3124634937</t>
  </si>
  <si>
    <t>CL 25 17 02</t>
  </si>
  <si>
    <t>46682130</t>
  </si>
  <si>
    <t>MARITZA RODRIGUEZ RODRIGUEZ</t>
  </si>
  <si>
    <t>maritzarodriguezrodriguez@gmail.com</t>
  </si>
  <si>
    <t>3115755883</t>
  </si>
  <si>
    <t>CL 26 19 32</t>
  </si>
  <si>
    <t>52773362</t>
  </si>
  <si>
    <t>EDY MILENA PICO VILLAMIZAR</t>
  </si>
  <si>
    <t>dymsinsumos@gmail.com</t>
  </si>
  <si>
    <t>CR 24 20A 41</t>
  </si>
  <si>
    <t>7011601</t>
  </si>
  <si>
    <t>OSCAR ALBERTO GUZMAN GOMEZ</t>
  </si>
  <si>
    <t>oscaralbertoguzmangomez@gmail.com</t>
  </si>
  <si>
    <t>3103054436</t>
  </si>
  <si>
    <t>AV LIBERTADORES 19B 19</t>
  </si>
  <si>
    <t>74130458</t>
  </si>
  <si>
    <t>ADRIANO YESID SALOMON RUIZ</t>
  </si>
  <si>
    <t>adrianoprimero@gmail.com</t>
  </si>
  <si>
    <t>3203178300</t>
  </si>
  <si>
    <t>CLL 26 C 16 45</t>
  </si>
  <si>
    <t>74130977</t>
  </si>
  <si>
    <t>ERNESTO FONSECA VASQUEZ</t>
  </si>
  <si>
    <t>poselectronicohacienda@gmail.com</t>
  </si>
  <si>
    <t>7852087</t>
  </si>
  <si>
    <t>BARRIO CORINTO</t>
  </si>
  <si>
    <t>74322014</t>
  </si>
  <si>
    <t>LUIS ALVARO LAROTTA VASQUEZ</t>
  </si>
  <si>
    <t>larottalvaro@hotmail.com</t>
  </si>
  <si>
    <t>3112336029</t>
  </si>
  <si>
    <t>CL  24  18  ESQ  BRR LAS QUINTAS</t>
  </si>
  <si>
    <t>74323891</t>
  </si>
  <si>
    <t>HUGO MORALES SANA</t>
  </si>
  <si>
    <t>3118937612</t>
  </si>
  <si>
    <t>CR 22 26 26</t>
  </si>
  <si>
    <t>74324186</t>
  </si>
  <si>
    <t>WILSON RICARDO MORA MATEUS</t>
  </si>
  <si>
    <t>wilsonmora13@gmail.com</t>
  </si>
  <si>
    <t>3134238887</t>
  </si>
  <si>
    <t>CL 23 20 58</t>
  </si>
  <si>
    <t>74359922</t>
  </si>
  <si>
    <t>ALEXANDER MALAGON TENZA</t>
  </si>
  <si>
    <t>almusc@hotmail.com</t>
  </si>
  <si>
    <t>7851409</t>
  </si>
  <si>
    <t>CR 18A  20   16</t>
  </si>
  <si>
    <t>74360587</t>
  </si>
  <si>
    <t>OCTAVIO RAMIREZ SALAMANCA</t>
  </si>
  <si>
    <t>poshacienda93@gmial.com</t>
  </si>
  <si>
    <t>3114859921</t>
  </si>
  <si>
    <t>CRA 23 22 02</t>
  </si>
  <si>
    <t>79058247</t>
  </si>
  <si>
    <t>LUIS ANTONIO CARDENAS RAVELO</t>
  </si>
  <si>
    <t>laferiadelcalzadofactelec@gmail.com</t>
  </si>
  <si>
    <t>320899010</t>
  </si>
  <si>
    <t>CLL 25  21  20  P1</t>
  </si>
  <si>
    <t>79533136</t>
  </si>
  <si>
    <t>WILLIAM EDILBERTO HERNANDEZ CORDERO</t>
  </si>
  <si>
    <t>7851416</t>
  </si>
  <si>
    <t>CRA 21 N 20A 45</t>
  </si>
  <si>
    <t>80021503</t>
  </si>
  <si>
    <t>DIEGO CAMARGO VARELA</t>
  </si>
  <si>
    <t>facturaciontmaralia@gmail.com</t>
  </si>
  <si>
    <t>3103171815</t>
  </si>
  <si>
    <t>VDA LLANO GRANDE CA MARALIA</t>
  </si>
  <si>
    <t>901683253</t>
  </si>
  <si>
    <t>AGROPECUARIA DEL BOSQUE SAS</t>
  </si>
  <si>
    <t>agropecuariaelbosquesas@gmail.com</t>
  </si>
  <si>
    <t>3102894626</t>
  </si>
  <si>
    <t>CLL 24 24 07</t>
  </si>
  <si>
    <t>900070443</t>
  </si>
  <si>
    <t>ALMOJABANAS LA Y S.A.S</t>
  </si>
  <si>
    <t>sadazoca@hotmail.com</t>
  </si>
  <si>
    <t>7851524</t>
  </si>
  <si>
    <t>AV.LIBERTADORES 33  49</t>
  </si>
  <si>
    <t>900813668</t>
  </si>
  <si>
    <t>AMERICANA DE TECNOLOGIA Y COMUNICACIONES SAS "AMTEC"</t>
  </si>
  <si>
    <t>facturacion.amtec@gmail.com</t>
  </si>
  <si>
    <t>3107728229</t>
  </si>
  <si>
    <t>CRA 21 22  86</t>
  </si>
  <si>
    <t>901145013</t>
  </si>
  <si>
    <t>ANGLO INV S.A.S</t>
  </si>
  <si>
    <t>angloinvsas@gmail.com</t>
  </si>
  <si>
    <t>7850983</t>
  </si>
  <si>
    <t>CL 25 22  71</t>
  </si>
  <si>
    <t>901465361</t>
  </si>
  <si>
    <t>ARAMAR SUPERMERCADO S.A.S</t>
  </si>
  <si>
    <t>aramar.paipa@gmail.com</t>
  </si>
  <si>
    <t>7851783</t>
  </si>
  <si>
    <t xml:space="preserve"> CR 23  22   51</t>
  </si>
  <si>
    <t>900297127</t>
  </si>
  <si>
    <t>COMERCIALIZADORA BOYACENSE VERDE S.A.S</t>
  </si>
  <si>
    <t>comercializadoraboyacense@gmail.com</t>
  </si>
  <si>
    <t>7850739</t>
  </si>
  <si>
    <t>CRA 19 N 26 53</t>
  </si>
  <si>
    <t>901573440</t>
  </si>
  <si>
    <t>COMPUREDES BOYACA SAS</t>
  </si>
  <si>
    <t>proyectos@compuredesboyaca.com</t>
  </si>
  <si>
    <t>3164501924</t>
  </si>
  <si>
    <t>CL  24  17 A   12</t>
  </si>
  <si>
    <t>CUANTIAS MENORES</t>
  </si>
  <si>
    <t>acontabilidadlago@gmail.com</t>
  </si>
  <si>
    <t>CALLE 25 10 43</t>
  </si>
  <si>
    <t>826001605</t>
  </si>
  <si>
    <t>CUERPO DE BOMBEROS VOLUNTARIOS DE PAIPA</t>
  </si>
  <si>
    <t>3125138746</t>
  </si>
  <si>
    <t>OFC PLAZA DE MERCADO LC 2</t>
  </si>
  <si>
    <t>901395372</t>
  </si>
  <si>
    <t>DISTRIBUIDORA EL CARMEN BADIZ SOCIEDAD POR ACCIONES SIMPLIFICADA</t>
  </si>
  <si>
    <t>distribuidorabadiz@gmail.com</t>
  </si>
  <si>
    <t>3204128873</t>
  </si>
  <si>
    <t>CL 25 19 75</t>
  </si>
  <si>
    <t>901138291</t>
  </si>
  <si>
    <t>EDS ESTACION LA TURISTICA DE PAIPA S.A.S</t>
  </si>
  <si>
    <t>turistica@outlook.com</t>
  </si>
  <si>
    <t>7850137</t>
  </si>
  <si>
    <t>CR 19 26 45</t>
  </si>
  <si>
    <t>900040852</t>
  </si>
  <si>
    <t>FANINE &amp; RPA LIMITADA</t>
  </si>
  <si>
    <t>hotelfaninepaipa@hotmail.com</t>
  </si>
  <si>
    <t>CLL 25  5  18</t>
  </si>
  <si>
    <t>8000060737</t>
  </si>
  <si>
    <t>HOTEL HACIENDA EL SALITRE</t>
  </si>
  <si>
    <t>KM3 VIA PAIPA-TOCA</t>
  </si>
  <si>
    <t>826000214</t>
  </si>
  <si>
    <t>INSTITUTO TERMAL DE PAIPA</t>
  </si>
  <si>
    <t>itp@paipa-boyaca.gov.co</t>
  </si>
  <si>
    <t>7850068</t>
  </si>
  <si>
    <t>KM 3 VIA PANTANO DE VARGAS</t>
  </si>
  <si>
    <t>901557304</t>
  </si>
  <si>
    <t>INVERSIONES LACTEOS BELEN SOCIEDAD POE ACCIONES SIMPLIFICADAS</t>
  </si>
  <si>
    <t>lacteosbelen@hotmail.es</t>
  </si>
  <si>
    <t>3112228601</t>
  </si>
  <si>
    <t>CRA 6 8 110</t>
  </si>
  <si>
    <t>74359261</t>
  </si>
  <si>
    <t>JAIME ALBERTO ZAMBRANO PATARROYO</t>
  </si>
  <si>
    <t>gasltiplano201@yahoo.es</t>
  </si>
  <si>
    <t>3202201726</t>
  </si>
  <si>
    <t>CL 23 17A 71</t>
  </si>
  <si>
    <t>901540964</t>
  </si>
  <si>
    <t>LACTEOS NAZARETH SAS</t>
  </si>
  <si>
    <t>lacteosnazareth@gmail.com</t>
  </si>
  <si>
    <t>3144457142</t>
  </si>
  <si>
    <t>CL 9 5 33</t>
  </si>
  <si>
    <t>900987911</t>
  </si>
  <si>
    <t>SABAJON CIPRES SOCIEDAD POR ACCIONES SIMPLIFICADA</t>
  </si>
  <si>
    <t>facturacioncipres@yahoo.com</t>
  </si>
  <si>
    <t>3133867736</t>
  </si>
  <si>
    <t>CR 19 19 07</t>
  </si>
  <si>
    <t>900031780</t>
  </si>
  <si>
    <t>SM ASOCIADOS S A</t>
  </si>
  <si>
    <t>symfacturacion@hotmail.com</t>
  </si>
  <si>
    <t>7850541</t>
  </si>
  <si>
    <t>AV LIBERTADORES  22 71</t>
  </si>
  <si>
    <t>901553229</t>
  </si>
  <si>
    <t>SURTIELECTRICOS RV S.A.S</t>
  </si>
  <si>
    <t>surtielectricosrvss.a.s@gmail.com</t>
  </si>
  <si>
    <t>3115071069</t>
  </si>
  <si>
    <t>CL  22   26  22</t>
  </si>
  <si>
    <t>901714513</t>
  </si>
  <si>
    <t>UNION TURISTICA COMPOSTELA S.A.S</t>
  </si>
  <si>
    <t>unionturisticacompostelasas@gmail.com</t>
  </si>
  <si>
    <t>CL 24  24  07  OF  403 ED CENTRAL  PARK</t>
  </si>
  <si>
    <t>811017013</t>
  </si>
  <si>
    <t>DISTRIBUCIONES E INVERSIONES ESPECIALES S.A.S "DINVALES S.A.S"</t>
  </si>
  <si>
    <t>administrativo@dinvales.co</t>
  </si>
  <si>
    <t>4440485</t>
  </si>
  <si>
    <t>CR 45 28 46 P 4</t>
  </si>
  <si>
    <t>811006789</t>
  </si>
  <si>
    <t>JUAN DE HOYOS DISTRIBUCIONES S.A.S</t>
  </si>
  <si>
    <t>cartera@jdh.com.co</t>
  </si>
  <si>
    <t>4448018</t>
  </si>
  <si>
    <t>CR 42  54A 155 INT C 501</t>
  </si>
  <si>
    <t>19135724</t>
  </si>
  <si>
    <t>VICENTE PARDO GARCIA</t>
  </si>
  <si>
    <t>vicentepardogarcia@hotmail.com</t>
  </si>
  <si>
    <t>4785970</t>
  </si>
  <si>
    <t>CLL 22F N 83 47</t>
  </si>
  <si>
    <t>11254072</t>
  </si>
  <si>
    <t>HENRY BALLESTEROS PARRA</t>
  </si>
  <si>
    <t>asesor.henry2009@hotmail.com</t>
  </si>
  <si>
    <t>3208410238</t>
  </si>
  <si>
    <t>AC 13 24 37   OF  307</t>
  </si>
  <si>
    <t>17140940</t>
  </si>
  <si>
    <t>HELIODORO GONZALEZ BERNAL</t>
  </si>
  <si>
    <t>3227296395</t>
  </si>
  <si>
    <t>CL 17 12 87</t>
  </si>
  <si>
    <t>23582946</t>
  </si>
  <si>
    <t>YAQUELINE ZIPA TORRES</t>
  </si>
  <si>
    <t>BOGOTA</t>
  </si>
  <si>
    <t>46359348</t>
  </si>
  <si>
    <t>ELVA INES ALBA PALACIOS</t>
  </si>
  <si>
    <t>thermaspa@hotmail.com</t>
  </si>
  <si>
    <t>6114093</t>
  </si>
  <si>
    <t>CR 13 A 93 24 OF.405</t>
  </si>
  <si>
    <t>74281464</t>
  </si>
  <si>
    <t>JOSE MAURICIO SANCHEZ</t>
  </si>
  <si>
    <t>mao.s.f@hotmail.com</t>
  </si>
  <si>
    <t>74649156</t>
  </si>
  <si>
    <t>CR 69 G 69 25</t>
  </si>
  <si>
    <t>800186960</t>
  </si>
  <si>
    <t>ALTIPAL S.A.S</t>
  </si>
  <si>
    <t>facturacionaltipal@gmail.com</t>
  </si>
  <si>
    <t>2948383</t>
  </si>
  <si>
    <t>CR 69B 19A 47</t>
  </si>
  <si>
    <t>860517718</t>
  </si>
  <si>
    <t>ANDINA  POP  S.A.S</t>
  </si>
  <si>
    <t>contacto@andinapop.com</t>
  </si>
  <si>
    <t>8759295</t>
  </si>
  <si>
    <t>AUT MEDELLIN KM 1 5.9 EN FESTO PQ.INDUSTRIAL</t>
  </si>
  <si>
    <t>900025362</t>
  </si>
  <si>
    <t>AYTEX DOTACION LTDA</t>
  </si>
  <si>
    <t>contabilidadaytex@gmail.com</t>
  </si>
  <si>
    <t>2861076</t>
  </si>
  <si>
    <t>CRA 13 17 44</t>
  </si>
  <si>
    <t>830109536</t>
  </si>
  <si>
    <t>BOTON PROMO S.A.S</t>
  </si>
  <si>
    <t>info@esferos.com</t>
  </si>
  <si>
    <t>3333112</t>
  </si>
  <si>
    <t>CL  3 A   18  27  EDUARDO SANTOS</t>
  </si>
  <si>
    <t>830114029</t>
  </si>
  <si>
    <t>C.I. FIRE &amp; MARKETING SAS</t>
  </si>
  <si>
    <t>contabilidad@fire-marketing.com</t>
  </si>
  <si>
    <t>2017679</t>
  </si>
  <si>
    <t>CRA 34 9 22</t>
  </si>
  <si>
    <t>901154859</t>
  </si>
  <si>
    <t>CITRUS FRUVER SAS</t>
  </si>
  <si>
    <t>3102415192</t>
  </si>
  <si>
    <t>CL 2B 69 C 36</t>
  </si>
  <si>
    <t>800233452</t>
  </si>
  <si>
    <t>CODEMFAR SAS</t>
  </si>
  <si>
    <t>gerencia@skhcolombia.com</t>
  </si>
  <si>
    <t>6241502</t>
  </si>
  <si>
    <t>CR 63 98 B 06</t>
  </si>
  <si>
    <t>860041265</t>
  </si>
  <si>
    <t>COLCHONES EL DORADO S.A</t>
  </si>
  <si>
    <t>mgomez@colchoneseldorado.com</t>
  </si>
  <si>
    <t>4114211</t>
  </si>
  <si>
    <t>AV CL 17 80A 70</t>
  </si>
  <si>
    <t>830063800</t>
  </si>
  <si>
    <t>COVAL COMERCIAL SA</t>
  </si>
  <si>
    <t>8759100</t>
  </si>
  <si>
    <t>AUT NORTE 138 47</t>
  </si>
  <si>
    <t>890309454</t>
  </si>
  <si>
    <t>DIEGO Y COMPAÑÍA SAS</t>
  </si>
  <si>
    <t>ventas@vinosdelavilla.com</t>
  </si>
  <si>
    <t>3219085857</t>
  </si>
  <si>
    <t>CL 79 A 7A 40</t>
  </si>
  <si>
    <t>805006014</t>
  </si>
  <si>
    <t>DIRECTV COLOMBIA LTDA</t>
  </si>
  <si>
    <t>5185656</t>
  </si>
  <si>
    <t>AUTOPISTA NORTE  103  60</t>
  </si>
  <si>
    <t>860028580</t>
  </si>
  <si>
    <t>DISPAPELES S.A.S</t>
  </si>
  <si>
    <t>facturaciondispapeles@gmail.com</t>
  </si>
  <si>
    <t>6439000</t>
  </si>
  <si>
    <t>CLL 103 69 15</t>
  </si>
  <si>
    <t>901033538</t>
  </si>
  <si>
    <t>DON BRICO SAS</t>
  </si>
  <si>
    <t>donbrico.lin@gmail.com</t>
  </si>
  <si>
    <t>7559209</t>
  </si>
  <si>
    <t>CL 17 25 42</t>
  </si>
  <si>
    <t>830008686</t>
  </si>
  <si>
    <t>EQUIDAD SEGUROS DE VIDA O.C</t>
  </si>
  <si>
    <t>7440042</t>
  </si>
  <si>
    <t>CALLE 19 NO 6-68 - PISO 11</t>
  </si>
  <si>
    <t>901616104</t>
  </si>
  <si>
    <t>ESTETIK SOLUTION SAS</t>
  </si>
  <si>
    <t>estetiksolution26@gmail.com</t>
  </si>
  <si>
    <t>3108786422</t>
  </si>
  <si>
    <t>CL 8  BIS   78 C  79</t>
  </si>
  <si>
    <t>830045472</t>
  </si>
  <si>
    <t>GAS NATURAL CUNDIBOYACENSE S.A E.S.P</t>
  </si>
  <si>
    <t>018000942794</t>
  </si>
  <si>
    <t>CLL 71A N 5 38</t>
  </si>
  <si>
    <t>900528586</t>
  </si>
  <si>
    <t>GLOBAL FLOORING DE COLOMBIA SAS</t>
  </si>
  <si>
    <t>carterapapelesypisos@hotmail.com</t>
  </si>
  <si>
    <t>031 2585420</t>
  </si>
  <si>
    <t>CL 144 46 13</t>
  </si>
  <si>
    <t>830093773</t>
  </si>
  <si>
    <t>GRUPO COMERCIAL SAGAL S.A.S</t>
  </si>
  <si>
    <t>contador@sagal.com.co</t>
  </si>
  <si>
    <t>6256237</t>
  </si>
  <si>
    <t>CLL 138 55 87 LC 147</t>
  </si>
  <si>
    <t>900726262</t>
  </si>
  <si>
    <t>HL TECNOLOGIA S.A.S</t>
  </si>
  <si>
    <t>comercial@hltecnologia.com.co</t>
  </si>
  <si>
    <t>5305090</t>
  </si>
  <si>
    <t>CR 15 78 33 L 1 186</t>
  </si>
  <si>
    <t>800242106</t>
  </si>
  <si>
    <t>HOMECENTER- SODIMAC COLOMBIA SA</t>
  </si>
  <si>
    <t>AUTOPISTA NORTE 175 -50</t>
  </si>
  <si>
    <t>901676014</t>
  </si>
  <si>
    <t>IMPERIO ELECTRICO JR SAS</t>
  </si>
  <si>
    <t>6012845060</t>
  </si>
  <si>
    <t>CRA 9 19 65</t>
  </si>
  <si>
    <t>890903858</t>
  </si>
  <si>
    <t>INDUSTRIA NACIONAL DE GASEOSAS S A</t>
  </si>
  <si>
    <t>CRA 96 NO 24C 94</t>
  </si>
  <si>
    <t>800128359</t>
  </si>
  <si>
    <t>INDUSTRIAS QUIMICAS SAINT GERMAIN S.A.S.</t>
  </si>
  <si>
    <t>info@saintgermainltd.com</t>
  </si>
  <si>
    <t>3144800398</t>
  </si>
  <si>
    <t>CR 19 55 22 SUR</t>
  </si>
  <si>
    <t>900989603</t>
  </si>
  <si>
    <t>INVERSIONES LUJER SAS</t>
  </si>
  <si>
    <t>inversioneslujer16@gmail.com</t>
  </si>
  <si>
    <t>3102326714</t>
  </si>
  <si>
    <t>CR 72 BIS 81 A 05 AP 302</t>
  </si>
  <si>
    <t>830050957</t>
  </si>
  <si>
    <t>INVERSIONES REYES REYES SAS</t>
  </si>
  <si>
    <t>contabilidad@inversionesreyes.com</t>
  </si>
  <si>
    <t>2010500</t>
  </si>
  <si>
    <t>CL 17 27 21</t>
  </si>
  <si>
    <t>860513883</t>
  </si>
  <si>
    <t>JOSERRAGO SAS</t>
  </si>
  <si>
    <t>ventas@joserrago.com.co</t>
  </si>
  <si>
    <t>2436035</t>
  </si>
  <si>
    <t>CRA 14 N 17 40</t>
  </si>
  <si>
    <t>900059238</t>
  </si>
  <si>
    <t>MAKRO SUPERMAYORISTAS S.A</t>
  </si>
  <si>
    <t>6781616</t>
  </si>
  <si>
    <t>CLL 192 N 19 12</t>
  </si>
  <si>
    <t>830068416</t>
  </si>
  <si>
    <t>MANUFACTURAS ALMOFIC SAS</t>
  </si>
  <si>
    <t>gerenciag@almofic.com</t>
  </si>
  <si>
    <t>2407016</t>
  </si>
  <si>
    <t>CR  69  P  72 A  18</t>
  </si>
  <si>
    <t>901668793</t>
  </si>
  <si>
    <t>MUNDIAL DE CAMARAS SAS</t>
  </si>
  <si>
    <t>mundialdecamarassas@gmail.com</t>
  </si>
  <si>
    <t>3041243224</t>
  </si>
  <si>
    <t>CRA 10 21 35</t>
  </si>
  <si>
    <t>811023713</t>
  </si>
  <si>
    <t>NOBLES VINOS &amp; LICORES  NOVILI S.A</t>
  </si>
  <si>
    <t>cartera@novili.com.co</t>
  </si>
  <si>
    <t>7447042</t>
  </si>
  <si>
    <t>CLL 83A 23 59</t>
  </si>
  <si>
    <t>901725501</t>
  </si>
  <si>
    <t>OVANTE DISTRIBUCIONES ORIENTE SAS</t>
  </si>
  <si>
    <t>friosrj@yahoo.com</t>
  </si>
  <si>
    <t>3153364459</t>
  </si>
  <si>
    <t>CL 128 78 70 C 12</t>
  </si>
  <si>
    <t>900204083</t>
  </si>
  <si>
    <t>RAMO TECNOLOGIA Y SISTEMAS E.U</t>
  </si>
  <si>
    <t>hugoramirezm@gmail.com</t>
  </si>
  <si>
    <t>3132605351</t>
  </si>
  <si>
    <t>CL 152B 73B 51 TO 3 AP 1804</t>
  </si>
  <si>
    <t>800003383</t>
  </si>
  <si>
    <t>RUEDA GARZON SAS</t>
  </si>
  <si>
    <t>tesoreria@ruedagarzon.com</t>
  </si>
  <si>
    <t>2474200</t>
  </si>
  <si>
    <t>CL 17 25 20</t>
  </si>
  <si>
    <t>900812474</t>
  </si>
  <si>
    <t>SMART MEDIOS SAS</t>
  </si>
  <si>
    <t>smartmedios.sas@gmail.com</t>
  </si>
  <si>
    <t>3144362517</t>
  </si>
  <si>
    <t>CR  69  A  64  I  28</t>
  </si>
  <si>
    <t>900636940</t>
  </si>
  <si>
    <t>TEXTILES GAVIOTA S.A.S</t>
  </si>
  <si>
    <t>noreply@saphety.com.co</t>
  </si>
  <si>
    <t>2685860</t>
  </si>
  <si>
    <t>CL 20C  44  91</t>
  </si>
  <si>
    <t>1002709412</t>
  </si>
  <si>
    <t>WILLIAM FERNANDO AVILA AUSAQUE</t>
  </si>
  <si>
    <t>labodegaplasticosdela11@gmail.com</t>
  </si>
  <si>
    <t>3144746180</t>
  </si>
  <si>
    <t>CR 11 9 64</t>
  </si>
  <si>
    <t>1014277276</t>
  </si>
  <si>
    <t>YESICA PAOLA CASTILLO CABRERA</t>
  </si>
  <si>
    <t>carneselcastillo2024@gmail.com</t>
  </si>
  <si>
    <t>3113937371</t>
  </si>
  <si>
    <t>CR 6 64B 236 NORTE NRTE LCCITRUS FRUVER</t>
  </si>
  <si>
    <t>23415089</t>
  </si>
  <si>
    <t>NUBIA INES BORDA</t>
  </si>
  <si>
    <t>3103375675</t>
  </si>
  <si>
    <t>CR 9  21  89</t>
  </si>
  <si>
    <t>700499945</t>
  </si>
  <si>
    <t>JOSE ORTEGA YNOJOSA</t>
  </si>
  <si>
    <t>ricortga30@gmail.com</t>
  </si>
  <si>
    <t>3212266001</t>
  </si>
  <si>
    <t>AV UNIVERSITARIA 29 92</t>
  </si>
  <si>
    <t>7160515</t>
  </si>
  <si>
    <t>LUIS ADOLFO MARTINEZ BECERRA</t>
  </si>
  <si>
    <t>mmpadolfo@gmail.com</t>
  </si>
  <si>
    <t>3133150767</t>
  </si>
  <si>
    <t>CR 13  24  93</t>
  </si>
  <si>
    <t>900824281</t>
  </si>
  <si>
    <t>CHAM DISTRIBUCIONES S.A.S</t>
  </si>
  <si>
    <t>chamdistribuciones@hotmail.com</t>
  </si>
  <si>
    <t>7471662</t>
  </si>
  <si>
    <t>CRA 2 40 45</t>
  </si>
  <si>
    <t>901080909</t>
  </si>
  <si>
    <t>COMERCIALIZADORA LA VIOLETA SAS</t>
  </si>
  <si>
    <t>ventas@cervezabeuder.com</t>
  </si>
  <si>
    <t>7438615</t>
  </si>
  <si>
    <t>CR  13   3   66</t>
  </si>
  <si>
    <t>891855895</t>
  </si>
  <si>
    <t>COTELCO CAPITULO BOYACA ASOCIACION HOTELERA</t>
  </si>
  <si>
    <t>cotelcoboyaca@gmail.com</t>
  </si>
  <si>
    <t>7427949</t>
  </si>
  <si>
    <t>CRA 12 N 20 72</t>
  </si>
  <si>
    <t>4208262</t>
  </si>
  <si>
    <t>EDMAN FIDEL HEREDIA CASTAÑEDA</t>
  </si>
  <si>
    <t>distri_rapi_fidel@yahoo.es</t>
  </si>
  <si>
    <t>7470775</t>
  </si>
  <si>
    <t>KM 3 VIA TUNJA  PAIPA</t>
  </si>
  <si>
    <t>900986251</t>
  </si>
  <si>
    <t>FROZZEN CASTEL SAS</t>
  </si>
  <si>
    <t>administracion@frozzencastel.com</t>
  </si>
  <si>
    <t>3212080142</t>
  </si>
  <si>
    <t>CL  74 A  85  24</t>
  </si>
  <si>
    <t>900813640</t>
  </si>
  <si>
    <t>FUNDACION COLOMBIA CARDIOSEGURA</t>
  </si>
  <si>
    <t>info@colombiacardiosegura.org</t>
  </si>
  <si>
    <t>3202214720</t>
  </si>
  <si>
    <t>CR  1  F  40  195  OF   321  ED  ENTERPRISE BRR SANTA INES</t>
  </si>
  <si>
    <t>900199968</t>
  </si>
  <si>
    <t>GARES COMPAÑÍA LTDA</t>
  </si>
  <si>
    <t>facturaciongares@gmail.com</t>
  </si>
  <si>
    <t>7430990</t>
  </si>
  <si>
    <t>CR 5 37 12</t>
  </si>
  <si>
    <t>901392026</t>
  </si>
  <si>
    <t>GRUPO PATCAR SAS</t>
  </si>
  <si>
    <t>grupopatcar@gmail.com</t>
  </si>
  <si>
    <t>608 7494458</t>
  </si>
  <si>
    <t>CL 17 13 82</t>
  </si>
  <si>
    <t>891800462</t>
  </si>
  <si>
    <t>INSTITUTO DE FOMENTO Y DESARROLLO DE BOYACA "IDEBOY</t>
  </si>
  <si>
    <t>contabilidad@ideboy.gov.co</t>
  </si>
  <si>
    <t>7423208</t>
  </si>
  <si>
    <t>CL 19 N 9 35 ED LOTERIA DE BOYACA P 7</t>
  </si>
  <si>
    <t>860509926</t>
  </si>
  <si>
    <t>INVERSIONES BOGA LTDA</t>
  </si>
  <si>
    <t>inversionesboga@gmail.com</t>
  </si>
  <si>
    <t>7436290</t>
  </si>
  <si>
    <t>CRA 3 58 54</t>
  </si>
  <si>
    <t>820005297</t>
  </si>
  <si>
    <t>INVERSIONES SANTA ELISA LTDA</t>
  </si>
  <si>
    <t>facturaelectronica.staelisa@gmail.com</t>
  </si>
  <si>
    <t>7441565</t>
  </si>
  <si>
    <t>CL 69 6 48</t>
  </si>
  <si>
    <t>4208171</t>
  </si>
  <si>
    <t>JUAN PABLO SILVA</t>
  </si>
  <si>
    <t>juan-canta@hotmail.com</t>
  </si>
  <si>
    <t>3118983534</t>
  </si>
  <si>
    <t>CR 5  6  63</t>
  </si>
  <si>
    <t>23554705</t>
  </si>
  <si>
    <t>DORIS HELENA JAIMES HERREÑO</t>
  </si>
  <si>
    <t>surtitelas@hotmail.com</t>
  </si>
  <si>
    <t>7601061</t>
  </si>
  <si>
    <t>CRA16 N 16 63</t>
  </si>
  <si>
    <t>4053407</t>
  </si>
  <si>
    <t>ELIO RINCON GALLO</t>
  </si>
  <si>
    <t>7612216</t>
  </si>
  <si>
    <t>CLL 18 19 29</t>
  </si>
  <si>
    <t>74359958</t>
  </si>
  <si>
    <t>GERMAN ANDRES GONZALEZ MONTOYA</t>
  </si>
  <si>
    <t>germanandres78@yahoo.es</t>
  </si>
  <si>
    <t>7624310</t>
  </si>
  <si>
    <t>CLL 20 21 00 B.SAN JOSE</t>
  </si>
  <si>
    <t>1052389487</t>
  </si>
  <si>
    <t>MARIA ANGELICA GARCÍA VARGAS</t>
  </si>
  <si>
    <t>3222413382</t>
  </si>
  <si>
    <t>CRA 17 15 47</t>
  </si>
  <si>
    <t>1052414863</t>
  </si>
  <si>
    <t>CESAR ALBERTO DAZA RODRIGUEZ</t>
  </si>
  <si>
    <t>losnovillos19@gmail.com</t>
  </si>
  <si>
    <t>3205710027</t>
  </si>
  <si>
    <t>CR 40 24 66</t>
  </si>
  <si>
    <t>24091237</t>
  </si>
  <si>
    <t>JANCY MILENA ALBARRACIN ALBARRACIN</t>
  </si>
  <si>
    <t>distriledduitama@gmail.com</t>
  </si>
  <si>
    <t>3202087822</t>
  </si>
  <si>
    <t>CR 16 12 49</t>
  </si>
  <si>
    <t>33630547</t>
  </si>
  <si>
    <t>EMILCEN LUCIA GONZALEZ PARRA</t>
  </si>
  <si>
    <t>emilcen.gonzalez.39@gmail.com</t>
  </si>
  <si>
    <t>3107858686</t>
  </si>
  <si>
    <t>CR 25 11  47</t>
  </si>
  <si>
    <t>46368344</t>
  </si>
  <si>
    <t>LUCIA CUTA AMARILLO</t>
  </si>
  <si>
    <t>3214532880</t>
  </si>
  <si>
    <t>CR 9A 14 69</t>
  </si>
  <si>
    <t>46669831</t>
  </si>
  <si>
    <t>MARTHA LILIANA FONSECA MONROY</t>
  </si>
  <si>
    <t>marlifomon01@gmail.com</t>
  </si>
  <si>
    <t>TV 22  35  165</t>
  </si>
  <si>
    <t>46674362</t>
  </si>
  <si>
    <t>AURORA CECILIA ROJAS LOPEZ</t>
  </si>
  <si>
    <t>electroserviciosrojas@gmail.com</t>
  </si>
  <si>
    <t>3142673951</t>
  </si>
  <si>
    <t>CR 17  10  37</t>
  </si>
  <si>
    <t>7212941</t>
  </si>
  <si>
    <t>ROSENDO VARGAS BERDUGO</t>
  </si>
  <si>
    <t>varber19@gmail.com</t>
  </si>
  <si>
    <t>3203055041</t>
  </si>
  <si>
    <t>CR 17 17 30</t>
  </si>
  <si>
    <t>7213266</t>
  </si>
  <si>
    <t>LUIS JAIME SANDOVAL</t>
  </si>
  <si>
    <t>7603454</t>
  </si>
  <si>
    <t>CR 19 13 51</t>
  </si>
  <si>
    <t>7213708</t>
  </si>
  <si>
    <t>MARIO ESPEJO CAMARGO</t>
  </si>
  <si>
    <t>7600194</t>
  </si>
  <si>
    <t>CR 20  26  36</t>
  </si>
  <si>
    <t>7219252</t>
  </si>
  <si>
    <t>GILBERTO HERNANDEZ MERCHAN</t>
  </si>
  <si>
    <t>7629052</t>
  </si>
  <si>
    <t>CR 17  18  20</t>
  </si>
  <si>
    <t>7227927</t>
  </si>
  <si>
    <t>PABLO HERNANDO MARIÑO GARCIA</t>
  </si>
  <si>
    <t>milena.gasboy@gmail.com</t>
  </si>
  <si>
    <t>3102191633</t>
  </si>
  <si>
    <t>CL 13 16  28</t>
  </si>
  <si>
    <t>9526734</t>
  </si>
  <si>
    <t>JAHIR CARREÑO CASAS</t>
  </si>
  <si>
    <t>tradiscarnes@gmail.com</t>
  </si>
  <si>
    <t>7603119</t>
  </si>
  <si>
    <t>CR 34 9  52</t>
  </si>
  <si>
    <t>901541201</t>
  </si>
  <si>
    <t>AGROEXITO LA NOVENA SAS</t>
  </si>
  <si>
    <t>3202776175</t>
  </si>
  <si>
    <t>CL 13  18  32</t>
  </si>
  <si>
    <t>826000346</t>
  </si>
  <si>
    <t>ANALIZAR LABORATORIO FISICOQUIMICO LTDA.</t>
  </si>
  <si>
    <t>contacto@analizarlaboratorio.com</t>
  </si>
  <si>
    <t>7614955</t>
  </si>
  <si>
    <t>cra 33 16 27</t>
  </si>
  <si>
    <t>891855025</t>
  </si>
  <si>
    <t>CAMARA DE COMERCIO DE DUITAMA</t>
  </si>
  <si>
    <t>ccdpresidencia@ccduitama.org.co</t>
  </si>
  <si>
    <t>7602596</t>
  </si>
  <si>
    <t>TV 19 N 23 141</t>
  </si>
  <si>
    <t>900155107</t>
  </si>
  <si>
    <t>CENCOSUD COLOMBIA SA</t>
  </si>
  <si>
    <t>CLL 20A N 12 70</t>
  </si>
  <si>
    <t>901144210</t>
  </si>
  <si>
    <t>COMERCIALIZADORA RIANDE S.A.S</t>
  </si>
  <si>
    <t>crismojica@hotmail.com</t>
  </si>
  <si>
    <t>7603450</t>
  </si>
  <si>
    <t>CR 18  12 47</t>
  </si>
  <si>
    <t>901324134</t>
  </si>
  <si>
    <t>DIMOTIK SOLUTION S.A.S</t>
  </si>
  <si>
    <t>ricarqui49@gmail.com</t>
  </si>
  <si>
    <t>3112781317</t>
  </si>
  <si>
    <t>CR  17  R  26 A  56</t>
  </si>
  <si>
    <t>900581542</t>
  </si>
  <si>
    <t>EL FARO ELECTRICO S.A.S</t>
  </si>
  <si>
    <t>lamparas@elfaroelectrico.co</t>
  </si>
  <si>
    <t>7623268</t>
  </si>
  <si>
    <t>CR 16 11 77</t>
  </si>
  <si>
    <t>800199713</t>
  </si>
  <si>
    <t>FIPRO LTDA</t>
  </si>
  <si>
    <t>fiproltda@gmail.com</t>
  </si>
  <si>
    <t>KM 7 VIA DUITAMA PAIPA</t>
  </si>
  <si>
    <t>891800082</t>
  </si>
  <si>
    <t>GRANADOS GOMEZ &amp; CIA S.A  E.S.P</t>
  </si>
  <si>
    <t>oficinaduitama@gragos.com</t>
  </si>
  <si>
    <t>7602314</t>
  </si>
  <si>
    <t>CL 16  14  68 MEZANINE 3</t>
  </si>
  <si>
    <t>900604334</t>
  </si>
  <si>
    <t>INGEL PARRA S.A.S</t>
  </si>
  <si>
    <t>ingelparrasas@gmail.com</t>
  </si>
  <si>
    <t>7626845</t>
  </si>
  <si>
    <t>CALLE 5 No.18-53</t>
  </si>
  <si>
    <t>891856457</t>
  </si>
  <si>
    <t>INVERSIONES EL DORADO S.A.S</t>
  </si>
  <si>
    <t>facturacion@inverdorados.com</t>
  </si>
  <si>
    <t>7638111</t>
  </si>
  <si>
    <t>CIUDADELA PARQUE INDUSTRIAL DUITAMA</t>
  </si>
  <si>
    <t>901584368</t>
  </si>
  <si>
    <t>MAXIPLASTICO FLOREZ SAS</t>
  </si>
  <si>
    <t>3124207863</t>
  </si>
  <si>
    <t>CLL 18 19 24</t>
  </si>
  <si>
    <t>901276784</t>
  </si>
  <si>
    <t>MSJ GROUP SAS</t>
  </si>
  <si>
    <t>msjgroupsas@gmail.com</t>
  </si>
  <si>
    <t>3132937088</t>
  </si>
  <si>
    <t>CL 9 24 99</t>
  </si>
  <si>
    <t>900510953</t>
  </si>
  <si>
    <t>PRODUCTOS COMESTIBLES TOLIBOY SAS</t>
  </si>
  <si>
    <t>facturaelectronicatoliboy@gmail.com</t>
  </si>
  <si>
    <t>7626677</t>
  </si>
  <si>
    <t>TRAN 15 31 79</t>
  </si>
  <si>
    <t>891855991</t>
  </si>
  <si>
    <t>SUPER SERVICIOS BOYACA LTDA</t>
  </si>
  <si>
    <t>CRA 18 7 41</t>
  </si>
  <si>
    <t>900284572</t>
  </si>
  <si>
    <t>TEST &amp; ENGINEERING SERVICES SAS</t>
  </si>
  <si>
    <t>tye.proveedor@gmail.com</t>
  </si>
  <si>
    <t>5405571</t>
  </si>
  <si>
    <t>CR 73 75A 89</t>
  </si>
  <si>
    <t>63496564</t>
  </si>
  <si>
    <t>JACKELINE CHACON CIODARO</t>
  </si>
  <si>
    <t>jchaconciodaro@gmail.com</t>
  </si>
  <si>
    <t>7700546</t>
  </si>
  <si>
    <t>VDA SALITRE  AUT  SEC PUNTALARGA  KM 5</t>
  </si>
  <si>
    <t>74362958</t>
  </si>
  <si>
    <t>HENRY GEOVANNY HERNANDEZ HERNANDEZ</t>
  </si>
  <si>
    <t>henryghernandez@gmail.com</t>
  </si>
  <si>
    <t>3103029917</t>
  </si>
  <si>
    <t>CL 7  12  28</t>
  </si>
  <si>
    <t>1057600572</t>
  </si>
  <si>
    <t>HENRY LEONARDO ROSAS FLORES</t>
  </si>
  <si>
    <t>3132907101</t>
  </si>
  <si>
    <t>COOMPRORIENTE PUERTA 17</t>
  </si>
  <si>
    <t>901314598</t>
  </si>
  <si>
    <t>COMPAÑÍA DE ALIMENTOS BIFF S.A.S.</t>
  </si>
  <si>
    <t>contabilidad@biff.com.co</t>
  </si>
  <si>
    <t>7707342</t>
  </si>
  <si>
    <t>CR  20  5  91</t>
  </si>
  <si>
    <t>900576858</t>
  </si>
  <si>
    <t>IT CERTIFICA INSPECCIONES TECNICAS Y CERTIFICACIONES SAS</t>
  </si>
  <si>
    <t>leidy.aguilar@itcertifica.com</t>
  </si>
  <si>
    <t>3115990784</t>
  </si>
  <si>
    <t>CL 17 9 A 33</t>
  </si>
  <si>
    <t>1049632592</t>
  </si>
  <si>
    <t>DIANA XIMENA PRIETO CIFUENTES</t>
  </si>
  <si>
    <t>agroprotecciontunja@gmail.com</t>
  </si>
  <si>
    <t>7448804</t>
  </si>
  <si>
    <t>CL 4 7 35</t>
  </si>
  <si>
    <t>900519829</t>
  </si>
  <si>
    <t>LICITACIONES INFO S.A.S</t>
  </si>
  <si>
    <t>8903340</t>
  </si>
  <si>
    <t>CR 18 71 72</t>
  </si>
  <si>
    <t>900319753</t>
  </si>
  <si>
    <t>PRICESMART COLOMBIA S.A.S</t>
  </si>
  <si>
    <t>5169381</t>
  </si>
  <si>
    <t>Vereda Yerbabuena Baja-Sector el Cairo</t>
  </si>
  <si>
    <t>901380489</t>
  </si>
  <si>
    <t>WINKLEAR S.A.S</t>
  </si>
  <si>
    <t>gerencia@winklear.com</t>
  </si>
  <si>
    <t>3012884251</t>
  </si>
  <si>
    <t>CR 10 1 89 LC 1 URB SAN MIGUEL PORTAL DEL BOSQUE</t>
  </si>
  <si>
    <t>900213759</t>
  </si>
  <si>
    <t>LA RECETTA SAS</t>
  </si>
  <si>
    <t>correspondenciasnch.domesa@serviciosnutresa.com</t>
  </si>
  <si>
    <t>KM 1.5  VIA MEDELLIN</t>
  </si>
  <si>
    <t>900276962</t>
  </si>
  <si>
    <t>D1 S.A.S</t>
  </si>
  <si>
    <t>jony.balcazar@koba-group.com</t>
  </si>
  <si>
    <t>2541010</t>
  </si>
  <si>
    <t>CR  19 23 64</t>
  </si>
  <si>
    <t>900340517</t>
  </si>
  <si>
    <t>ANCLA Y HERNA INVERSIONES SAS</t>
  </si>
  <si>
    <t>anclashoes2@hotmail.com</t>
  </si>
  <si>
    <t>7613415</t>
  </si>
  <si>
    <t>CL  5  6  43</t>
  </si>
  <si>
    <t>900415878</t>
  </si>
  <si>
    <t>PULLER INDUASEO SAS</t>
  </si>
  <si>
    <t>8518895</t>
  </si>
  <si>
    <t>CL 3 6 222</t>
  </si>
  <si>
    <t>900659798</t>
  </si>
  <si>
    <t>COMPAÑÍA PESQUERA DEL MAR S.A.S</t>
  </si>
  <si>
    <t>companiapesquera@gmail.com</t>
  </si>
  <si>
    <t>6351757</t>
  </si>
  <si>
    <t>PQ INDUSTRIAL BODEGA3 GIRON KM5 +360 VIA PALENQUE</t>
  </si>
  <si>
    <t>890200463</t>
  </si>
  <si>
    <t>GASEOSAS HIPINTO S.A.S</t>
  </si>
  <si>
    <t>KM 3 VIA GUATIGUARA</t>
  </si>
  <si>
    <t>860001697</t>
  </si>
  <si>
    <t>GASEOSAS LUX SAS</t>
  </si>
  <si>
    <t>recepcionfe@gaslux.com.co</t>
  </si>
  <si>
    <t>3152588632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</si>
</sst>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3" fillId="0" borderId="6" xfId="2" applyBorder="1" applyProtection="1">
      <protection locked="0"/>
    </xf>
    <xf numFmtId="43" fontId="3" fillId="0" borderId="6" xfId="1" applyFont="1" applyFill="1" applyBorder="1" applyAlignment="1" applyProtection="1">
      <alignment horizontal="right"/>
      <protection locked="0"/>
    </xf>
    <xf numFmtId="0" fontId="3" fillId="0" borderId="6" xfId="2" applyBorder="1" applyAlignment="1" applyProtection="1">
      <alignment horizontal="right"/>
      <protection locked="0"/>
    </xf>
    <xf numFmtId="43" fontId="3" fillId="0" borderId="6" xfId="2" applyNumberFormat="1" applyBorder="1" applyAlignment="1" applyProtection="1">
      <alignment horizontal="right"/>
      <protection locked="0"/>
    </xf>
    <xf numFmtId="0" fontId="4" fillId="0" borderId="6" xfId="2" applyFont="1" applyBorder="1" applyProtection="1">
      <protection locked="0"/>
    </xf>
    <xf numFmtId="43" fontId="3" fillId="0" borderId="6" xfId="2" applyNumberFormat="1" applyBorder="1" applyProtection="1">
      <protection locked="0"/>
    </xf>
  </cellXfs>
  <cellStyles count="3">
    <cellStyle name="Millares" xfId="1" builtinId="3"/>
    <cellStyle name="Normal" xfId="0" builtinId="0"/>
    <cellStyle name="Normal_Hoja7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92"/>
  <sheetViews>
    <sheetView tabSelected="1" zoomScale="85" zoomScaleNormal="85" workbookViewId="0">
      <pane ySplit="6" topLeftCell="A189" activePane="bottomLeft" state="frozen"/>
      <selection pane="bottomLeft" activeCell="A192" sqref="A192:XFD19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800006073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 t="s">
        <v>2249</v>
      </c>
      <c r="B7" s="24">
        <v>4</v>
      </c>
      <c r="C7" s="24" t="s">
        <v>2250</v>
      </c>
      <c r="D7" s="24" t="s">
        <v>2251</v>
      </c>
      <c r="E7" s="24" t="s">
        <v>2252</v>
      </c>
      <c r="F7" s="24" t="s">
        <v>2253</v>
      </c>
      <c r="G7" s="24" t="s">
        <v>724</v>
      </c>
      <c r="H7" s="24"/>
      <c r="I7" s="25">
        <v>569544</v>
      </c>
      <c r="J7" s="26">
        <v>0</v>
      </c>
      <c r="K7" s="26">
        <v>0</v>
      </c>
    </row>
    <row r="8" spans="1:11" x14ac:dyDescent="0.25">
      <c r="A8" s="24" t="s">
        <v>2254</v>
      </c>
      <c r="B8" s="24">
        <v>5</v>
      </c>
      <c r="C8" s="24" t="s">
        <v>2255</v>
      </c>
      <c r="D8" s="24" t="s">
        <v>2256</v>
      </c>
      <c r="E8" s="24" t="s">
        <v>2257</v>
      </c>
      <c r="F8" s="24" t="s">
        <v>2258</v>
      </c>
      <c r="G8" s="24" t="s">
        <v>724</v>
      </c>
      <c r="H8" s="24"/>
      <c r="I8" s="25">
        <v>213889</v>
      </c>
      <c r="J8" s="26">
        <v>0</v>
      </c>
      <c r="K8" s="26">
        <v>0</v>
      </c>
    </row>
    <row r="9" spans="1:11" x14ac:dyDescent="0.25">
      <c r="A9" s="24" t="s">
        <v>2259</v>
      </c>
      <c r="B9" s="24">
        <v>9</v>
      </c>
      <c r="C9" s="24" t="s">
        <v>2260</v>
      </c>
      <c r="D9" s="24" t="s">
        <v>2261</v>
      </c>
      <c r="E9" s="24" t="s">
        <v>2262</v>
      </c>
      <c r="F9" s="24" t="s">
        <v>2263</v>
      </c>
      <c r="G9" s="24" t="s">
        <v>724</v>
      </c>
      <c r="H9" s="24"/>
      <c r="I9" s="25">
        <v>700000</v>
      </c>
      <c r="J9" s="26">
        <v>0</v>
      </c>
      <c r="K9" s="26">
        <v>0</v>
      </c>
    </row>
    <row r="10" spans="1:11" x14ac:dyDescent="0.25">
      <c r="A10" s="24" t="s">
        <v>2264</v>
      </c>
      <c r="B10" s="24">
        <v>1</v>
      </c>
      <c r="C10" s="24" t="s">
        <v>2265</v>
      </c>
      <c r="D10" s="24" t="s">
        <v>2266</v>
      </c>
      <c r="E10" s="24" t="s">
        <v>2267</v>
      </c>
      <c r="F10" s="24" t="s">
        <v>2268</v>
      </c>
      <c r="G10" s="24" t="s">
        <v>724</v>
      </c>
      <c r="H10" s="24"/>
      <c r="I10" s="25">
        <v>2522800</v>
      </c>
      <c r="J10" s="26">
        <v>0</v>
      </c>
      <c r="K10" s="26">
        <v>0</v>
      </c>
    </row>
    <row r="11" spans="1:11" x14ac:dyDescent="0.25">
      <c r="A11" s="24" t="s">
        <v>2269</v>
      </c>
      <c r="B11" s="24">
        <v>1</v>
      </c>
      <c r="C11" s="24" t="s">
        <v>2270</v>
      </c>
      <c r="D11" s="24" t="s">
        <v>2271</v>
      </c>
      <c r="E11" s="24" t="s">
        <v>2272</v>
      </c>
      <c r="F11" s="24" t="s">
        <v>2273</v>
      </c>
      <c r="G11" s="24" t="s">
        <v>724</v>
      </c>
      <c r="H11" s="24"/>
      <c r="I11" s="25">
        <v>816005</v>
      </c>
      <c r="J11" s="26">
        <v>0</v>
      </c>
      <c r="K11" s="26">
        <v>0</v>
      </c>
    </row>
    <row r="12" spans="1:11" x14ac:dyDescent="0.25">
      <c r="A12" s="24" t="s">
        <v>2274</v>
      </c>
      <c r="B12" s="24">
        <v>0</v>
      </c>
      <c r="C12" s="24" t="s">
        <v>2275</v>
      </c>
      <c r="D12" s="24" t="s">
        <v>2276</v>
      </c>
      <c r="E12" s="24" t="s">
        <v>2277</v>
      </c>
      <c r="F12" s="24" t="s">
        <v>2278</v>
      </c>
      <c r="G12" s="24" t="s">
        <v>724</v>
      </c>
      <c r="H12" s="24"/>
      <c r="I12" s="25">
        <v>35766475</v>
      </c>
      <c r="J12" s="26">
        <v>0</v>
      </c>
      <c r="K12" s="26">
        <v>0</v>
      </c>
    </row>
    <row r="13" spans="1:11" x14ac:dyDescent="0.25">
      <c r="A13" s="24" t="s">
        <v>2279</v>
      </c>
      <c r="B13" s="24">
        <v>7</v>
      </c>
      <c r="C13" s="24" t="s">
        <v>2280</v>
      </c>
      <c r="D13" s="24" t="s">
        <v>2281</v>
      </c>
      <c r="E13" s="24" t="s">
        <v>2282</v>
      </c>
      <c r="F13" s="24" t="s">
        <v>2283</v>
      </c>
      <c r="G13" s="24" t="s">
        <v>724</v>
      </c>
      <c r="H13" s="24"/>
      <c r="I13" s="25">
        <v>410422</v>
      </c>
      <c r="J13" s="26">
        <v>0</v>
      </c>
      <c r="K13" s="26">
        <v>0</v>
      </c>
    </row>
    <row r="14" spans="1:11" x14ac:dyDescent="0.25">
      <c r="A14" s="24" t="s">
        <v>2284</v>
      </c>
      <c r="B14" s="24">
        <v>1</v>
      </c>
      <c r="C14" s="24" t="s">
        <v>2285</v>
      </c>
      <c r="D14" s="24" t="s">
        <v>2286</v>
      </c>
      <c r="E14" s="24" t="s">
        <v>2287</v>
      </c>
      <c r="F14" s="24" t="s">
        <v>2288</v>
      </c>
      <c r="G14" s="24" t="s">
        <v>724</v>
      </c>
      <c r="H14" s="24"/>
      <c r="I14" s="25">
        <f>12515800+195000</f>
        <v>12710800</v>
      </c>
      <c r="J14" s="26">
        <v>0</v>
      </c>
      <c r="K14" s="26">
        <v>0</v>
      </c>
    </row>
    <row r="15" spans="1:11" x14ac:dyDescent="0.25">
      <c r="A15" s="24" t="s">
        <v>2289</v>
      </c>
      <c r="B15" s="24">
        <v>6</v>
      </c>
      <c r="C15" s="24" t="s">
        <v>2290</v>
      </c>
      <c r="D15" s="24" t="s">
        <v>2291</v>
      </c>
      <c r="E15" s="24" t="s">
        <v>2292</v>
      </c>
      <c r="F15" s="24" t="s">
        <v>2293</v>
      </c>
      <c r="G15" s="24" t="s">
        <v>724</v>
      </c>
      <c r="H15" s="24"/>
      <c r="I15" s="25">
        <v>8034000</v>
      </c>
      <c r="J15" s="26">
        <v>0</v>
      </c>
      <c r="K15" s="26">
        <v>0</v>
      </c>
    </row>
    <row r="16" spans="1:11" x14ac:dyDescent="0.25">
      <c r="A16" s="24" t="s">
        <v>2294</v>
      </c>
      <c r="B16" s="24">
        <v>6</v>
      </c>
      <c r="C16" s="24" t="s">
        <v>2295</v>
      </c>
      <c r="D16" s="24" t="s">
        <v>2296</v>
      </c>
      <c r="E16" s="24" t="s">
        <v>2252</v>
      </c>
      <c r="F16" s="24" t="s">
        <v>2297</v>
      </c>
      <c r="G16" s="24" t="s">
        <v>724</v>
      </c>
      <c r="H16" s="24"/>
      <c r="I16" s="25">
        <v>18000000</v>
      </c>
      <c r="J16" s="26">
        <v>0</v>
      </c>
      <c r="K16" s="26">
        <v>0</v>
      </c>
    </row>
    <row r="17" spans="1:11" x14ac:dyDescent="0.25">
      <c r="A17" s="24" t="s">
        <v>2298</v>
      </c>
      <c r="B17" s="24">
        <v>2</v>
      </c>
      <c r="C17" s="24" t="s">
        <v>2299</v>
      </c>
      <c r="D17" s="24" t="s">
        <v>2300</v>
      </c>
      <c r="E17" s="24" t="s">
        <v>2301</v>
      </c>
      <c r="F17" s="24" t="s">
        <v>2302</v>
      </c>
      <c r="G17" s="24" t="s">
        <v>724</v>
      </c>
      <c r="H17" s="24"/>
      <c r="I17" s="25">
        <v>36773666</v>
      </c>
      <c r="J17" s="26">
        <v>0</v>
      </c>
      <c r="K17" s="26">
        <v>0</v>
      </c>
    </row>
    <row r="18" spans="1:11" x14ac:dyDescent="0.25">
      <c r="A18" s="24" t="s">
        <v>2303</v>
      </c>
      <c r="B18" s="24">
        <v>3</v>
      </c>
      <c r="C18" s="24" t="s">
        <v>2304</v>
      </c>
      <c r="D18" s="24" t="s">
        <v>2305</v>
      </c>
      <c r="E18" s="24" t="s">
        <v>2252</v>
      </c>
      <c r="F18" s="24" t="s">
        <v>2306</v>
      </c>
      <c r="G18" s="24" t="s">
        <v>724</v>
      </c>
      <c r="H18" s="24"/>
      <c r="I18" s="25">
        <v>300000</v>
      </c>
      <c r="J18" s="26">
        <v>0</v>
      </c>
      <c r="K18" s="26">
        <v>0</v>
      </c>
    </row>
    <row r="19" spans="1:11" x14ac:dyDescent="0.25">
      <c r="A19" s="24" t="s">
        <v>2307</v>
      </c>
      <c r="B19" s="24">
        <v>9</v>
      </c>
      <c r="C19" s="24" t="s">
        <v>2308</v>
      </c>
      <c r="D19" s="24" t="s">
        <v>2309</v>
      </c>
      <c r="E19" s="24" t="s">
        <v>2310</v>
      </c>
      <c r="F19" s="24" t="s">
        <v>2311</v>
      </c>
      <c r="G19" s="24" t="s">
        <v>724</v>
      </c>
      <c r="H19" s="24"/>
      <c r="I19" s="25">
        <v>19536500</v>
      </c>
      <c r="J19" s="26">
        <v>0</v>
      </c>
      <c r="K19" s="26">
        <v>0</v>
      </c>
    </row>
    <row r="20" spans="1:11" x14ac:dyDescent="0.25">
      <c r="A20" s="24" t="s">
        <v>2312</v>
      </c>
      <c r="B20" s="24">
        <v>1</v>
      </c>
      <c r="C20" s="24" t="s">
        <v>2313</v>
      </c>
      <c r="D20" s="24" t="s">
        <v>2314</v>
      </c>
      <c r="E20" s="24" t="s">
        <v>2252</v>
      </c>
      <c r="F20" s="24" t="s">
        <v>2315</v>
      </c>
      <c r="G20" s="24" t="s">
        <v>724</v>
      </c>
      <c r="H20" s="24"/>
      <c r="I20" s="25">
        <v>21848</v>
      </c>
      <c r="J20" s="26">
        <v>0</v>
      </c>
      <c r="K20" s="26">
        <v>0</v>
      </c>
    </row>
    <row r="21" spans="1:11" x14ac:dyDescent="0.25">
      <c r="A21" s="24" t="s">
        <v>2316</v>
      </c>
      <c r="B21" s="24">
        <v>1</v>
      </c>
      <c r="C21" s="24" t="s">
        <v>2317</v>
      </c>
      <c r="D21" s="24" t="s">
        <v>2318</v>
      </c>
      <c r="E21" s="24" t="s">
        <v>2319</v>
      </c>
      <c r="F21" s="24" t="s">
        <v>2320</v>
      </c>
      <c r="G21" s="24" t="s">
        <v>724</v>
      </c>
      <c r="H21" s="24"/>
      <c r="I21" s="25">
        <v>336907920</v>
      </c>
      <c r="J21" s="26">
        <v>0</v>
      </c>
      <c r="K21" s="26">
        <v>0</v>
      </c>
    </row>
    <row r="22" spans="1:11" x14ac:dyDescent="0.25">
      <c r="A22" s="24" t="s">
        <v>2321</v>
      </c>
      <c r="B22" s="24">
        <v>6</v>
      </c>
      <c r="C22" s="24" t="s">
        <v>2322</v>
      </c>
      <c r="D22" s="24" t="s">
        <v>2323</v>
      </c>
      <c r="E22" s="24" t="s">
        <v>2252</v>
      </c>
      <c r="F22" s="24" t="s">
        <v>2324</v>
      </c>
      <c r="G22" s="24" t="s">
        <v>724</v>
      </c>
      <c r="H22" s="24"/>
      <c r="I22" s="25">
        <v>18000000</v>
      </c>
      <c r="J22" s="26">
        <v>0</v>
      </c>
      <c r="K22" s="26">
        <v>0</v>
      </c>
    </row>
    <row r="23" spans="1:11" x14ac:dyDescent="0.25">
      <c r="A23" s="24" t="s">
        <v>2325</v>
      </c>
      <c r="B23" s="24">
        <v>4</v>
      </c>
      <c r="C23" s="24" t="s">
        <v>2326</v>
      </c>
      <c r="D23" s="24" t="s">
        <v>2327</v>
      </c>
      <c r="E23" s="24" t="s">
        <v>2328</v>
      </c>
      <c r="F23" s="24" t="s">
        <v>2329</v>
      </c>
      <c r="G23" s="24" t="s">
        <v>724</v>
      </c>
      <c r="H23" s="24"/>
      <c r="I23" s="25">
        <v>11650000</v>
      </c>
      <c r="J23" s="26">
        <v>0</v>
      </c>
      <c r="K23" s="26">
        <v>1790000</v>
      </c>
    </row>
    <row r="24" spans="1:11" x14ac:dyDescent="0.25">
      <c r="A24" s="24" t="s">
        <v>2330</v>
      </c>
      <c r="B24" s="24">
        <v>4</v>
      </c>
      <c r="C24" s="24" t="s">
        <v>2331</v>
      </c>
      <c r="D24" s="24" t="s">
        <v>2332</v>
      </c>
      <c r="E24" s="24" t="s">
        <v>2333</v>
      </c>
      <c r="F24" s="24" t="s">
        <v>2334</v>
      </c>
      <c r="G24" s="24" t="s">
        <v>724</v>
      </c>
      <c r="H24" s="24"/>
      <c r="I24" s="25">
        <v>63025</v>
      </c>
      <c r="J24" s="26">
        <v>0</v>
      </c>
      <c r="K24" s="26">
        <v>0</v>
      </c>
    </row>
    <row r="25" spans="1:11" x14ac:dyDescent="0.25">
      <c r="A25" s="24" t="s">
        <v>2335</v>
      </c>
      <c r="B25" s="24">
        <v>3</v>
      </c>
      <c r="C25" s="24" t="s">
        <v>2336</v>
      </c>
      <c r="D25" s="24" t="s">
        <v>2337</v>
      </c>
      <c r="E25" s="24" t="s">
        <v>2252</v>
      </c>
      <c r="F25" s="24" t="s">
        <v>2338</v>
      </c>
      <c r="G25" s="24" t="s">
        <v>724</v>
      </c>
      <c r="H25" s="24"/>
      <c r="I25" s="25">
        <v>3810000</v>
      </c>
      <c r="J25" s="26">
        <v>0</v>
      </c>
      <c r="K25" s="26">
        <v>0</v>
      </c>
    </row>
    <row r="26" spans="1:11" x14ac:dyDescent="0.25">
      <c r="A26" s="24" t="s">
        <v>2339</v>
      </c>
      <c r="B26" s="24">
        <v>0</v>
      </c>
      <c r="C26" s="24" t="s">
        <v>2340</v>
      </c>
      <c r="D26" s="24" t="s">
        <v>2341</v>
      </c>
      <c r="E26" s="24" t="s">
        <v>2252</v>
      </c>
      <c r="F26" s="24" t="s">
        <v>2342</v>
      </c>
      <c r="G26" s="24" t="s">
        <v>724</v>
      </c>
      <c r="H26" s="24"/>
      <c r="I26" s="25">
        <v>4025210</v>
      </c>
      <c r="J26" s="26">
        <v>0</v>
      </c>
      <c r="K26" s="26">
        <v>0</v>
      </c>
    </row>
    <row r="27" spans="1:11" x14ac:dyDescent="0.25">
      <c r="A27" s="24" t="s">
        <v>2343</v>
      </c>
      <c r="B27" s="24">
        <v>4</v>
      </c>
      <c r="C27" s="24" t="s">
        <v>2344</v>
      </c>
      <c r="D27" s="24" t="s">
        <v>2345</v>
      </c>
      <c r="E27" s="24" t="s">
        <v>2346</v>
      </c>
      <c r="F27" s="24" t="s">
        <v>2347</v>
      </c>
      <c r="G27" s="24" t="s">
        <v>724</v>
      </c>
      <c r="H27" s="24"/>
      <c r="I27" s="25">
        <v>5506000</v>
      </c>
      <c r="J27" s="26">
        <v>0</v>
      </c>
      <c r="K27" s="26">
        <v>0</v>
      </c>
    </row>
    <row r="28" spans="1:11" x14ac:dyDescent="0.25">
      <c r="A28" s="24" t="s">
        <v>2348</v>
      </c>
      <c r="B28" s="24">
        <v>7</v>
      </c>
      <c r="C28" s="24" t="s">
        <v>2349</v>
      </c>
      <c r="D28" s="24" t="s">
        <v>2350</v>
      </c>
      <c r="E28" s="24" t="s">
        <v>2351</v>
      </c>
      <c r="F28" s="24" t="s">
        <v>2352</v>
      </c>
      <c r="G28" s="24" t="s">
        <v>724</v>
      </c>
      <c r="H28" s="24"/>
      <c r="I28" s="25">
        <v>11780500</v>
      </c>
      <c r="J28" s="26">
        <v>0</v>
      </c>
      <c r="K28" s="26">
        <v>0</v>
      </c>
    </row>
    <row r="29" spans="1:11" x14ac:dyDescent="0.25">
      <c r="A29" s="24" t="s">
        <v>2353</v>
      </c>
      <c r="B29" s="24">
        <v>1</v>
      </c>
      <c r="C29" s="24" t="s">
        <v>2354</v>
      </c>
      <c r="D29" s="24" t="s">
        <v>2355</v>
      </c>
      <c r="E29" s="24" t="s">
        <v>2356</v>
      </c>
      <c r="F29" s="24" t="s">
        <v>2357</v>
      </c>
      <c r="G29" s="24" t="s">
        <v>724</v>
      </c>
      <c r="H29" s="24"/>
      <c r="I29" s="25">
        <v>96346800</v>
      </c>
      <c r="J29" s="26">
        <v>0</v>
      </c>
      <c r="K29" s="26">
        <v>0</v>
      </c>
    </row>
    <row r="30" spans="1:11" x14ac:dyDescent="0.25">
      <c r="A30" s="24" t="s">
        <v>2358</v>
      </c>
      <c r="B30" s="24">
        <v>1</v>
      </c>
      <c r="C30" s="24" t="s">
        <v>2359</v>
      </c>
      <c r="D30" s="24" t="s">
        <v>2281</v>
      </c>
      <c r="E30" s="24" t="s">
        <v>2360</v>
      </c>
      <c r="F30" s="24" t="s">
        <v>2361</v>
      </c>
      <c r="G30" s="24" t="s">
        <v>724</v>
      </c>
      <c r="H30" s="24"/>
      <c r="I30" s="25">
        <v>290000</v>
      </c>
      <c r="J30" s="26">
        <v>0</v>
      </c>
      <c r="K30" s="26">
        <v>0</v>
      </c>
    </row>
    <row r="31" spans="1:11" x14ac:dyDescent="0.25">
      <c r="A31" s="24" t="s">
        <v>2362</v>
      </c>
      <c r="B31" s="24">
        <v>5</v>
      </c>
      <c r="C31" s="24" t="s">
        <v>2363</v>
      </c>
      <c r="D31" s="24" t="s">
        <v>2364</v>
      </c>
      <c r="E31" s="24" t="s">
        <v>2365</v>
      </c>
      <c r="F31" s="24" t="s">
        <v>2366</v>
      </c>
      <c r="G31" s="24" t="s">
        <v>724</v>
      </c>
      <c r="H31" s="24"/>
      <c r="I31" s="25">
        <v>30252</v>
      </c>
      <c r="J31" s="26">
        <v>0</v>
      </c>
      <c r="K31" s="26">
        <v>0</v>
      </c>
    </row>
    <row r="32" spans="1:11" x14ac:dyDescent="0.25">
      <c r="A32" s="24" t="s">
        <v>2367</v>
      </c>
      <c r="B32" s="24">
        <v>8</v>
      </c>
      <c r="C32" s="24" t="s">
        <v>2368</v>
      </c>
      <c r="D32" s="24" t="s">
        <v>2369</v>
      </c>
      <c r="E32" s="24" t="s">
        <v>2370</v>
      </c>
      <c r="F32" s="24" t="s">
        <v>2371</v>
      </c>
      <c r="G32" s="24" t="s">
        <v>724</v>
      </c>
      <c r="H32" s="24"/>
      <c r="I32" s="25">
        <v>8200000</v>
      </c>
      <c r="J32" s="26">
        <v>0</v>
      </c>
      <c r="K32" s="26">
        <v>0</v>
      </c>
    </row>
    <row r="33" spans="1:11" x14ac:dyDescent="0.25">
      <c r="A33" s="24" t="s">
        <v>2372</v>
      </c>
      <c r="B33" s="24">
        <v>4</v>
      </c>
      <c r="C33" s="24" t="s">
        <v>2373</v>
      </c>
      <c r="D33" s="24" t="s">
        <v>2374</v>
      </c>
      <c r="E33" s="24" t="s">
        <v>2375</v>
      </c>
      <c r="F33" s="24" t="s">
        <v>2376</v>
      </c>
      <c r="G33" s="24" t="s">
        <v>724</v>
      </c>
      <c r="H33" s="24"/>
      <c r="I33" s="25">
        <v>45270000</v>
      </c>
      <c r="J33" s="26">
        <v>0</v>
      </c>
      <c r="K33" s="26">
        <v>0</v>
      </c>
    </row>
    <row r="34" spans="1:11" x14ac:dyDescent="0.25">
      <c r="A34" s="24" t="s">
        <v>2377</v>
      </c>
      <c r="B34" s="24">
        <v>9</v>
      </c>
      <c r="C34" s="24" t="s">
        <v>2378</v>
      </c>
      <c r="D34" s="24" t="s">
        <v>2379</v>
      </c>
      <c r="E34" s="24" t="s">
        <v>2380</v>
      </c>
      <c r="F34" s="24" t="s">
        <v>2381</v>
      </c>
      <c r="G34" s="24" t="s">
        <v>724</v>
      </c>
      <c r="H34" s="24"/>
      <c r="I34" s="25">
        <v>2637642</v>
      </c>
      <c r="J34" s="26">
        <v>0</v>
      </c>
      <c r="K34" s="26">
        <v>0</v>
      </c>
    </row>
    <row r="35" spans="1:11" x14ac:dyDescent="0.25">
      <c r="A35" s="24" t="s">
        <v>2382</v>
      </c>
      <c r="B35" s="24">
        <v>3</v>
      </c>
      <c r="C35" s="24" t="s">
        <v>2383</v>
      </c>
      <c r="D35" s="24" t="s">
        <v>2384</v>
      </c>
      <c r="E35" s="24" t="s">
        <v>2385</v>
      </c>
      <c r="F35" s="24" t="s">
        <v>2386</v>
      </c>
      <c r="G35" s="24" t="s">
        <v>724</v>
      </c>
      <c r="H35" s="24"/>
      <c r="I35" s="25">
        <v>36390823</v>
      </c>
      <c r="J35" s="26">
        <v>0</v>
      </c>
      <c r="K35" s="26">
        <v>0</v>
      </c>
    </row>
    <row r="36" spans="1:11" x14ac:dyDescent="0.25">
      <c r="A36" s="24" t="s">
        <v>2387</v>
      </c>
      <c r="B36" s="24">
        <v>0</v>
      </c>
      <c r="C36" s="24" t="s">
        <v>2388</v>
      </c>
      <c r="D36" s="24" t="s">
        <v>2389</v>
      </c>
      <c r="E36" s="24" t="s">
        <v>2390</v>
      </c>
      <c r="F36" s="24" t="s">
        <v>2391</v>
      </c>
      <c r="G36" s="24" t="s">
        <v>724</v>
      </c>
      <c r="H36" s="24"/>
      <c r="I36" s="25">
        <v>1329000</v>
      </c>
      <c r="J36" s="26">
        <v>0</v>
      </c>
      <c r="K36" s="26">
        <v>0</v>
      </c>
    </row>
    <row r="37" spans="1:11" x14ac:dyDescent="0.25">
      <c r="A37" s="24" t="s">
        <v>2392</v>
      </c>
      <c r="B37" s="24">
        <v>3</v>
      </c>
      <c r="C37" s="24" t="s">
        <v>2393</v>
      </c>
      <c r="D37" s="24" t="s">
        <v>2394</v>
      </c>
      <c r="E37" s="24" t="s">
        <v>2395</v>
      </c>
      <c r="F37" s="24" t="s">
        <v>2396</v>
      </c>
      <c r="G37" s="24" t="s">
        <v>724</v>
      </c>
      <c r="H37" s="24"/>
      <c r="I37" s="25">
        <v>309247</v>
      </c>
      <c r="J37" s="26">
        <v>0</v>
      </c>
      <c r="K37" s="26">
        <v>0</v>
      </c>
    </row>
    <row r="38" spans="1:11" x14ac:dyDescent="0.25">
      <c r="A38" s="24" t="s">
        <v>2397</v>
      </c>
      <c r="B38" s="24">
        <v>4</v>
      </c>
      <c r="C38" s="24" t="s">
        <v>2398</v>
      </c>
      <c r="D38" s="24" t="s">
        <v>2281</v>
      </c>
      <c r="E38" s="24" t="s">
        <v>2399</v>
      </c>
      <c r="F38" s="24" t="s">
        <v>2400</v>
      </c>
      <c r="G38" s="24" t="s">
        <v>724</v>
      </c>
      <c r="H38" s="24"/>
      <c r="I38" s="25">
        <v>1559000</v>
      </c>
      <c r="J38" s="26">
        <v>0</v>
      </c>
      <c r="K38" s="26">
        <v>0</v>
      </c>
    </row>
    <row r="39" spans="1:11" x14ac:dyDescent="0.25">
      <c r="A39" s="24" t="s">
        <v>2401</v>
      </c>
      <c r="B39" s="24">
        <v>5</v>
      </c>
      <c r="C39" s="24" t="s">
        <v>2402</v>
      </c>
      <c r="D39" s="24" t="s">
        <v>2403</v>
      </c>
      <c r="E39" s="24" t="s">
        <v>2404</v>
      </c>
      <c r="F39" s="24" t="s">
        <v>2405</v>
      </c>
      <c r="G39" s="24" t="s">
        <v>724</v>
      </c>
      <c r="H39" s="24"/>
      <c r="I39" s="25">
        <v>4720000</v>
      </c>
      <c r="J39" s="26">
        <v>0</v>
      </c>
      <c r="K39" s="26">
        <v>0</v>
      </c>
    </row>
    <row r="40" spans="1:11" x14ac:dyDescent="0.25">
      <c r="A40" s="24" t="s">
        <v>2406</v>
      </c>
      <c r="B40" s="24">
        <v>6</v>
      </c>
      <c r="C40" s="24" t="s">
        <v>2407</v>
      </c>
      <c r="D40" s="24" t="s">
        <v>2408</v>
      </c>
      <c r="E40" s="24" t="s">
        <v>2409</v>
      </c>
      <c r="F40" s="24" t="s">
        <v>2410</v>
      </c>
      <c r="G40" s="24" t="s">
        <v>724</v>
      </c>
      <c r="H40" s="24"/>
      <c r="I40" s="25">
        <v>6428572</v>
      </c>
      <c r="J40" s="26">
        <v>0</v>
      </c>
      <c r="K40" s="26">
        <v>0</v>
      </c>
    </row>
    <row r="41" spans="1:11" x14ac:dyDescent="0.25">
      <c r="A41" s="24" t="s">
        <v>2411</v>
      </c>
      <c r="B41" s="24">
        <v>0</v>
      </c>
      <c r="C41" s="24" t="s">
        <v>2412</v>
      </c>
      <c r="D41" s="24" t="s">
        <v>2413</v>
      </c>
      <c r="E41" s="24" t="s">
        <v>2414</v>
      </c>
      <c r="F41" s="24" t="s">
        <v>2415</v>
      </c>
      <c r="G41" s="24" t="s">
        <v>724</v>
      </c>
      <c r="H41" s="24"/>
      <c r="I41" s="25">
        <v>18962531</v>
      </c>
      <c r="J41" s="26">
        <v>0</v>
      </c>
      <c r="K41" s="26">
        <v>0</v>
      </c>
    </row>
    <row r="42" spans="1:11" x14ac:dyDescent="0.25">
      <c r="A42" s="24" t="s">
        <v>2416</v>
      </c>
      <c r="B42" s="24">
        <v>7</v>
      </c>
      <c r="C42" s="24" t="s">
        <v>2417</v>
      </c>
      <c r="D42" s="24" t="s">
        <v>2418</v>
      </c>
      <c r="E42" s="24" t="s">
        <v>2419</v>
      </c>
      <c r="F42" s="24" t="s">
        <v>2420</v>
      </c>
      <c r="G42" s="24" t="s">
        <v>724</v>
      </c>
      <c r="H42" s="24"/>
      <c r="I42" s="25">
        <v>476000</v>
      </c>
      <c r="J42" s="26">
        <v>0</v>
      </c>
      <c r="K42" s="26">
        <v>0</v>
      </c>
    </row>
    <row r="43" spans="1:11" x14ac:dyDescent="0.25">
      <c r="A43" s="24" t="s">
        <v>2421</v>
      </c>
      <c r="B43" s="24">
        <v>0</v>
      </c>
      <c r="C43" s="24" t="s">
        <v>2422</v>
      </c>
      <c r="D43" s="24" t="s">
        <v>2423</v>
      </c>
      <c r="E43" s="24" t="s">
        <v>2424</v>
      </c>
      <c r="F43" s="24" t="s">
        <v>2425</v>
      </c>
      <c r="G43" s="24" t="s">
        <v>724</v>
      </c>
      <c r="H43" s="24"/>
      <c r="I43" s="25">
        <v>33635309</v>
      </c>
      <c r="J43" s="26">
        <v>0</v>
      </c>
      <c r="K43" s="26">
        <v>0</v>
      </c>
    </row>
    <row r="44" spans="1:11" x14ac:dyDescent="0.25">
      <c r="A44" s="24" t="s">
        <v>2426</v>
      </c>
      <c r="B44" s="24">
        <v>5</v>
      </c>
      <c r="C44" s="24" t="s">
        <v>2427</v>
      </c>
      <c r="D44" s="24" t="s">
        <v>2428</v>
      </c>
      <c r="E44" s="24" t="s">
        <v>2429</v>
      </c>
      <c r="F44" s="24" t="s">
        <v>2430</v>
      </c>
      <c r="G44" s="24" t="s">
        <v>724</v>
      </c>
      <c r="H44" s="24"/>
      <c r="I44" s="25">
        <v>7860000</v>
      </c>
      <c r="J44" s="26">
        <v>0</v>
      </c>
      <c r="K44" s="26">
        <v>0</v>
      </c>
    </row>
    <row r="45" spans="1:11" x14ac:dyDescent="0.25">
      <c r="A45" s="24" t="s">
        <v>2431</v>
      </c>
      <c r="B45" s="24">
        <v>7</v>
      </c>
      <c r="C45" s="24" t="s">
        <v>2432</v>
      </c>
      <c r="D45" s="24" t="s">
        <v>2433</v>
      </c>
      <c r="E45" s="24" t="s">
        <v>2434</v>
      </c>
      <c r="F45" s="24" t="s">
        <v>2435</v>
      </c>
      <c r="G45" s="24" t="s">
        <v>724</v>
      </c>
      <c r="H45" s="24"/>
      <c r="I45" s="25">
        <v>4030000</v>
      </c>
      <c r="J45" s="26">
        <v>0</v>
      </c>
      <c r="K45" s="26">
        <v>0</v>
      </c>
    </row>
    <row r="46" spans="1:11" x14ac:dyDescent="0.25">
      <c r="A46" s="24" t="s">
        <v>2436</v>
      </c>
      <c r="B46" s="24">
        <v>3</v>
      </c>
      <c r="C46" s="24" t="s">
        <v>2437</v>
      </c>
      <c r="D46" s="24" t="s">
        <v>2438</v>
      </c>
      <c r="E46" s="24" t="s">
        <v>2439</v>
      </c>
      <c r="F46" s="24" t="s">
        <v>2440</v>
      </c>
      <c r="G46" s="24" t="s">
        <v>724</v>
      </c>
      <c r="H46" s="24"/>
      <c r="I46" s="25">
        <v>2236134</v>
      </c>
      <c r="J46" s="26">
        <v>0</v>
      </c>
      <c r="K46" s="26">
        <v>0</v>
      </c>
    </row>
    <row r="47" spans="1:11" x14ac:dyDescent="0.25">
      <c r="A47" s="24" t="s">
        <v>2441</v>
      </c>
      <c r="B47" s="24">
        <v>8</v>
      </c>
      <c r="C47" s="24" t="s">
        <v>2442</v>
      </c>
      <c r="D47" s="24" t="s">
        <v>2443</v>
      </c>
      <c r="E47" s="24" t="s">
        <v>2444</v>
      </c>
      <c r="F47" s="24" t="s">
        <v>2445</v>
      </c>
      <c r="G47" s="24" t="s">
        <v>724</v>
      </c>
      <c r="H47" s="24"/>
      <c r="I47" s="25">
        <v>11194000</v>
      </c>
      <c r="J47" s="26">
        <v>0</v>
      </c>
      <c r="K47" s="26">
        <v>0</v>
      </c>
    </row>
    <row r="48" spans="1:11" x14ac:dyDescent="0.25">
      <c r="A48" s="24" t="s">
        <v>2446</v>
      </c>
      <c r="B48" s="24">
        <v>9</v>
      </c>
      <c r="C48" s="24" t="s">
        <v>2447</v>
      </c>
      <c r="D48" s="24" t="s">
        <v>2448</v>
      </c>
      <c r="E48" s="24" t="s">
        <v>2449</v>
      </c>
      <c r="F48" s="24" t="s">
        <v>2450</v>
      </c>
      <c r="G48" s="24" t="s">
        <v>724</v>
      </c>
      <c r="H48" s="24"/>
      <c r="I48" s="25">
        <v>7488500</v>
      </c>
      <c r="J48" s="27"/>
      <c r="K48" s="26">
        <v>0</v>
      </c>
    </row>
    <row r="49" spans="1:11" x14ac:dyDescent="0.25">
      <c r="A49" s="24" t="s">
        <v>2451</v>
      </c>
      <c r="B49" s="24">
        <v>7</v>
      </c>
      <c r="C49" s="24" t="s">
        <v>2452</v>
      </c>
      <c r="D49" s="24" t="s">
        <v>2453</v>
      </c>
      <c r="E49" s="24" t="s">
        <v>2454</v>
      </c>
      <c r="F49" s="24" t="s">
        <v>2455</v>
      </c>
      <c r="G49" s="24" t="s">
        <v>724</v>
      </c>
      <c r="H49" s="24"/>
      <c r="I49" s="25">
        <v>88235</v>
      </c>
      <c r="J49" s="26">
        <v>0</v>
      </c>
      <c r="K49" s="26">
        <v>0</v>
      </c>
    </row>
    <row r="50" spans="1:11" x14ac:dyDescent="0.25">
      <c r="A50" s="24" t="s">
        <v>2456</v>
      </c>
      <c r="B50" s="24">
        <v>3</v>
      </c>
      <c r="C50" s="24" t="s">
        <v>2457</v>
      </c>
      <c r="D50" s="24" t="s">
        <v>2458</v>
      </c>
      <c r="E50" s="24" t="s">
        <v>2459</v>
      </c>
      <c r="F50" s="24" t="s">
        <v>2460</v>
      </c>
      <c r="G50" s="24" t="s">
        <v>724</v>
      </c>
      <c r="H50" s="24"/>
      <c r="I50" s="25">
        <v>8657947</v>
      </c>
      <c r="J50" s="26">
        <v>0</v>
      </c>
      <c r="K50" s="26">
        <v>0</v>
      </c>
    </row>
    <row r="51" spans="1:11" x14ac:dyDescent="0.25">
      <c r="A51" s="24" t="s">
        <v>2461</v>
      </c>
      <c r="B51" s="24">
        <v>2</v>
      </c>
      <c r="C51" s="24" t="s">
        <v>2462</v>
      </c>
      <c r="D51" s="24" t="s">
        <v>2463</v>
      </c>
      <c r="E51" s="24" t="s">
        <v>2464</v>
      </c>
      <c r="F51" s="24" t="s">
        <v>2465</v>
      </c>
      <c r="G51" s="24" t="s">
        <v>724</v>
      </c>
      <c r="H51" s="24"/>
      <c r="I51" s="25">
        <v>210000</v>
      </c>
      <c r="J51" s="26">
        <v>0</v>
      </c>
      <c r="K51" s="26">
        <v>0</v>
      </c>
    </row>
    <row r="52" spans="1:11" x14ac:dyDescent="0.25">
      <c r="A52" s="24" t="s">
        <v>2466</v>
      </c>
      <c r="B52" s="24">
        <v>7</v>
      </c>
      <c r="C52" s="24" t="s">
        <v>2467</v>
      </c>
      <c r="D52" s="24" t="s">
        <v>2468</v>
      </c>
      <c r="E52" s="24" t="s">
        <v>2252</v>
      </c>
      <c r="F52" s="24" t="s">
        <v>2469</v>
      </c>
      <c r="G52" s="24" t="s">
        <v>724</v>
      </c>
      <c r="H52" s="24"/>
      <c r="I52" s="25">
        <v>3065835</v>
      </c>
      <c r="J52" s="26">
        <v>0</v>
      </c>
      <c r="K52" s="26">
        <v>0</v>
      </c>
    </row>
    <row r="53" spans="1:11" x14ac:dyDescent="0.25">
      <c r="A53" s="24" t="s">
        <v>2470</v>
      </c>
      <c r="B53" s="24">
        <v>1</v>
      </c>
      <c r="C53" s="24" t="s">
        <v>2471</v>
      </c>
      <c r="D53" s="24" t="s">
        <v>2472</v>
      </c>
      <c r="E53" s="24" t="s">
        <v>2473</v>
      </c>
      <c r="F53" s="24" t="s">
        <v>2474</v>
      </c>
      <c r="G53" s="24" t="s">
        <v>724</v>
      </c>
      <c r="H53" s="24"/>
      <c r="I53" s="25">
        <v>20000</v>
      </c>
      <c r="J53" s="26">
        <v>0</v>
      </c>
      <c r="K53" s="26">
        <v>0</v>
      </c>
    </row>
    <row r="54" spans="1:11" x14ac:dyDescent="0.25">
      <c r="A54" s="24" t="s">
        <v>2475</v>
      </c>
      <c r="B54" s="24">
        <v>6</v>
      </c>
      <c r="C54" s="24" t="s">
        <v>2476</v>
      </c>
      <c r="D54" s="24" t="s">
        <v>2477</v>
      </c>
      <c r="E54" s="24" t="s">
        <v>2478</v>
      </c>
      <c r="F54" s="24" t="s">
        <v>2479</v>
      </c>
      <c r="G54" s="24" t="s">
        <v>724</v>
      </c>
      <c r="H54" s="24"/>
      <c r="I54" s="25">
        <v>4350000</v>
      </c>
      <c r="J54" s="26">
        <v>0</v>
      </c>
      <c r="K54" s="26">
        <v>0</v>
      </c>
    </row>
    <row r="55" spans="1:11" x14ac:dyDescent="0.25">
      <c r="A55" s="24" t="s">
        <v>2480</v>
      </c>
      <c r="B55" s="24">
        <v>7</v>
      </c>
      <c r="C55" s="24" t="s">
        <v>2481</v>
      </c>
      <c r="D55" s="24" t="s">
        <v>2482</v>
      </c>
      <c r="E55" s="24" t="s">
        <v>2483</v>
      </c>
      <c r="F55" s="24" t="s">
        <v>2484</v>
      </c>
      <c r="G55" s="24" t="s">
        <v>724</v>
      </c>
      <c r="H55" s="24"/>
      <c r="I55" s="25">
        <v>691040</v>
      </c>
      <c r="J55" s="26">
        <v>0</v>
      </c>
      <c r="K55" s="26">
        <v>0</v>
      </c>
    </row>
    <row r="56" spans="1:11" x14ac:dyDescent="0.25">
      <c r="A56" s="24" t="s">
        <v>2485</v>
      </c>
      <c r="B56" s="24">
        <v>4</v>
      </c>
      <c r="C56" s="24" t="s">
        <v>2486</v>
      </c>
      <c r="D56" s="24" t="s">
        <v>2487</v>
      </c>
      <c r="E56" s="24" t="s">
        <v>2488</v>
      </c>
      <c r="F56" s="24" t="s">
        <v>2489</v>
      </c>
      <c r="G56" s="24" t="s">
        <v>724</v>
      </c>
      <c r="H56" s="24"/>
      <c r="I56" s="25">
        <v>2420000</v>
      </c>
      <c r="J56" s="26">
        <v>0</v>
      </c>
      <c r="K56" s="26">
        <v>0</v>
      </c>
    </row>
    <row r="57" spans="1:11" x14ac:dyDescent="0.25">
      <c r="A57" s="24" t="s">
        <v>2490</v>
      </c>
      <c r="B57" s="24">
        <v>1</v>
      </c>
      <c r="C57" s="24" t="s">
        <v>2491</v>
      </c>
      <c r="D57" s="24" t="s">
        <v>2256</v>
      </c>
      <c r="E57" s="24" t="s">
        <v>2492</v>
      </c>
      <c r="F57" s="24" t="s">
        <v>2493</v>
      </c>
      <c r="G57" s="24" t="s">
        <v>724</v>
      </c>
      <c r="H57" s="24"/>
      <c r="I57" s="25">
        <v>770000</v>
      </c>
      <c r="J57" s="26">
        <v>0</v>
      </c>
      <c r="K57" s="26">
        <v>0</v>
      </c>
    </row>
    <row r="58" spans="1:11" x14ac:dyDescent="0.25">
      <c r="A58" s="24" t="s">
        <v>2494</v>
      </c>
      <c r="B58" s="24">
        <v>1</v>
      </c>
      <c r="C58" s="24" t="s">
        <v>2495</v>
      </c>
      <c r="D58" s="24" t="s">
        <v>2496</v>
      </c>
      <c r="E58" s="24" t="s">
        <v>2497</v>
      </c>
      <c r="F58" s="24" t="s">
        <v>2498</v>
      </c>
      <c r="G58" s="24" t="s">
        <v>724</v>
      </c>
      <c r="H58" s="24"/>
      <c r="I58" s="25">
        <v>7168000</v>
      </c>
      <c r="J58" s="26">
        <v>0</v>
      </c>
      <c r="K58" s="26">
        <v>0</v>
      </c>
    </row>
    <row r="59" spans="1:11" x14ac:dyDescent="0.25">
      <c r="A59" s="24" t="s">
        <v>2499</v>
      </c>
      <c r="B59" s="24">
        <v>7</v>
      </c>
      <c r="C59" s="24" t="s">
        <v>2500</v>
      </c>
      <c r="D59" s="24" t="s">
        <v>2501</v>
      </c>
      <c r="E59" s="24" t="s">
        <v>2502</v>
      </c>
      <c r="F59" s="24" t="s">
        <v>2503</v>
      </c>
      <c r="G59" s="24" t="s">
        <v>724</v>
      </c>
      <c r="H59" s="24"/>
      <c r="I59" s="25">
        <v>2650000</v>
      </c>
      <c r="J59" s="26">
        <v>0</v>
      </c>
      <c r="K59" s="26">
        <v>0</v>
      </c>
    </row>
    <row r="60" spans="1:11" x14ac:dyDescent="0.25">
      <c r="A60" s="24" t="s">
        <v>2504</v>
      </c>
      <c r="B60" s="24">
        <v>4</v>
      </c>
      <c r="C60" s="24" t="s">
        <v>2505</v>
      </c>
      <c r="D60" s="24" t="s">
        <v>2506</v>
      </c>
      <c r="E60" s="24" t="s">
        <v>2507</v>
      </c>
      <c r="F60" s="24" t="s">
        <v>2508</v>
      </c>
      <c r="G60" s="24" t="s">
        <v>724</v>
      </c>
      <c r="H60" s="24"/>
      <c r="I60" s="25">
        <v>1248600</v>
      </c>
      <c r="J60" s="26">
        <v>0</v>
      </c>
      <c r="K60" s="26">
        <v>0</v>
      </c>
    </row>
    <row r="61" spans="1:11" x14ac:dyDescent="0.25">
      <c r="A61" s="24" t="s">
        <v>2509</v>
      </c>
      <c r="B61" s="24">
        <v>1</v>
      </c>
      <c r="C61" s="24" t="s">
        <v>2510</v>
      </c>
      <c r="D61" s="24" t="s">
        <v>2511</v>
      </c>
      <c r="E61" s="24" t="s">
        <v>2512</v>
      </c>
      <c r="F61" s="24" t="s">
        <v>2513</v>
      </c>
      <c r="G61" s="24" t="s">
        <v>724</v>
      </c>
      <c r="H61" s="24"/>
      <c r="I61" s="25">
        <v>647900</v>
      </c>
      <c r="J61" s="26">
        <v>0</v>
      </c>
      <c r="K61" s="26">
        <v>0</v>
      </c>
    </row>
    <row r="62" spans="1:11" x14ac:dyDescent="0.25">
      <c r="A62" s="24" t="s">
        <v>2514</v>
      </c>
      <c r="B62" s="24">
        <v>8</v>
      </c>
      <c r="C62" s="24" t="s">
        <v>2515</v>
      </c>
      <c r="D62" s="24" t="s">
        <v>2281</v>
      </c>
      <c r="E62" s="24" t="s">
        <v>2516</v>
      </c>
      <c r="F62" s="24" t="s">
        <v>2517</v>
      </c>
      <c r="G62" s="24" t="s">
        <v>724</v>
      </c>
      <c r="H62" s="24"/>
      <c r="I62" s="25">
        <v>380000</v>
      </c>
      <c r="J62" s="26">
        <v>0</v>
      </c>
      <c r="K62" s="26">
        <v>0</v>
      </c>
    </row>
    <row r="63" spans="1:11" x14ac:dyDescent="0.25">
      <c r="A63" s="24" t="s">
        <v>2518</v>
      </c>
      <c r="B63" s="24">
        <v>4</v>
      </c>
      <c r="C63" s="24" t="s">
        <v>2519</v>
      </c>
      <c r="D63" s="24" t="s">
        <v>2520</v>
      </c>
      <c r="E63" s="24" t="s">
        <v>2521</v>
      </c>
      <c r="F63" s="24" t="s">
        <v>2522</v>
      </c>
      <c r="G63" s="24" t="s">
        <v>724</v>
      </c>
      <c r="H63" s="24"/>
      <c r="I63" s="25">
        <v>278000</v>
      </c>
      <c r="J63" s="26">
        <v>0</v>
      </c>
      <c r="K63" s="26">
        <v>0</v>
      </c>
    </row>
    <row r="64" spans="1:11" x14ac:dyDescent="0.25">
      <c r="A64" s="24" t="s">
        <v>2523</v>
      </c>
      <c r="B64" s="24">
        <v>5</v>
      </c>
      <c r="C64" s="24" t="s">
        <v>2524</v>
      </c>
      <c r="D64" s="24" t="s">
        <v>2525</v>
      </c>
      <c r="E64" s="24" t="s">
        <v>2526</v>
      </c>
      <c r="F64" s="24" t="s">
        <v>2527</v>
      </c>
      <c r="G64" s="24" t="s">
        <v>724</v>
      </c>
      <c r="H64" s="24"/>
      <c r="I64" s="25">
        <v>346000</v>
      </c>
      <c r="J64" s="26">
        <v>0</v>
      </c>
      <c r="K64" s="26">
        <v>0</v>
      </c>
    </row>
    <row r="65" spans="1:11" x14ac:dyDescent="0.25">
      <c r="A65" s="24" t="s">
        <v>2528</v>
      </c>
      <c r="B65" s="24">
        <v>3</v>
      </c>
      <c r="C65" s="24" t="s">
        <v>2529</v>
      </c>
      <c r="D65" s="24" t="s">
        <v>2530</v>
      </c>
      <c r="E65" s="24" t="s">
        <v>2531</v>
      </c>
      <c r="F65" s="24" t="s">
        <v>2532</v>
      </c>
      <c r="G65" s="24" t="s">
        <v>724</v>
      </c>
      <c r="H65" s="24"/>
      <c r="I65" s="25">
        <v>39041900</v>
      </c>
      <c r="J65" s="26">
        <v>0</v>
      </c>
      <c r="K65" s="26">
        <v>0</v>
      </c>
    </row>
    <row r="66" spans="1:11" x14ac:dyDescent="0.25">
      <c r="A66" s="24" t="s">
        <v>2533</v>
      </c>
      <c r="B66" s="24">
        <v>3</v>
      </c>
      <c r="C66" s="24" t="s">
        <v>2534</v>
      </c>
      <c r="D66" s="24" t="s">
        <v>2535</v>
      </c>
      <c r="E66" s="24" t="s">
        <v>2536</v>
      </c>
      <c r="F66" s="24" t="s">
        <v>2537</v>
      </c>
      <c r="G66" s="24" t="s">
        <v>724</v>
      </c>
      <c r="H66" s="24"/>
      <c r="I66" s="25">
        <v>10054190</v>
      </c>
      <c r="J66" s="26">
        <v>0</v>
      </c>
      <c r="K66" s="26">
        <v>0</v>
      </c>
    </row>
    <row r="67" spans="1:11" x14ac:dyDescent="0.25">
      <c r="A67" s="24" t="s">
        <v>2538</v>
      </c>
      <c r="B67" s="24">
        <v>7</v>
      </c>
      <c r="C67" s="24" t="s">
        <v>2539</v>
      </c>
      <c r="D67" s="24" t="s">
        <v>2540</v>
      </c>
      <c r="E67" s="24" t="s">
        <v>2541</v>
      </c>
      <c r="F67" s="24" t="s">
        <v>2542</v>
      </c>
      <c r="G67" s="24" t="s">
        <v>724</v>
      </c>
      <c r="H67" s="24"/>
      <c r="I67" s="25">
        <v>32511777</v>
      </c>
      <c r="J67" s="26">
        <v>0</v>
      </c>
      <c r="K67" s="26">
        <v>0</v>
      </c>
    </row>
    <row r="68" spans="1:11" x14ac:dyDescent="0.25">
      <c r="A68" s="24" t="s">
        <v>2543</v>
      </c>
      <c r="B68" s="24">
        <v>8</v>
      </c>
      <c r="C68" s="24" t="s">
        <v>2544</v>
      </c>
      <c r="D68" s="24" t="s">
        <v>2545</v>
      </c>
      <c r="E68" s="24" t="s">
        <v>2546</v>
      </c>
      <c r="F68" s="24" t="s">
        <v>2547</v>
      </c>
      <c r="G68" s="24" t="s">
        <v>724</v>
      </c>
      <c r="H68" s="24"/>
      <c r="I68" s="25">
        <v>21198140</v>
      </c>
      <c r="J68" s="26">
        <v>0</v>
      </c>
      <c r="K68" s="26">
        <v>0</v>
      </c>
    </row>
    <row r="69" spans="1:11" x14ac:dyDescent="0.25">
      <c r="A69" s="24" t="s">
        <v>2548</v>
      </c>
      <c r="B69" s="24">
        <v>6</v>
      </c>
      <c r="C69" s="24" t="s">
        <v>2549</v>
      </c>
      <c r="D69" s="24" t="s">
        <v>2550</v>
      </c>
      <c r="E69" s="24" t="s">
        <v>2551</v>
      </c>
      <c r="F69" s="24" t="s">
        <v>2552</v>
      </c>
      <c r="G69" s="24" t="s">
        <v>724</v>
      </c>
      <c r="H69" s="24"/>
      <c r="I69" s="25">
        <v>17534872</v>
      </c>
      <c r="J69" s="26">
        <v>0</v>
      </c>
      <c r="K69" s="26">
        <v>0</v>
      </c>
    </row>
    <row r="70" spans="1:11" x14ac:dyDescent="0.25">
      <c r="A70" s="24" t="s">
        <v>2553</v>
      </c>
      <c r="B70" s="24">
        <v>4</v>
      </c>
      <c r="C70" s="24" t="s">
        <v>2554</v>
      </c>
      <c r="D70" s="24" t="s">
        <v>2555</v>
      </c>
      <c r="E70" s="24" t="s">
        <v>2556</v>
      </c>
      <c r="F70" s="24" t="s">
        <v>2557</v>
      </c>
      <c r="G70" s="24" t="s">
        <v>724</v>
      </c>
      <c r="H70" s="24"/>
      <c r="I70" s="25">
        <v>2460924</v>
      </c>
      <c r="J70" s="26">
        <v>0</v>
      </c>
      <c r="K70" s="26">
        <v>150000</v>
      </c>
    </row>
    <row r="71" spans="1:11" x14ac:dyDescent="0.25">
      <c r="A71" s="24">
        <v>222222222</v>
      </c>
      <c r="B71" s="24">
        <v>4</v>
      </c>
      <c r="C71" s="24" t="s">
        <v>2558</v>
      </c>
      <c r="D71" s="24" t="s">
        <v>2559</v>
      </c>
      <c r="E71" s="24" t="s">
        <v>2252</v>
      </c>
      <c r="F71" s="24" t="s">
        <v>2560</v>
      </c>
      <c r="G71" s="24" t="s">
        <v>724</v>
      </c>
      <c r="H71" s="24"/>
      <c r="I71" s="25">
        <v>54605204</v>
      </c>
      <c r="J71" s="26">
        <v>0</v>
      </c>
      <c r="K71" s="26">
        <v>0</v>
      </c>
    </row>
    <row r="72" spans="1:11" x14ac:dyDescent="0.25">
      <c r="A72" s="24" t="s">
        <v>2561</v>
      </c>
      <c r="B72" s="24">
        <v>7</v>
      </c>
      <c r="C72" s="24" t="s">
        <v>2562</v>
      </c>
      <c r="D72" s="24" t="s">
        <v>2327</v>
      </c>
      <c r="E72" s="24" t="s">
        <v>2563</v>
      </c>
      <c r="F72" s="24" t="s">
        <v>2564</v>
      </c>
      <c r="G72" s="24" t="s">
        <v>724</v>
      </c>
      <c r="H72" s="24"/>
      <c r="I72" s="25">
        <v>1105044</v>
      </c>
      <c r="J72" s="26">
        <v>0</v>
      </c>
      <c r="K72" s="26">
        <v>0</v>
      </c>
    </row>
    <row r="73" spans="1:11" x14ac:dyDescent="0.25">
      <c r="A73" s="24" t="s">
        <v>2565</v>
      </c>
      <c r="B73" s="24">
        <v>8</v>
      </c>
      <c r="C73" s="24" t="s">
        <v>2566</v>
      </c>
      <c r="D73" s="24" t="s">
        <v>2567</v>
      </c>
      <c r="E73" s="24" t="s">
        <v>2568</v>
      </c>
      <c r="F73" s="24" t="s">
        <v>2569</v>
      </c>
      <c r="G73" s="24" t="s">
        <v>724</v>
      </c>
      <c r="H73" s="24"/>
      <c r="I73" s="25">
        <v>1917315</v>
      </c>
      <c r="J73" s="26">
        <v>0</v>
      </c>
      <c r="K73" s="26">
        <v>0</v>
      </c>
    </row>
    <row r="74" spans="1:11" x14ac:dyDescent="0.25">
      <c r="A74" s="24" t="s">
        <v>2570</v>
      </c>
      <c r="B74" s="24">
        <v>9</v>
      </c>
      <c r="C74" s="24" t="s">
        <v>2571</v>
      </c>
      <c r="D74" s="24" t="s">
        <v>2572</v>
      </c>
      <c r="E74" s="24" t="s">
        <v>2573</v>
      </c>
      <c r="F74" s="24" t="s">
        <v>2574</v>
      </c>
      <c r="G74" s="24" t="s">
        <v>724</v>
      </c>
      <c r="H74" s="24"/>
      <c r="I74" s="25">
        <v>30164232</v>
      </c>
      <c r="J74" s="26">
        <v>0</v>
      </c>
      <c r="K74" s="26">
        <v>0</v>
      </c>
    </row>
    <row r="75" spans="1:11" x14ac:dyDescent="0.25">
      <c r="A75" s="24" t="s">
        <v>2575</v>
      </c>
      <c r="B75" s="24">
        <v>4</v>
      </c>
      <c r="C75" s="24" t="s">
        <v>2576</v>
      </c>
      <c r="D75" s="24" t="s">
        <v>2577</v>
      </c>
      <c r="E75" s="24" t="s">
        <v>2252</v>
      </c>
      <c r="F75" s="24" t="s">
        <v>2578</v>
      </c>
      <c r="G75" s="24" t="s">
        <v>724</v>
      </c>
      <c r="H75" s="24"/>
      <c r="I75" s="25">
        <v>4949580</v>
      </c>
      <c r="J75" s="26">
        <v>0</v>
      </c>
      <c r="K75" s="26">
        <v>0</v>
      </c>
    </row>
    <row r="76" spans="1:11" x14ac:dyDescent="0.25">
      <c r="A76" s="24" t="s">
        <v>2579</v>
      </c>
      <c r="B76" s="24">
        <v>3</v>
      </c>
      <c r="C76" s="24" t="s">
        <v>2580</v>
      </c>
      <c r="D76" s="24" t="s">
        <v>2314</v>
      </c>
      <c r="E76" s="24" t="s">
        <v>2252</v>
      </c>
      <c r="F76" s="24" t="s">
        <v>2581</v>
      </c>
      <c r="G76" s="24" t="s">
        <v>724</v>
      </c>
      <c r="H76" s="24"/>
      <c r="I76" s="25">
        <v>12515800</v>
      </c>
      <c r="J76" s="26">
        <v>0</v>
      </c>
      <c r="K76" s="26">
        <v>12515800</v>
      </c>
    </row>
    <row r="77" spans="1:11" x14ac:dyDescent="0.25">
      <c r="A77" s="24" t="s">
        <v>2582</v>
      </c>
      <c r="B77" s="24">
        <v>6</v>
      </c>
      <c r="C77" s="24" t="s">
        <v>2583</v>
      </c>
      <c r="D77" s="24" t="s">
        <v>2584</v>
      </c>
      <c r="E77" s="24" t="s">
        <v>2585</v>
      </c>
      <c r="F77" s="24" t="s">
        <v>2586</v>
      </c>
      <c r="G77" s="24" t="s">
        <v>724</v>
      </c>
      <c r="H77" s="24"/>
      <c r="I77" s="25">
        <v>2575000</v>
      </c>
      <c r="J77" s="26">
        <v>0</v>
      </c>
      <c r="K77" s="26">
        <v>0</v>
      </c>
    </row>
    <row r="78" spans="1:11" x14ac:dyDescent="0.25">
      <c r="A78" s="24" t="s">
        <v>2587</v>
      </c>
      <c r="B78" s="24">
        <v>3</v>
      </c>
      <c r="C78" s="24" t="s">
        <v>2588</v>
      </c>
      <c r="D78" s="24" t="s">
        <v>2589</v>
      </c>
      <c r="E78" s="24" t="s">
        <v>2590</v>
      </c>
      <c r="F78" s="24" t="s">
        <v>2591</v>
      </c>
      <c r="G78" s="24" t="s">
        <v>724</v>
      </c>
      <c r="H78" s="24"/>
      <c r="I78" s="25">
        <v>1060000</v>
      </c>
      <c r="J78" s="26">
        <v>0</v>
      </c>
      <c r="K78" s="26">
        <v>0</v>
      </c>
    </row>
    <row r="79" spans="1:11" x14ac:dyDescent="0.25">
      <c r="A79" s="24" t="s">
        <v>2592</v>
      </c>
      <c r="B79" s="24">
        <v>7</v>
      </c>
      <c r="C79" s="24" t="s">
        <v>2593</v>
      </c>
      <c r="D79" s="24" t="s">
        <v>2594</v>
      </c>
      <c r="E79" s="24" t="s">
        <v>2595</v>
      </c>
      <c r="F79" s="24" t="s">
        <v>2596</v>
      </c>
      <c r="G79" s="24" t="s">
        <v>724</v>
      </c>
      <c r="H79" s="24"/>
      <c r="I79" s="25">
        <v>360000</v>
      </c>
      <c r="J79" s="26">
        <v>0</v>
      </c>
      <c r="K79" s="26">
        <v>0</v>
      </c>
    </row>
    <row r="80" spans="1:11" x14ac:dyDescent="0.25">
      <c r="A80" s="24" t="s">
        <v>2597</v>
      </c>
      <c r="B80" s="24">
        <v>1</v>
      </c>
      <c r="C80" s="24" t="s">
        <v>2598</v>
      </c>
      <c r="D80" s="24" t="s">
        <v>2599</v>
      </c>
      <c r="E80" s="24" t="s">
        <v>2600</v>
      </c>
      <c r="F80" s="24" t="s">
        <v>2601</v>
      </c>
      <c r="G80" s="24" t="s">
        <v>724</v>
      </c>
      <c r="H80" s="24"/>
      <c r="I80" s="25">
        <v>11512000</v>
      </c>
      <c r="J80" s="26">
        <v>0</v>
      </c>
      <c r="K80" s="26">
        <v>0</v>
      </c>
    </row>
    <row r="81" spans="1:11" x14ac:dyDescent="0.25">
      <c r="A81" s="24" t="s">
        <v>2602</v>
      </c>
      <c r="B81" s="24">
        <v>5</v>
      </c>
      <c r="C81" s="24" t="s">
        <v>2603</v>
      </c>
      <c r="D81" s="24" t="s">
        <v>2604</v>
      </c>
      <c r="E81" s="24" t="s">
        <v>2605</v>
      </c>
      <c r="F81" s="24" t="s">
        <v>2606</v>
      </c>
      <c r="G81" s="24" t="s">
        <v>724</v>
      </c>
      <c r="H81" s="24"/>
      <c r="I81" s="25">
        <v>8648252</v>
      </c>
      <c r="J81" s="26">
        <v>0</v>
      </c>
      <c r="K81" s="26">
        <v>0</v>
      </c>
    </row>
    <row r="82" spans="1:11" x14ac:dyDescent="0.25">
      <c r="A82" s="24" t="s">
        <v>2607</v>
      </c>
      <c r="B82" s="24">
        <v>4</v>
      </c>
      <c r="C82" s="24" t="s">
        <v>2608</v>
      </c>
      <c r="D82" s="24" t="s">
        <v>2609</v>
      </c>
      <c r="E82" s="24" t="s">
        <v>2610</v>
      </c>
      <c r="F82" s="24" t="s">
        <v>2611</v>
      </c>
      <c r="G82" s="24" t="s">
        <v>724</v>
      </c>
      <c r="H82" s="24"/>
      <c r="I82" s="25">
        <f>76592648+126472</f>
        <v>76719120</v>
      </c>
      <c r="J82" s="26">
        <v>0</v>
      </c>
      <c r="K82" s="26">
        <v>0</v>
      </c>
    </row>
    <row r="83" spans="1:11" x14ac:dyDescent="0.25">
      <c r="A83" s="24" t="s">
        <v>2612</v>
      </c>
      <c r="B83" s="24">
        <v>0</v>
      </c>
      <c r="C83" s="24" t="s">
        <v>2613</v>
      </c>
      <c r="D83" s="24" t="s">
        <v>2614</v>
      </c>
      <c r="E83" s="24" t="s">
        <v>2615</v>
      </c>
      <c r="F83" s="24" t="s">
        <v>2616</v>
      </c>
      <c r="G83" s="24" t="s">
        <v>724</v>
      </c>
      <c r="H83" s="24"/>
      <c r="I83" s="25">
        <v>1442399</v>
      </c>
      <c r="J83" s="26">
        <v>0</v>
      </c>
      <c r="K83" s="26">
        <v>0</v>
      </c>
    </row>
    <row r="84" spans="1:11" x14ac:dyDescent="0.25">
      <c r="A84" s="24" t="s">
        <v>2617</v>
      </c>
      <c r="B84" s="24">
        <v>1</v>
      </c>
      <c r="C84" s="24" t="s">
        <v>2618</v>
      </c>
      <c r="D84" s="24" t="s">
        <v>2619</v>
      </c>
      <c r="E84" s="24" t="s">
        <v>2252</v>
      </c>
      <c r="F84" s="24" t="s">
        <v>2620</v>
      </c>
      <c r="G84" s="24" t="s">
        <v>724</v>
      </c>
      <c r="H84" s="24"/>
      <c r="I84" s="25">
        <v>8862630</v>
      </c>
      <c r="J84" s="26">
        <v>0</v>
      </c>
      <c r="K84" s="26">
        <v>0</v>
      </c>
    </row>
    <row r="85" spans="1:11" x14ac:dyDescent="0.25">
      <c r="A85" s="24" t="s">
        <v>2621</v>
      </c>
      <c r="B85" s="24">
        <v>2</v>
      </c>
      <c r="C85" s="24" t="s">
        <v>2622</v>
      </c>
      <c r="D85" s="24" t="s">
        <v>2623</v>
      </c>
      <c r="E85" s="24" t="s">
        <v>2624</v>
      </c>
      <c r="F85" s="24" t="s">
        <v>2625</v>
      </c>
      <c r="G85" s="24" t="s">
        <v>342</v>
      </c>
      <c r="H85" s="24"/>
      <c r="I85" s="25">
        <v>20797926</v>
      </c>
      <c r="J85" s="26">
        <v>0</v>
      </c>
      <c r="K85" s="26">
        <v>0</v>
      </c>
    </row>
    <row r="86" spans="1:11" x14ac:dyDescent="0.25">
      <c r="A86" s="24" t="s">
        <v>2626</v>
      </c>
      <c r="B86" s="24">
        <v>1</v>
      </c>
      <c r="C86" s="24" t="s">
        <v>2627</v>
      </c>
      <c r="D86" s="24" t="s">
        <v>2628</v>
      </c>
      <c r="E86" s="24" t="s">
        <v>2629</v>
      </c>
      <c r="F86" s="24" t="s">
        <v>2630</v>
      </c>
      <c r="G86" s="24" t="s">
        <v>338</v>
      </c>
      <c r="H86" s="24"/>
      <c r="I86" s="25">
        <v>17677204</v>
      </c>
      <c r="J86" s="26">
        <v>0</v>
      </c>
      <c r="K86" s="26">
        <v>0</v>
      </c>
    </row>
    <row r="87" spans="1:11" x14ac:dyDescent="0.25">
      <c r="A87" s="24" t="s">
        <v>2631</v>
      </c>
      <c r="B87" s="24">
        <v>3</v>
      </c>
      <c r="C87" s="24" t="s">
        <v>2632</v>
      </c>
      <c r="D87" s="24" t="s">
        <v>2633</v>
      </c>
      <c r="E87" s="24" t="s">
        <v>2634</v>
      </c>
      <c r="F87" s="24" t="s">
        <v>2635</v>
      </c>
      <c r="G87" s="24" t="s">
        <v>409</v>
      </c>
      <c r="H87" s="24"/>
      <c r="I87" s="25">
        <v>3480000</v>
      </c>
      <c r="J87" s="26">
        <v>0</v>
      </c>
      <c r="K87" s="26">
        <v>0</v>
      </c>
    </row>
    <row r="88" spans="1:11" x14ac:dyDescent="0.25">
      <c r="A88" s="24" t="s">
        <v>2636</v>
      </c>
      <c r="B88" s="24">
        <v>0</v>
      </c>
      <c r="C88" s="24" t="s">
        <v>2637</v>
      </c>
      <c r="D88" s="24" t="s">
        <v>2638</v>
      </c>
      <c r="E88" s="24" t="s">
        <v>2639</v>
      </c>
      <c r="F88" s="24" t="s">
        <v>2640</v>
      </c>
      <c r="G88" s="24" t="s">
        <v>409</v>
      </c>
      <c r="H88" s="24"/>
      <c r="I88" s="25">
        <v>3589500</v>
      </c>
      <c r="J88" s="26">
        <v>0</v>
      </c>
      <c r="K88" s="26">
        <v>0</v>
      </c>
    </row>
    <row r="89" spans="1:11" x14ac:dyDescent="0.25">
      <c r="A89" s="24" t="s">
        <v>2641</v>
      </c>
      <c r="B89" s="24">
        <v>0</v>
      </c>
      <c r="C89" s="24" t="s">
        <v>2642</v>
      </c>
      <c r="D89" s="24" t="s">
        <v>2281</v>
      </c>
      <c r="E89" s="24" t="s">
        <v>2643</v>
      </c>
      <c r="F89" s="24" t="s">
        <v>2644</v>
      </c>
      <c r="G89" s="24" t="s">
        <v>409</v>
      </c>
      <c r="H89" s="24"/>
      <c r="I89" s="25">
        <v>60000</v>
      </c>
      <c r="J89" s="26">
        <v>0</v>
      </c>
      <c r="K89" s="26">
        <v>0</v>
      </c>
    </row>
    <row r="90" spans="1:11" x14ac:dyDescent="0.25">
      <c r="A90" s="24" t="s">
        <v>2645</v>
      </c>
      <c r="B90" s="24">
        <v>2</v>
      </c>
      <c r="C90" s="24" t="s">
        <v>2646</v>
      </c>
      <c r="D90" s="24" t="s">
        <v>2281</v>
      </c>
      <c r="E90" s="24" t="s">
        <v>2252</v>
      </c>
      <c r="F90" s="24" t="s">
        <v>2647</v>
      </c>
      <c r="G90" s="24" t="s">
        <v>409</v>
      </c>
      <c r="H90" s="24"/>
      <c r="I90" s="25">
        <v>2440000</v>
      </c>
      <c r="J90" s="26">
        <v>0</v>
      </c>
      <c r="K90" s="26">
        <v>0</v>
      </c>
    </row>
    <row r="91" spans="1:11" x14ac:dyDescent="0.25">
      <c r="A91" s="24" t="s">
        <v>2648</v>
      </c>
      <c r="B91" s="24">
        <v>7</v>
      </c>
      <c r="C91" s="24" t="s">
        <v>2649</v>
      </c>
      <c r="D91" s="24" t="s">
        <v>2650</v>
      </c>
      <c r="E91" s="24" t="s">
        <v>2651</v>
      </c>
      <c r="F91" s="24" t="s">
        <v>2652</v>
      </c>
      <c r="G91" s="24" t="s">
        <v>409</v>
      </c>
      <c r="H91" s="24"/>
      <c r="I91" s="25">
        <v>3724000</v>
      </c>
      <c r="J91" s="26">
        <v>0</v>
      </c>
      <c r="K91" s="26">
        <v>0</v>
      </c>
    </row>
    <row r="92" spans="1:11" x14ac:dyDescent="0.25">
      <c r="A92" s="24" t="s">
        <v>2653</v>
      </c>
      <c r="B92" s="24">
        <v>8</v>
      </c>
      <c r="C92" s="24" t="s">
        <v>2654</v>
      </c>
      <c r="D92" s="24" t="s">
        <v>2655</v>
      </c>
      <c r="E92" s="24" t="s">
        <v>2656</v>
      </c>
      <c r="F92" s="24" t="s">
        <v>2657</v>
      </c>
      <c r="G92" s="24" t="s">
        <v>409</v>
      </c>
      <c r="H92" s="24"/>
      <c r="I92" s="25">
        <v>4033614</v>
      </c>
      <c r="J92" s="26">
        <v>0</v>
      </c>
      <c r="K92" s="26">
        <v>0</v>
      </c>
    </row>
    <row r="93" spans="1:11" x14ac:dyDescent="0.25">
      <c r="A93" s="24" t="s">
        <v>2658</v>
      </c>
      <c r="B93" s="24">
        <v>6</v>
      </c>
      <c r="C93" s="24" t="s">
        <v>2659</v>
      </c>
      <c r="D93" s="24" t="s">
        <v>2660</v>
      </c>
      <c r="E93" s="24" t="s">
        <v>2661</v>
      </c>
      <c r="F93" s="24" t="s">
        <v>2662</v>
      </c>
      <c r="G93" s="24" t="s">
        <v>409</v>
      </c>
      <c r="H93" s="24"/>
      <c r="I93" s="25">
        <v>18418571</v>
      </c>
      <c r="J93" s="26">
        <v>0</v>
      </c>
      <c r="K93" s="26">
        <v>55917</v>
      </c>
    </row>
    <row r="94" spans="1:11" x14ac:dyDescent="0.25">
      <c r="A94" s="24" t="s">
        <v>2663</v>
      </c>
      <c r="B94" s="24">
        <v>1</v>
      </c>
      <c r="C94" s="24" t="s">
        <v>2664</v>
      </c>
      <c r="D94" s="24" t="s">
        <v>2665</v>
      </c>
      <c r="E94" s="24" t="s">
        <v>2666</v>
      </c>
      <c r="F94" s="24" t="s">
        <v>2667</v>
      </c>
      <c r="G94" s="24" t="s">
        <v>409</v>
      </c>
      <c r="H94" s="24"/>
      <c r="I94" s="25">
        <v>28701500</v>
      </c>
      <c r="J94" s="26">
        <v>0</v>
      </c>
      <c r="K94" s="26">
        <v>0</v>
      </c>
    </row>
    <row r="95" spans="1:11" x14ac:dyDescent="0.25">
      <c r="A95" s="24" t="s">
        <v>2668</v>
      </c>
      <c r="B95" s="24">
        <v>4</v>
      </c>
      <c r="C95" s="24" t="s">
        <v>2669</v>
      </c>
      <c r="D95" s="24" t="s">
        <v>2670</v>
      </c>
      <c r="E95" s="24" t="s">
        <v>2671</v>
      </c>
      <c r="F95" s="24" t="s">
        <v>2672</v>
      </c>
      <c r="G95" s="24" t="s">
        <v>409</v>
      </c>
      <c r="H95" s="24"/>
      <c r="I95" s="25">
        <v>13877690</v>
      </c>
      <c r="J95" s="26">
        <v>0</v>
      </c>
      <c r="K95" s="26">
        <v>0</v>
      </c>
    </row>
    <row r="96" spans="1:11" x14ac:dyDescent="0.25">
      <c r="A96" s="24" t="s">
        <v>2673</v>
      </c>
      <c r="B96" s="24">
        <v>7</v>
      </c>
      <c r="C96" s="24" t="s">
        <v>2674</v>
      </c>
      <c r="D96" s="24" t="s">
        <v>2675</v>
      </c>
      <c r="E96" s="24" t="s">
        <v>2676</v>
      </c>
      <c r="F96" s="24" t="s">
        <v>2677</v>
      </c>
      <c r="G96" s="24" t="s">
        <v>409</v>
      </c>
      <c r="H96" s="24"/>
      <c r="I96" s="25">
        <v>730000</v>
      </c>
      <c r="J96" s="26">
        <v>0</v>
      </c>
      <c r="K96" s="26">
        <v>0</v>
      </c>
    </row>
    <row r="97" spans="1:11" x14ac:dyDescent="0.25">
      <c r="A97" s="24" t="s">
        <v>2678</v>
      </c>
      <c r="B97" s="24">
        <v>4</v>
      </c>
      <c r="C97" s="24" t="s">
        <v>2679</v>
      </c>
      <c r="D97" s="24" t="s">
        <v>2680</v>
      </c>
      <c r="E97" s="24" t="s">
        <v>2681</v>
      </c>
      <c r="F97" s="24" t="s">
        <v>2682</v>
      </c>
      <c r="G97" s="24" t="s">
        <v>409</v>
      </c>
      <c r="H97" s="24"/>
      <c r="I97" s="25">
        <v>984000</v>
      </c>
      <c r="J97" s="26">
        <v>0</v>
      </c>
      <c r="K97" s="26">
        <v>0</v>
      </c>
    </row>
    <row r="98" spans="1:11" x14ac:dyDescent="0.25">
      <c r="A98" s="24" t="s">
        <v>2683</v>
      </c>
      <c r="B98" s="24">
        <v>9</v>
      </c>
      <c r="C98" s="24" t="s">
        <v>2684</v>
      </c>
      <c r="D98" s="24" t="s">
        <v>2281</v>
      </c>
      <c r="E98" s="24" t="s">
        <v>2685</v>
      </c>
      <c r="F98" s="24" t="s">
        <v>2686</v>
      </c>
      <c r="G98" s="24" t="s">
        <v>409</v>
      </c>
      <c r="H98" s="24"/>
      <c r="I98" s="25">
        <v>762738</v>
      </c>
      <c r="J98" s="26">
        <v>0</v>
      </c>
      <c r="K98" s="26">
        <v>0</v>
      </c>
    </row>
    <row r="99" spans="1:11" x14ac:dyDescent="0.25">
      <c r="A99" s="24" t="s">
        <v>2687</v>
      </c>
      <c r="B99" s="24">
        <v>8</v>
      </c>
      <c r="C99" s="24" t="s">
        <v>2688</v>
      </c>
      <c r="D99" s="24" t="s">
        <v>2689</v>
      </c>
      <c r="E99" s="24" t="s">
        <v>2690</v>
      </c>
      <c r="F99" s="24" t="s">
        <v>2691</v>
      </c>
      <c r="G99" s="24" t="s">
        <v>409</v>
      </c>
      <c r="H99" s="24"/>
      <c r="I99" s="25">
        <v>972518</v>
      </c>
      <c r="J99" s="26">
        <v>0</v>
      </c>
      <c r="K99" s="26">
        <v>0</v>
      </c>
    </row>
    <row r="100" spans="1:11" x14ac:dyDescent="0.25">
      <c r="A100" s="24" t="s">
        <v>2692</v>
      </c>
      <c r="B100" s="24">
        <v>0</v>
      </c>
      <c r="C100" s="24" t="s">
        <v>2693</v>
      </c>
      <c r="D100" s="24" t="s">
        <v>2694</v>
      </c>
      <c r="E100" s="24" t="s">
        <v>2695</v>
      </c>
      <c r="F100" s="24" t="s">
        <v>2696</v>
      </c>
      <c r="G100" s="24" t="s">
        <v>409</v>
      </c>
      <c r="H100" s="24"/>
      <c r="I100" s="25">
        <v>14842248</v>
      </c>
      <c r="J100" s="26">
        <v>0</v>
      </c>
      <c r="K100" s="26">
        <v>0</v>
      </c>
    </row>
    <row r="101" spans="1:11" x14ac:dyDescent="0.25">
      <c r="A101" s="24" t="s">
        <v>2697</v>
      </c>
      <c r="B101" s="24">
        <v>7</v>
      </c>
      <c r="C101" s="24" t="s">
        <v>2698</v>
      </c>
      <c r="D101" s="24" t="s">
        <v>2314</v>
      </c>
      <c r="E101" s="24" t="s">
        <v>2699</v>
      </c>
      <c r="F101" s="24" t="s">
        <v>2700</v>
      </c>
      <c r="G101" s="24" t="s">
        <v>409</v>
      </c>
      <c r="H101" s="24"/>
      <c r="I101" s="25">
        <v>186944</v>
      </c>
      <c r="J101" s="26">
        <v>0</v>
      </c>
      <c r="K101" s="26">
        <v>0</v>
      </c>
    </row>
    <row r="102" spans="1:11" x14ac:dyDescent="0.25">
      <c r="A102" s="24" t="s">
        <v>2701</v>
      </c>
      <c r="B102" s="24">
        <v>8</v>
      </c>
      <c r="C102" s="24" t="s">
        <v>2702</v>
      </c>
      <c r="D102" s="24" t="s">
        <v>2703</v>
      </c>
      <c r="E102" s="24" t="s">
        <v>2704</v>
      </c>
      <c r="F102" s="24" t="s">
        <v>2705</v>
      </c>
      <c r="G102" s="24" t="s">
        <v>409</v>
      </c>
      <c r="H102" s="24"/>
      <c r="I102" s="25">
        <v>1165715</v>
      </c>
      <c r="J102" s="26">
        <v>0</v>
      </c>
      <c r="K102" s="26">
        <v>0</v>
      </c>
    </row>
    <row r="103" spans="1:11" x14ac:dyDescent="0.25">
      <c r="A103" s="24" t="s">
        <v>2706</v>
      </c>
      <c r="B103" s="24">
        <v>0</v>
      </c>
      <c r="C103" s="24" t="s">
        <v>2707</v>
      </c>
      <c r="D103" s="24" t="s">
        <v>2314</v>
      </c>
      <c r="E103" s="24" t="s">
        <v>2708</v>
      </c>
      <c r="F103" s="24" t="s">
        <v>2709</v>
      </c>
      <c r="G103" s="24" t="s">
        <v>409</v>
      </c>
      <c r="H103" s="24"/>
      <c r="I103" s="25">
        <v>227000</v>
      </c>
      <c r="J103" s="26">
        <v>0</v>
      </c>
      <c r="K103" s="26">
        <v>0</v>
      </c>
    </row>
    <row r="104" spans="1:11" x14ac:dyDescent="0.25">
      <c r="A104" s="24" t="s">
        <v>2710</v>
      </c>
      <c r="B104" s="24">
        <v>2</v>
      </c>
      <c r="C104" s="24" t="s">
        <v>2711</v>
      </c>
      <c r="D104" s="24" t="s">
        <v>2712</v>
      </c>
      <c r="E104" s="24" t="s">
        <v>2713</v>
      </c>
      <c r="F104" s="24" t="s">
        <v>2714</v>
      </c>
      <c r="G104" s="24" t="s">
        <v>409</v>
      </c>
      <c r="H104" s="24"/>
      <c r="I104" s="25">
        <v>560055</v>
      </c>
      <c r="J104" s="26">
        <v>0</v>
      </c>
      <c r="K104" s="26">
        <v>0</v>
      </c>
    </row>
    <row r="105" spans="1:11" x14ac:dyDescent="0.25">
      <c r="A105" s="24" t="s">
        <v>2715</v>
      </c>
      <c r="B105" s="24">
        <v>0</v>
      </c>
      <c r="C105" s="24" t="s">
        <v>2716</v>
      </c>
      <c r="D105" s="24" t="s">
        <v>2717</v>
      </c>
      <c r="E105" s="24" t="s">
        <v>2718</v>
      </c>
      <c r="F105" s="24" t="s">
        <v>2719</v>
      </c>
      <c r="G105" s="24" t="s">
        <v>409</v>
      </c>
      <c r="H105" s="24"/>
      <c r="I105" s="25">
        <v>422697</v>
      </c>
      <c r="J105" s="26">
        <v>0</v>
      </c>
      <c r="K105" s="26">
        <v>0</v>
      </c>
    </row>
    <row r="106" spans="1:11" x14ac:dyDescent="0.25">
      <c r="A106" s="24" t="s">
        <v>2720</v>
      </c>
      <c r="B106" s="24">
        <v>1</v>
      </c>
      <c r="C106" s="28" t="s">
        <v>2721</v>
      </c>
      <c r="D106" s="24" t="s">
        <v>2482</v>
      </c>
      <c r="E106" s="24" t="s">
        <v>2722</v>
      </c>
      <c r="F106" s="24" t="s">
        <v>2723</v>
      </c>
      <c r="G106" s="24" t="s">
        <v>409</v>
      </c>
      <c r="H106" s="24"/>
      <c r="I106" s="25">
        <v>194133</v>
      </c>
      <c r="J106" s="26">
        <v>0</v>
      </c>
      <c r="K106" s="26">
        <v>0</v>
      </c>
    </row>
    <row r="107" spans="1:11" x14ac:dyDescent="0.25">
      <c r="A107" s="24" t="s">
        <v>2724</v>
      </c>
      <c r="B107" s="24">
        <v>0</v>
      </c>
      <c r="C107" s="24" t="s">
        <v>2725</v>
      </c>
      <c r="D107" s="24" t="s">
        <v>2726</v>
      </c>
      <c r="E107" s="24" t="s">
        <v>2727</v>
      </c>
      <c r="F107" s="24" t="s">
        <v>2728</v>
      </c>
      <c r="G107" s="24" t="s">
        <v>409</v>
      </c>
      <c r="H107" s="24"/>
      <c r="I107" s="25">
        <v>3931924</v>
      </c>
      <c r="J107" s="26">
        <v>0</v>
      </c>
      <c r="K107" s="26">
        <v>0</v>
      </c>
    </row>
    <row r="108" spans="1:11" x14ac:dyDescent="0.25">
      <c r="A108" s="24" t="s">
        <v>2729</v>
      </c>
      <c r="B108" s="24">
        <v>8</v>
      </c>
      <c r="C108" s="24" t="s">
        <v>2730</v>
      </c>
      <c r="D108" s="24" t="s">
        <v>2281</v>
      </c>
      <c r="E108" s="24" t="s">
        <v>2731</v>
      </c>
      <c r="F108" s="24" t="s">
        <v>2732</v>
      </c>
      <c r="G108" s="24" t="s">
        <v>409</v>
      </c>
      <c r="H108" s="24"/>
      <c r="I108" s="25">
        <v>77000</v>
      </c>
      <c r="J108" s="26">
        <v>0</v>
      </c>
      <c r="K108" s="26">
        <v>0</v>
      </c>
    </row>
    <row r="109" spans="1:11" x14ac:dyDescent="0.25">
      <c r="A109" s="24" t="s">
        <v>2733</v>
      </c>
      <c r="B109" s="24">
        <v>6</v>
      </c>
      <c r="C109" s="24" t="s">
        <v>2734</v>
      </c>
      <c r="D109" s="24" t="s">
        <v>2735</v>
      </c>
      <c r="E109" s="24" t="s">
        <v>2736</v>
      </c>
      <c r="F109" s="24" t="s">
        <v>2737</v>
      </c>
      <c r="G109" s="24" t="s">
        <v>409</v>
      </c>
      <c r="H109" s="24"/>
      <c r="I109" s="25">
        <v>3425275</v>
      </c>
      <c r="J109" s="26">
        <v>0</v>
      </c>
      <c r="K109" s="26">
        <v>0</v>
      </c>
    </row>
    <row r="110" spans="1:11" x14ac:dyDescent="0.25">
      <c r="A110" s="24" t="s">
        <v>2738</v>
      </c>
      <c r="B110" s="24">
        <v>4</v>
      </c>
      <c r="C110" s="24" t="s">
        <v>2739</v>
      </c>
      <c r="D110" s="24" t="s">
        <v>2740</v>
      </c>
      <c r="E110" s="24" t="s">
        <v>2741</v>
      </c>
      <c r="F110" s="24" t="s">
        <v>2742</v>
      </c>
      <c r="G110" s="24" t="s">
        <v>409</v>
      </c>
      <c r="H110" s="24"/>
      <c r="I110" s="25">
        <v>15747825</v>
      </c>
      <c r="J110" s="26">
        <v>0</v>
      </c>
      <c r="K110" s="26">
        <v>0</v>
      </c>
    </row>
    <row r="111" spans="1:11" x14ac:dyDescent="0.25">
      <c r="A111" s="24" t="s">
        <v>2743</v>
      </c>
      <c r="B111" s="24">
        <v>4</v>
      </c>
      <c r="C111" s="24" t="s">
        <v>2744</v>
      </c>
      <c r="D111" s="24" t="s">
        <v>2745</v>
      </c>
      <c r="E111" s="24" t="s">
        <v>2746</v>
      </c>
      <c r="F111" s="24" t="s">
        <v>2747</v>
      </c>
      <c r="G111" s="24" t="s">
        <v>409</v>
      </c>
      <c r="H111" s="24"/>
      <c r="I111" s="25">
        <v>155462</v>
      </c>
      <c r="J111" s="26">
        <v>0</v>
      </c>
      <c r="K111" s="26">
        <v>0</v>
      </c>
    </row>
    <row r="112" spans="1:11" x14ac:dyDescent="0.25">
      <c r="A112" s="24" t="s">
        <v>2748</v>
      </c>
      <c r="B112" s="24">
        <v>2</v>
      </c>
      <c r="C112" s="24" t="s">
        <v>2749</v>
      </c>
      <c r="D112" s="24" t="s">
        <v>2281</v>
      </c>
      <c r="E112" s="24" t="s">
        <v>2252</v>
      </c>
      <c r="F112" s="24" t="s">
        <v>2750</v>
      </c>
      <c r="G112" s="24" t="s">
        <v>409</v>
      </c>
      <c r="H112" s="24"/>
      <c r="I112" s="25">
        <f>13895393+226807</f>
        <v>14122200</v>
      </c>
      <c r="J112" s="26">
        <v>0</v>
      </c>
      <c r="K112" s="26">
        <v>0</v>
      </c>
    </row>
    <row r="113" spans="1:11" x14ac:dyDescent="0.25">
      <c r="A113" s="24" t="s">
        <v>2751</v>
      </c>
      <c r="B113" s="24">
        <v>2</v>
      </c>
      <c r="C113" s="24" t="s">
        <v>2752</v>
      </c>
      <c r="D113" s="24" t="s">
        <v>2281</v>
      </c>
      <c r="E113" s="24" t="s">
        <v>2753</v>
      </c>
      <c r="F113" s="24" t="s">
        <v>2754</v>
      </c>
      <c r="G113" s="24" t="s">
        <v>409</v>
      </c>
      <c r="H113" s="24"/>
      <c r="I113" s="25">
        <v>758947</v>
      </c>
      <c r="J113" s="26">
        <v>0</v>
      </c>
      <c r="K113" s="26">
        <v>0</v>
      </c>
    </row>
    <row r="114" spans="1:11" x14ac:dyDescent="0.25">
      <c r="A114" s="24" t="s">
        <v>2755</v>
      </c>
      <c r="B114" s="24">
        <v>7</v>
      </c>
      <c r="C114" s="24" t="s">
        <v>2756</v>
      </c>
      <c r="D114" s="24" t="s">
        <v>2281</v>
      </c>
      <c r="E114" s="24" t="s">
        <v>2252</v>
      </c>
      <c r="F114" s="24" t="s">
        <v>2757</v>
      </c>
      <c r="G114" s="24" t="s">
        <v>409</v>
      </c>
      <c r="H114" s="24"/>
      <c r="I114" s="25">
        <v>1296904</v>
      </c>
      <c r="J114" s="26">
        <v>0</v>
      </c>
      <c r="K114" s="26">
        <v>0</v>
      </c>
    </row>
    <row r="115" spans="1:11" x14ac:dyDescent="0.25">
      <c r="A115" s="24" t="s">
        <v>2758</v>
      </c>
      <c r="B115" s="24">
        <v>1</v>
      </c>
      <c r="C115" s="24" t="s">
        <v>2759</v>
      </c>
      <c r="D115" s="24" t="s">
        <v>2760</v>
      </c>
      <c r="E115" s="24" t="s">
        <v>2761</v>
      </c>
      <c r="F115" s="24" t="s">
        <v>2762</v>
      </c>
      <c r="G115" s="24" t="s">
        <v>409</v>
      </c>
      <c r="H115" s="24"/>
      <c r="I115" s="25">
        <v>21321600</v>
      </c>
      <c r="J115" s="26">
        <v>0</v>
      </c>
      <c r="K115" s="26">
        <v>0</v>
      </c>
    </row>
    <row r="116" spans="1:11" x14ac:dyDescent="0.25">
      <c r="A116" s="24" t="s">
        <v>2763</v>
      </c>
      <c r="B116" s="24">
        <v>0</v>
      </c>
      <c r="C116" s="24" t="s">
        <v>2764</v>
      </c>
      <c r="D116" s="24" t="s">
        <v>2765</v>
      </c>
      <c r="E116" s="24" t="s">
        <v>2766</v>
      </c>
      <c r="F116" s="24" t="s">
        <v>2767</v>
      </c>
      <c r="G116" s="24" t="s">
        <v>409</v>
      </c>
      <c r="H116" s="24"/>
      <c r="I116" s="25">
        <v>3770000</v>
      </c>
      <c r="J116" s="26">
        <v>0</v>
      </c>
      <c r="K116" s="26">
        <v>0</v>
      </c>
    </row>
    <row r="117" spans="1:11" x14ac:dyDescent="0.25">
      <c r="A117" s="24" t="s">
        <v>2768</v>
      </c>
      <c r="B117" s="24">
        <v>8</v>
      </c>
      <c r="C117" s="24" t="s">
        <v>2769</v>
      </c>
      <c r="D117" s="24" t="s">
        <v>2770</v>
      </c>
      <c r="E117" s="24" t="s">
        <v>2771</v>
      </c>
      <c r="F117" s="24" t="s">
        <v>2772</v>
      </c>
      <c r="G117" s="24" t="s">
        <v>409</v>
      </c>
      <c r="H117" s="24"/>
      <c r="I117" s="25">
        <v>630252</v>
      </c>
      <c r="J117" s="26">
        <v>0</v>
      </c>
      <c r="K117" s="26">
        <v>630252</v>
      </c>
    </row>
    <row r="118" spans="1:11" x14ac:dyDescent="0.25">
      <c r="A118" s="24" t="s">
        <v>2773</v>
      </c>
      <c r="B118" s="24">
        <v>9</v>
      </c>
      <c r="C118" s="24" t="s">
        <v>2774</v>
      </c>
      <c r="D118" s="24" t="s">
        <v>2775</v>
      </c>
      <c r="E118" s="24" t="s">
        <v>2776</v>
      </c>
      <c r="F118" s="24" t="s">
        <v>2777</v>
      </c>
      <c r="G118" s="24" t="s">
        <v>409</v>
      </c>
      <c r="H118" s="24"/>
      <c r="I118" s="25">
        <v>345294</v>
      </c>
      <c r="J118" s="26">
        <v>0</v>
      </c>
      <c r="K118" s="26">
        <v>0</v>
      </c>
    </row>
    <row r="119" spans="1:11" x14ac:dyDescent="0.25">
      <c r="A119" s="24" t="s">
        <v>2778</v>
      </c>
      <c r="B119" s="24">
        <v>5</v>
      </c>
      <c r="C119" s="24" t="s">
        <v>2779</v>
      </c>
      <c r="D119" s="24" t="s">
        <v>2256</v>
      </c>
      <c r="E119" s="24" t="s">
        <v>2780</v>
      </c>
      <c r="F119" s="24" t="s">
        <v>2781</v>
      </c>
      <c r="G119" s="24" t="s">
        <v>409</v>
      </c>
      <c r="H119" s="24"/>
      <c r="I119" s="25">
        <v>64391143</v>
      </c>
      <c r="J119" s="26">
        <v>0</v>
      </c>
      <c r="K119" s="26">
        <v>0</v>
      </c>
    </row>
    <row r="120" spans="1:11" x14ac:dyDescent="0.25">
      <c r="A120" s="24" t="s">
        <v>2782</v>
      </c>
      <c r="B120" s="24">
        <v>4</v>
      </c>
      <c r="C120" s="24" t="s">
        <v>2783</v>
      </c>
      <c r="D120" s="24" t="s">
        <v>2784</v>
      </c>
      <c r="E120" s="24" t="s">
        <v>2785</v>
      </c>
      <c r="F120" s="24" t="s">
        <v>2786</v>
      </c>
      <c r="G120" s="24" t="s">
        <v>409</v>
      </c>
      <c r="H120" s="24"/>
      <c r="I120" s="25">
        <v>2322000</v>
      </c>
      <c r="J120" s="26">
        <v>0</v>
      </c>
      <c r="K120" s="26">
        <v>0</v>
      </c>
    </row>
    <row r="121" spans="1:11" x14ac:dyDescent="0.25">
      <c r="A121" s="24" t="s">
        <v>2787</v>
      </c>
      <c r="B121" s="24">
        <v>8</v>
      </c>
      <c r="C121" s="24" t="s">
        <v>2788</v>
      </c>
      <c r="D121" s="24" t="s">
        <v>2789</v>
      </c>
      <c r="E121" s="24" t="s">
        <v>2790</v>
      </c>
      <c r="F121" s="24" t="s">
        <v>2791</v>
      </c>
      <c r="G121" s="24" t="s">
        <v>409</v>
      </c>
      <c r="H121" s="24"/>
      <c r="I121" s="25">
        <v>537815</v>
      </c>
      <c r="J121" s="26">
        <v>0</v>
      </c>
      <c r="K121" s="26">
        <v>0</v>
      </c>
    </row>
    <row r="122" spans="1:11" x14ac:dyDescent="0.25">
      <c r="A122" s="24" t="s">
        <v>2792</v>
      </c>
      <c r="B122" s="24">
        <v>4</v>
      </c>
      <c r="C122" s="24" t="s">
        <v>2793</v>
      </c>
      <c r="D122" s="24" t="s">
        <v>2794</v>
      </c>
      <c r="E122" s="24" t="s">
        <v>2795</v>
      </c>
      <c r="F122" s="24" t="s">
        <v>2796</v>
      </c>
      <c r="G122" s="24" t="s">
        <v>409</v>
      </c>
      <c r="H122" s="24"/>
      <c r="I122" s="25">
        <v>1569064</v>
      </c>
      <c r="J122" s="26">
        <v>0</v>
      </c>
      <c r="K122" s="26">
        <v>0</v>
      </c>
    </row>
    <row r="123" spans="1:11" x14ac:dyDescent="0.25">
      <c r="A123" s="24" t="s">
        <v>2797</v>
      </c>
      <c r="B123" s="24">
        <v>9</v>
      </c>
      <c r="C123" s="24" t="s">
        <v>2798</v>
      </c>
      <c r="D123" s="24" t="s">
        <v>2799</v>
      </c>
      <c r="E123" s="24" t="s">
        <v>2800</v>
      </c>
      <c r="F123" s="24" t="s">
        <v>2801</v>
      </c>
      <c r="G123" s="24" t="s">
        <v>409</v>
      </c>
      <c r="H123" s="24"/>
      <c r="I123" s="25">
        <v>3491199</v>
      </c>
      <c r="J123" s="26">
        <v>0</v>
      </c>
      <c r="K123" s="26">
        <v>61382</v>
      </c>
    </row>
    <row r="124" spans="1:11" x14ac:dyDescent="0.25">
      <c r="A124" s="24" t="s">
        <v>2802</v>
      </c>
      <c r="B124" s="24">
        <v>2</v>
      </c>
      <c r="C124" s="24" t="s">
        <v>2803</v>
      </c>
      <c r="D124" s="24" t="s">
        <v>2804</v>
      </c>
      <c r="E124" s="24" t="s">
        <v>2805</v>
      </c>
      <c r="F124" s="24" t="s">
        <v>2806</v>
      </c>
      <c r="G124" s="24" t="s">
        <v>409</v>
      </c>
      <c r="H124" s="24"/>
      <c r="I124" s="25">
        <v>6060000</v>
      </c>
      <c r="J124" s="26">
        <v>0</v>
      </c>
      <c r="K124" s="26">
        <v>0</v>
      </c>
    </row>
    <row r="125" spans="1:11" x14ac:dyDescent="0.25">
      <c r="A125" s="24" t="s">
        <v>2807</v>
      </c>
      <c r="B125" s="24">
        <v>1</v>
      </c>
      <c r="C125" s="24" t="s">
        <v>2808</v>
      </c>
      <c r="D125" s="24" t="s">
        <v>2809</v>
      </c>
      <c r="E125" s="24" t="s">
        <v>2810</v>
      </c>
      <c r="F125" s="24" t="s">
        <v>2811</v>
      </c>
      <c r="G125" s="24" t="s">
        <v>409</v>
      </c>
      <c r="H125" s="24"/>
      <c r="I125" s="25">
        <v>168066</v>
      </c>
      <c r="J125" s="26">
        <v>0</v>
      </c>
      <c r="K125" s="26">
        <v>0</v>
      </c>
    </row>
    <row r="126" spans="1:11" x14ac:dyDescent="0.25">
      <c r="A126" s="24" t="s">
        <v>2812</v>
      </c>
      <c r="B126" s="24">
        <v>7</v>
      </c>
      <c r="C126" s="24" t="s">
        <v>2813</v>
      </c>
      <c r="D126" s="24" t="s">
        <v>2814</v>
      </c>
      <c r="E126" s="24" t="s">
        <v>2815</v>
      </c>
      <c r="F126" s="24" t="s">
        <v>2816</v>
      </c>
      <c r="G126" s="24" t="s">
        <v>409</v>
      </c>
      <c r="H126" s="24"/>
      <c r="I126" s="25">
        <v>400000</v>
      </c>
      <c r="J126" s="26">
        <v>0</v>
      </c>
      <c r="K126" s="26">
        <v>0</v>
      </c>
    </row>
    <row r="127" spans="1:11" x14ac:dyDescent="0.25">
      <c r="A127" s="24" t="s">
        <v>2817</v>
      </c>
      <c r="B127" s="24">
        <v>3</v>
      </c>
      <c r="C127" s="24" t="s">
        <v>2818</v>
      </c>
      <c r="D127" s="24" t="s">
        <v>2819</v>
      </c>
      <c r="E127" s="24" t="s">
        <v>2820</v>
      </c>
      <c r="F127" s="24" t="s">
        <v>2821</v>
      </c>
      <c r="G127" s="24" t="s">
        <v>409</v>
      </c>
      <c r="H127" s="24"/>
      <c r="I127" s="25">
        <v>10515650</v>
      </c>
      <c r="J127" s="26">
        <v>0</v>
      </c>
      <c r="K127" s="26">
        <v>0</v>
      </c>
    </row>
    <row r="128" spans="1:11" x14ac:dyDescent="0.25">
      <c r="A128" s="24" t="s">
        <v>2822</v>
      </c>
      <c r="B128" s="24">
        <v>4</v>
      </c>
      <c r="C128" s="24" t="s">
        <v>2823</v>
      </c>
      <c r="D128" s="24" t="s">
        <v>2824</v>
      </c>
      <c r="E128" s="24" t="s">
        <v>2825</v>
      </c>
      <c r="F128" s="24" t="s">
        <v>2826</v>
      </c>
      <c r="G128" s="24" t="s">
        <v>525</v>
      </c>
      <c r="H128" s="24"/>
      <c r="I128" s="25">
        <v>413800</v>
      </c>
      <c r="J128" s="26">
        <v>0</v>
      </c>
      <c r="K128" s="26">
        <v>0</v>
      </c>
    </row>
    <row r="129" spans="1:11" x14ac:dyDescent="0.25">
      <c r="A129" s="24" t="s">
        <v>2827</v>
      </c>
      <c r="B129" s="24">
        <v>7</v>
      </c>
      <c r="C129" s="24" t="s">
        <v>2828</v>
      </c>
      <c r="D129" s="24" t="s">
        <v>2829</v>
      </c>
      <c r="E129" s="24" t="s">
        <v>2830</v>
      </c>
      <c r="F129" s="24" t="s">
        <v>2831</v>
      </c>
      <c r="G129" s="24" t="s">
        <v>525</v>
      </c>
      <c r="H129" s="24"/>
      <c r="I129" s="25">
        <v>5605500</v>
      </c>
      <c r="J129" s="26">
        <v>0</v>
      </c>
      <c r="K129" s="26">
        <v>0</v>
      </c>
    </row>
    <row r="130" spans="1:11" x14ac:dyDescent="0.25">
      <c r="A130" s="24" t="s">
        <v>2832</v>
      </c>
      <c r="B130" s="24">
        <v>0</v>
      </c>
      <c r="C130" s="24" t="s">
        <v>2833</v>
      </c>
      <c r="D130" s="24" t="s">
        <v>2482</v>
      </c>
      <c r="E130" s="24" t="s">
        <v>2834</v>
      </c>
      <c r="F130" s="24" t="s">
        <v>2835</v>
      </c>
      <c r="G130" s="24" t="s">
        <v>525</v>
      </c>
      <c r="H130" s="24"/>
      <c r="I130" s="25">
        <v>527280</v>
      </c>
      <c r="J130" s="26">
        <v>0</v>
      </c>
      <c r="K130" s="26">
        <v>0</v>
      </c>
    </row>
    <row r="131" spans="1:11" x14ac:dyDescent="0.25">
      <c r="A131" s="24" t="s">
        <v>2836</v>
      </c>
      <c r="B131" s="24">
        <v>6</v>
      </c>
      <c r="C131" s="24" t="s">
        <v>2837</v>
      </c>
      <c r="D131" s="24" t="s">
        <v>2838</v>
      </c>
      <c r="E131" s="24" t="s">
        <v>2839</v>
      </c>
      <c r="F131" s="24" t="s">
        <v>2840</v>
      </c>
      <c r="G131" s="24" t="s">
        <v>525</v>
      </c>
      <c r="H131" s="24"/>
      <c r="I131" s="25">
        <v>62700000</v>
      </c>
      <c r="J131" s="26">
        <v>0</v>
      </c>
      <c r="K131" s="26">
        <v>0</v>
      </c>
    </row>
    <row r="132" spans="1:11" x14ac:dyDescent="0.25">
      <c r="A132" s="24" t="s">
        <v>2841</v>
      </c>
      <c r="B132" s="24">
        <v>2</v>
      </c>
      <c r="C132" s="24" t="s">
        <v>2842</v>
      </c>
      <c r="D132" s="24" t="s">
        <v>2843</v>
      </c>
      <c r="E132" s="24" t="s">
        <v>2844</v>
      </c>
      <c r="F132" s="24" t="s">
        <v>2845</v>
      </c>
      <c r="G132" s="24" t="s">
        <v>525</v>
      </c>
      <c r="H132" s="24"/>
      <c r="I132" s="25">
        <v>3097500</v>
      </c>
      <c r="J132" s="26">
        <v>0</v>
      </c>
      <c r="K132" s="26">
        <v>0</v>
      </c>
    </row>
    <row r="133" spans="1:11" x14ac:dyDescent="0.25">
      <c r="A133" s="24" t="s">
        <v>2846</v>
      </c>
      <c r="B133" s="24">
        <v>4</v>
      </c>
      <c r="C133" s="24" t="s">
        <v>2847</v>
      </c>
      <c r="D133" s="24" t="s">
        <v>2848</v>
      </c>
      <c r="E133" s="24" t="s">
        <v>2849</v>
      </c>
      <c r="F133" s="24" t="s">
        <v>2850</v>
      </c>
      <c r="G133" s="24" t="s">
        <v>525</v>
      </c>
      <c r="H133" s="24"/>
      <c r="I133" s="25">
        <v>46175139</v>
      </c>
      <c r="J133" s="26">
        <v>0</v>
      </c>
      <c r="K133" s="26">
        <v>399141</v>
      </c>
    </row>
    <row r="134" spans="1:11" x14ac:dyDescent="0.25">
      <c r="A134" s="24" t="s">
        <v>2851</v>
      </c>
      <c r="B134" s="24">
        <v>1</v>
      </c>
      <c r="C134" s="24" t="s">
        <v>2852</v>
      </c>
      <c r="D134" s="24" t="s">
        <v>2853</v>
      </c>
      <c r="E134" s="24" t="s">
        <v>2854</v>
      </c>
      <c r="F134" s="24" t="s">
        <v>2855</v>
      </c>
      <c r="G134" s="24" t="s">
        <v>525</v>
      </c>
      <c r="H134" s="24"/>
      <c r="I134" s="25">
        <v>2404850</v>
      </c>
      <c r="J134" s="26">
        <v>0</v>
      </c>
      <c r="K134" s="26">
        <v>0</v>
      </c>
    </row>
    <row r="135" spans="1:11" x14ac:dyDescent="0.25">
      <c r="A135" s="24" t="s">
        <v>2856</v>
      </c>
      <c r="B135" s="24">
        <v>7</v>
      </c>
      <c r="C135" s="24" t="s">
        <v>2857</v>
      </c>
      <c r="D135" s="24" t="s">
        <v>2858</v>
      </c>
      <c r="E135" s="24" t="s">
        <v>2859</v>
      </c>
      <c r="F135" s="24" t="s">
        <v>2860</v>
      </c>
      <c r="G135" s="24" t="s">
        <v>525</v>
      </c>
      <c r="H135" s="24"/>
      <c r="I135" s="25">
        <v>199400</v>
      </c>
      <c r="J135" s="26">
        <v>0</v>
      </c>
      <c r="K135" s="26">
        <v>0</v>
      </c>
    </row>
    <row r="136" spans="1:11" x14ac:dyDescent="0.25">
      <c r="A136" s="24" t="s">
        <v>2861</v>
      </c>
      <c r="B136" s="24">
        <v>2</v>
      </c>
      <c r="C136" s="24" t="s">
        <v>2862</v>
      </c>
      <c r="D136" s="24" t="s">
        <v>2863</v>
      </c>
      <c r="E136" s="24" t="s">
        <v>2864</v>
      </c>
      <c r="F136" s="24" t="s">
        <v>2865</v>
      </c>
      <c r="G136" s="24" t="s">
        <v>525</v>
      </c>
      <c r="H136" s="24"/>
      <c r="I136" s="25">
        <v>23092621</v>
      </c>
      <c r="J136" s="26">
        <v>0</v>
      </c>
      <c r="K136" s="26">
        <v>0</v>
      </c>
    </row>
    <row r="137" spans="1:11" x14ac:dyDescent="0.25">
      <c r="A137" s="24" t="s">
        <v>2866</v>
      </c>
      <c r="B137" s="24">
        <v>8</v>
      </c>
      <c r="C137" s="24" t="s">
        <v>2867</v>
      </c>
      <c r="D137" s="24" t="s">
        <v>2868</v>
      </c>
      <c r="E137" s="24" t="s">
        <v>2869</v>
      </c>
      <c r="F137" s="24" t="s">
        <v>2870</v>
      </c>
      <c r="G137" s="24" t="s">
        <v>525</v>
      </c>
      <c r="H137" s="24"/>
      <c r="I137" s="25">
        <v>9837378</v>
      </c>
      <c r="J137" s="26">
        <v>0</v>
      </c>
      <c r="K137" s="26">
        <v>0</v>
      </c>
    </row>
    <row r="138" spans="1:11" x14ac:dyDescent="0.25">
      <c r="A138" s="24" t="s">
        <v>2871</v>
      </c>
      <c r="B138" s="24">
        <v>8</v>
      </c>
      <c r="C138" s="24" t="s">
        <v>2872</v>
      </c>
      <c r="D138" s="24" t="s">
        <v>2873</v>
      </c>
      <c r="E138" s="24" t="s">
        <v>2874</v>
      </c>
      <c r="F138" s="24" t="s">
        <v>2875</v>
      </c>
      <c r="G138" s="24" t="s">
        <v>525</v>
      </c>
      <c r="H138" s="24"/>
      <c r="I138" s="25">
        <v>2536000</v>
      </c>
      <c r="J138" s="26">
        <v>0</v>
      </c>
      <c r="K138" s="26">
        <v>0</v>
      </c>
    </row>
    <row r="139" spans="1:11" x14ac:dyDescent="0.25">
      <c r="A139" s="24" t="s">
        <v>2876</v>
      </c>
      <c r="B139" s="24">
        <v>3</v>
      </c>
      <c r="C139" s="24" t="s">
        <v>2877</v>
      </c>
      <c r="D139" s="24" t="s">
        <v>2878</v>
      </c>
      <c r="E139" s="24" t="s">
        <v>2879</v>
      </c>
      <c r="F139" s="24" t="s">
        <v>2880</v>
      </c>
      <c r="G139" s="24" t="s">
        <v>525</v>
      </c>
      <c r="H139" s="24"/>
      <c r="I139" s="25">
        <v>13636851</v>
      </c>
      <c r="J139" s="26">
        <v>0</v>
      </c>
      <c r="K139" s="26">
        <v>263080</v>
      </c>
    </row>
    <row r="140" spans="1:11" x14ac:dyDescent="0.25">
      <c r="A140" s="24" t="s">
        <v>2881</v>
      </c>
      <c r="B140" s="24">
        <v>0</v>
      </c>
      <c r="C140" s="24" t="s">
        <v>2882</v>
      </c>
      <c r="D140" s="24" t="s">
        <v>2883</v>
      </c>
      <c r="E140" s="24" t="s">
        <v>2884</v>
      </c>
      <c r="F140" s="24" t="s">
        <v>2885</v>
      </c>
      <c r="G140" s="24" t="s">
        <v>525</v>
      </c>
      <c r="H140" s="24"/>
      <c r="I140" s="25">
        <v>572991</v>
      </c>
      <c r="J140" s="26">
        <v>0</v>
      </c>
      <c r="K140" s="26">
        <v>0</v>
      </c>
    </row>
    <row r="141" spans="1:11" x14ac:dyDescent="0.25">
      <c r="A141" s="24" t="s">
        <v>2886</v>
      </c>
      <c r="B141" s="24">
        <v>5</v>
      </c>
      <c r="C141" s="24" t="s">
        <v>2887</v>
      </c>
      <c r="D141" s="24" t="s">
        <v>2888</v>
      </c>
      <c r="E141" s="24" t="s">
        <v>2889</v>
      </c>
      <c r="F141" s="24" t="s">
        <v>2890</v>
      </c>
      <c r="G141" s="24" t="s">
        <v>525</v>
      </c>
      <c r="H141" s="24"/>
      <c r="I141" s="25">
        <v>292783228</v>
      </c>
      <c r="J141" s="26">
        <v>0</v>
      </c>
      <c r="K141" s="26">
        <v>0</v>
      </c>
    </row>
    <row r="142" spans="1:11" x14ac:dyDescent="0.25">
      <c r="A142" s="24" t="s">
        <v>2891</v>
      </c>
      <c r="B142" s="24">
        <v>1</v>
      </c>
      <c r="C142" s="24" t="s">
        <v>2892</v>
      </c>
      <c r="D142" s="24" t="s">
        <v>2893</v>
      </c>
      <c r="E142" s="24" t="s">
        <v>2894</v>
      </c>
      <c r="F142" s="24" t="s">
        <v>2895</v>
      </c>
      <c r="G142" s="24" t="s">
        <v>525</v>
      </c>
      <c r="H142" s="24"/>
      <c r="I142" s="25">
        <v>4445063</v>
      </c>
      <c r="J142" s="26">
        <v>0</v>
      </c>
      <c r="K142" s="26">
        <v>0</v>
      </c>
    </row>
    <row r="143" spans="1:11" x14ac:dyDescent="0.25">
      <c r="A143" s="24" t="s">
        <v>2896</v>
      </c>
      <c r="B143" s="24">
        <v>8</v>
      </c>
      <c r="C143" s="24" t="s">
        <v>2897</v>
      </c>
      <c r="D143" s="24" t="s">
        <v>2898</v>
      </c>
      <c r="E143" s="24" t="s">
        <v>2899</v>
      </c>
      <c r="F143" s="24" t="s">
        <v>2900</v>
      </c>
      <c r="G143" s="24" t="s">
        <v>525</v>
      </c>
      <c r="H143" s="24"/>
      <c r="I143" s="25">
        <v>9590360</v>
      </c>
      <c r="J143" s="26">
        <v>0</v>
      </c>
      <c r="K143" s="26">
        <v>949241</v>
      </c>
    </row>
    <row r="144" spans="1:11" x14ac:dyDescent="0.25">
      <c r="A144" s="24" t="s">
        <v>2901</v>
      </c>
      <c r="B144" s="24">
        <v>0</v>
      </c>
      <c r="C144" s="24" t="s">
        <v>2902</v>
      </c>
      <c r="D144" s="24" t="s">
        <v>2903</v>
      </c>
      <c r="E144" s="24" t="s">
        <v>2904</v>
      </c>
      <c r="F144" s="24" t="s">
        <v>2905</v>
      </c>
      <c r="G144" s="24" t="s">
        <v>712</v>
      </c>
      <c r="H144" s="24"/>
      <c r="I144" s="25">
        <v>1542112</v>
      </c>
      <c r="J144" s="26">
        <v>0</v>
      </c>
      <c r="K144" s="26">
        <v>0</v>
      </c>
    </row>
    <row r="145" spans="1:11" x14ac:dyDescent="0.25">
      <c r="A145" s="24" t="s">
        <v>2906</v>
      </c>
      <c r="B145" s="24">
        <v>5</v>
      </c>
      <c r="C145" s="24" t="s">
        <v>2907</v>
      </c>
      <c r="D145" s="24" t="s">
        <v>2908</v>
      </c>
      <c r="E145" s="24" t="s">
        <v>2909</v>
      </c>
      <c r="F145" s="24" t="s">
        <v>2910</v>
      </c>
      <c r="G145" s="24" t="s">
        <v>720</v>
      </c>
      <c r="H145" s="24"/>
      <c r="I145" s="25">
        <v>2155211</v>
      </c>
      <c r="J145" s="26">
        <v>0</v>
      </c>
      <c r="K145" s="26">
        <v>0</v>
      </c>
    </row>
    <row r="146" spans="1:11" x14ac:dyDescent="0.25">
      <c r="A146" s="24" t="s">
        <v>2911</v>
      </c>
      <c r="B146" s="24">
        <v>6</v>
      </c>
      <c r="C146" s="24" t="s">
        <v>2912</v>
      </c>
      <c r="D146" s="24" t="s">
        <v>2314</v>
      </c>
      <c r="E146" s="24" t="s">
        <v>2913</v>
      </c>
      <c r="F146" s="24" t="s">
        <v>2914</v>
      </c>
      <c r="G146" s="24" t="s">
        <v>720</v>
      </c>
      <c r="H146" s="24"/>
      <c r="I146" s="25">
        <v>322690</v>
      </c>
      <c r="J146" s="26">
        <v>0</v>
      </c>
      <c r="K146" s="26">
        <v>0</v>
      </c>
    </row>
    <row r="147" spans="1:11" x14ac:dyDescent="0.25">
      <c r="A147" s="24" t="s">
        <v>2915</v>
      </c>
      <c r="B147" s="24">
        <v>1</v>
      </c>
      <c r="C147" s="24" t="s">
        <v>2916</v>
      </c>
      <c r="D147" s="24" t="s">
        <v>2917</v>
      </c>
      <c r="E147" s="24" t="s">
        <v>2918</v>
      </c>
      <c r="F147" s="24" t="s">
        <v>2919</v>
      </c>
      <c r="G147" s="24" t="s">
        <v>720</v>
      </c>
      <c r="H147" s="24"/>
      <c r="I147" s="25">
        <v>87558663</v>
      </c>
      <c r="J147" s="26">
        <v>0</v>
      </c>
      <c r="K147" s="26">
        <v>0</v>
      </c>
    </row>
    <row r="148" spans="1:11" x14ac:dyDescent="0.25">
      <c r="A148" s="24" t="s">
        <v>2920</v>
      </c>
      <c r="B148" s="24">
        <v>3</v>
      </c>
      <c r="C148" s="24" t="s">
        <v>2921</v>
      </c>
      <c r="D148" s="24" t="s">
        <v>2281</v>
      </c>
      <c r="E148" s="24" t="s">
        <v>2922</v>
      </c>
      <c r="F148" s="24" t="s">
        <v>2923</v>
      </c>
      <c r="G148" s="24" t="s">
        <v>720</v>
      </c>
      <c r="H148" s="24"/>
      <c r="I148" s="25">
        <v>50000</v>
      </c>
      <c r="J148" s="26">
        <v>0</v>
      </c>
      <c r="K148" s="26">
        <v>0</v>
      </c>
    </row>
    <row r="149" spans="1:11" x14ac:dyDescent="0.25">
      <c r="A149" s="24" t="s">
        <v>2924</v>
      </c>
      <c r="B149" s="24">
        <v>7</v>
      </c>
      <c r="C149" s="24" t="s">
        <v>2925</v>
      </c>
      <c r="D149" s="24" t="s">
        <v>2926</v>
      </c>
      <c r="E149" s="24" t="s">
        <v>2927</v>
      </c>
      <c r="F149" s="24" t="s">
        <v>2928</v>
      </c>
      <c r="G149" s="24" t="s">
        <v>720</v>
      </c>
      <c r="H149" s="24"/>
      <c r="I149" s="25">
        <v>30236455</v>
      </c>
      <c r="J149" s="26">
        <v>0</v>
      </c>
      <c r="K149" s="26">
        <v>20000</v>
      </c>
    </row>
    <row r="150" spans="1:11" x14ac:dyDescent="0.25">
      <c r="A150" s="24" t="s">
        <v>2929</v>
      </c>
      <c r="B150" s="24">
        <v>5</v>
      </c>
      <c r="C150" s="24" t="s">
        <v>2930</v>
      </c>
      <c r="D150" s="24" t="s">
        <v>2931</v>
      </c>
      <c r="E150" s="24" t="s">
        <v>2932</v>
      </c>
      <c r="F150" s="24" t="s">
        <v>2933</v>
      </c>
      <c r="G150" s="24" t="s">
        <v>720</v>
      </c>
      <c r="H150" s="24"/>
      <c r="I150" s="25">
        <v>268067</v>
      </c>
      <c r="J150" s="26">
        <v>0</v>
      </c>
      <c r="K150" s="26">
        <v>0</v>
      </c>
    </row>
    <row r="151" spans="1:11" x14ac:dyDescent="0.25">
      <c r="A151" s="24" t="s">
        <v>2934</v>
      </c>
      <c r="B151" s="24">
        <v>1</v>
      </c>
      <c r="C151" s="24" t="s">
        <v>2935</v>
      </c>
      <c r="D151" s="24" t="s">
        <v>2936</v>
      </c>
      <c r="E151" s="24" t="s">
        <v>2937</v>
      </c>
      <c r="F151" s="24" t="s">
        <v>2938</v>
      </c>
      <c r="G151" s="24" t="s">
        <v>720</v>
      </c>
      <c r="H151" s="24"/>
      <c r="I151" s="25">
        <v>21430500</v>
      </c>
      <c r="J151" s="26">
        <v>0</v>
      </c>
      <c r="K151" s="26">
        <v>0</v>
      </c>
    </row>
    <row r="152" spans="1:11" x14ac:dyDescent="0.25">
      <c r="A152" s="24" t="s">
        <v>2939</v>
      </c>
      <c r="B152" s="24">
        <v>6</v>
      </c>
      <c r="C152" s="24" t="s">
        <v>2940</v>
      </c>
      <c r="D152" s="24" t="s">
        <v>2256</v>
      </c>
      <c r="E152" s="24" t="s">
        <v>2941</v>
      </c>
      <c r="F152" s="24" t="s">
        <v>2942</v>
      </c>
      <c r="G152" s="24" t="s">
        <v>720</v>
      </c>
      <c r="H152" s="24"/>
      <c r="I152" s="25">
        <v>3183900</v>
      </c>
      <c r="J152" s="26">
        <v>0</v>
      </c>
      <c r="K152" s="26">
        <v>0</v>
      </c>
    </row>
    <row r="153" spans="1:11" x14ac:dyDescent="0.25">
      <c r="A153" s="24" t="s">
        <v>2943</v>
      </c>
      <c r="B153" s="24">
        <v>3</v>
      </c>
      <c r="C153" s="24" t="s">
        <v>2944</v>
      </c>
      <c r="D153" s="24" t="s">
        <v>2945</v>
      </c>
      <c r="E153" s="24" t="s">
        <v>2252</v>
      </c>
      <c r="F153" s="24" t="s">
        <v>2946</v>
      </c>
      <c r="G153" s="24" t="s">
        <v>720</v>
      </c>
      <c r="H153" s="24"/>
      <c r="I153" s="25">
        <v>5086400</v>
      </c>
      <c r="J153" s="26">
        <v>0</v>
      </c>
      <c r="K153" s="26">
        <v>0</v>
      </c>
    </row>
    <row r="154" spans="1:11" x14ac:dyDescent="0.25">
      <c r="A154" s="24" t="s">
        <v>2947</v>
      </c>
      <c r="B154" s="24">
        <v>0</v>
      </c>
      <c r="C154" s="24" t="s">
        <v>2948</v>
      </c>
      <c r="D154" s="24" t="s">
        <v>2949</v>
      </c>
      <c r="E154" s="24" t="s">
        <v>2950</v>
      </c>
      <c r="F154" s="24" t="s">
        <v>2951</v>
      </c>
      <c r="G154" s="24" t="s">
        <v>720</v>
      </c>
      <c r="H154" s="24"/>
      <c r="I154" s="25">
        <v>130000</v>
      </c>
      <c r="J154" s="26">
        <v>0</v>
      </c>
      <c r="K154" s="26">
        <v>0</v>
      </c>
    </row>
    <row r="155" spans="1:11" x14ac:dyDescent="0.25">
      <c r="A155" s="24" t="s">
        <v>2952</v>
      </c>
      <c r="B155" s="24">
        <v>1</v>
      </c>
      <c r="C155" s="24" t="s">
        <v>2953</v>
      </c>
      <c r="D155" s="24" t="s">
        <v>2954</v>
      </c>
      <c r="E155" s="24" t="s">
        <v>2955</v>
      </c>
      <c r="F155" s="24" t="s">
        <v>2956</v>
      </c>
      <c r="G155" s="24" t="s">
        <v>720</v>
      </c>
      <c r="H155" s="24"/>
      <c r="I155" s="25">
        <v>1400000</v>
      </c>
      <c r="J155" s="26">
        <v>0</v>
      </c>
      <c r="K155" s="26">
        <v>0</v>
      </c>
    </row>
    <row r="156" spans="1:11" x14ac:dyDescent="0.25">
      <c r="A156" s="24" t="s">
        <v>2957</v>
      </c>
      <c r="B156" s="24">
        <v>2</v>
      </c>
      <c r="C156" s="24" t="s">
        <v>2958</v>
      </c>
      <c r="D156" s="24" t="s">
        <v>2314</v>
      </c>
      <c r="E156" s="24" t="s">
        <v>2959</v>
      </c>
      <c r="F156" s="24" t="s">
        <v>2960</v>
      </c>
      <c r="G156" s="24" t="s">
        <v>720</v>
      </c>
      <c r="H156" s="24"/>
      <c r="I156" s="25">
        <v>50420</v>
      </c>
      <c r="J156" s="26">
        <v>0</v>
      </c>
      <c r="K156" s="26">
        <v>0</v>
      </c>
    </row>
    <row r="157" spans="1:11" x14ac:dyDescent="0.25">
      <c r="A157" s="24" t="s">
        <v>2961</v>
      </c>
      <c r="B157" s="24">
        <v>6</v>
      </c>
      <c r="C157" s="24" t="s">
        <v>2962</v>
      </c>
      <c r="D157" s="24" t="s">
        <v>2314</v>
      </c>
      <c r="E157" s="24" t="s">
        <v>2963</v>
      </c>
      <c r="F157" s="24" t="s">
        <v>2964</v>
      </c>
      <c r="G157" s="24" t="s">
        <v>720</v>
      </c>
      <c r="H157" s="24"/>
      <c r="I157" s="25">
        <v>656830</v>
      </c>
      <c r="J157" s="26">
        <v>0</v>
      </c>
      <c r="K157" s="26">
        <v>0</v>
      </c>
    </row>
    <row r="158" spans="1:11" x14ac:dyDescent="0.25">
      <c r="A158" s="24" t="s">
        <v>2965</v>
      </c>
      <c r="B158" s="24">
        <v>7</v>
      </c>
      <c r="C158" s="24" t="s">
        <v>2966</v>
      </c>
      <c r="D158" s="24" t="s">
        <v>2314</v>
      </c>
      <c r="E158" s="24" t="s">
        <v>2967</v>
      </c>
      <c r="F158" s="24" t="s">
        <v>2968</v>
      </c>
      <c r="G158" s="24" t="s">
        <v>720</v>
      </c>
      <c r="H158" s="24"/>
      <c r="I158" s="25">
        <v>608298</v>
      </c>
      <c r="J158" s="26">
        <v>0</v>
      </c>
      <c r="K158" s="26">
        <v>0</v>
      </c>
    </row>
    <row r="159" spans="1:11" x14ac:dyDescent="0.25">
      <c r="A159" s="24" t="s">
        <v>2969</v>
      </c>
      <c r="B159" s="24">
        <v>3</v>
      </c>
      <c r="C159" s="24" t="s">
        <v>2970</v>
      </c>
      <c r="D159" s="24" t="s">
        <v>2971</v>
      </c>
      <c r="E159" s="24" t="s">
        <v>2972</v>
      </c>
      <c r="F159" s="24" t="s">
        <v>2973</v>
      </c>
      <c r="G159" s="24" t="s">
        <v>720</v>
      </c>
      <c r="H159" s="24"/>
      <c r="I159" s="25">
        <v>1640000</v>
      </c>
      <c r="J159" s="26">
        <v>0</v>
      </c>
      <c r="K159" s="26">
        <v>0</v>
      </c>
    </row>
    <row r="160" spans="1:11" x14ac:dyDescent="0.25">
      <c r="A160" s="24" t="s">
        <v>2974</v>
      </c>
      <c r="B160" s="24">
        <v>9</v>
      </c>
      <c r="C160" s="24" t="s">
        <v>2975</v>
      </c>
      <c r="D160" s="24" t="s">
        <v>2976</v>
      </c>
      <c r="E160" s="24" t="s">
        <v>2977</v>
      </c>
      <c r="F160" s="24" t="s">
        <v>2978</v>
      </c>
      <c r="G160" s="24" t="s">
        <v>720</v>
      </c>
      <c r="H160" s="24"/>
      <c r="I160" s="25">
        <v>69780964</v>
      </c>
      <c r="J160" s="26">
        <v>0</v>
      </c>
      <c r="K160" s="26">
        <v>0</v>
      </c>
    </row>
    <row r="161" spans="1:11" x14ac:dyDescent="0.25">
      <c r="A161" s="24" t="s">
        <v>2979</v>
      </c>
      <c r="B161" s="24">
        <v>3</v>
      </c>
      <c r="C161" s="24" t="s">
        <v>2980</v>
      </c>
      <c r="D161" s="24" t="s">
        <v>2281</v>
      </c>
      <c r="E161" s="24" t="s">
        <v>2981</v>
      </c>
      <c r="F161" s="24" t="s">
        <v>2982</v>
      </c>
      <c r="G161" s="24" t="s">
        <v>720</v>
      </c>
      <c r="H161" s="29"/>
      <c r="I161" s="25">
        <v>442000</v>
      </c>
      <c r="J161" s="26">
        <v>0</v>
      </c>
      <c r="K161" s="26">
        <v>0</v>
      </c>
    </row>
    <row r="162" spans="1:11" x14ac:dyDescent="0.25">
      <c r="A162" s="24" t="s">
        <v>2983</v>
      </c>
      <c r="B162" s="24">
        <v>1</v>
      </c>
      <c r="C162" s="24" t="s">
        <v>2984</v>
      </c>
      <c r="D162" s="24" t="s">
        <v>2985</v>
      </c>
      <c r="E162" s="24" t="s">
        <v>2986</v>
      </c>
      <c r="F162" s="24" t="s">
        <v>2987</v>
      </c>
      <c r="G162" s="24" t="s">
        <v>720</v>
      </c>
      <c r="H162" s="24"/>
      <c r="I162" s="25">
        <v>1967100</v>
      </c>
      <c r="J162" s="26">
        <v>0</v>
      </c>
      <c r="K162" s="26">
        <v>0</v>
      </c>
    </row>
    <row r="163" spans="1:11" x14ac:dyDescent="0.25">
      <c r="A163" s="24" t="s">
        <v>2988</v>
      </c>
      <c r="B163" s="24">
        <v>6</v>
      </c>
      <c r="C163" s="24" t="s">
        <v>2989</v>
      </c>
      <c r="D163" s="24" t="s">
        <v>2990</v>
      </c>
      <c r="E163" s="24" t="s">
        <v>2991</v>
      </c>
      <c r="F163" s="24" t="s">
        <v>2992</v>
      </c>
      <c r="G163" s="24" t="s">
        <v>720</v>
      </c>
      <c r="H163" s="24"/>
      <c r="I163" s="25">
        <v>2936135</v>
      </c>
      <c r="J163" s="26">
        <v>0</v>
      </c>
      <c r="K163" s="26">
        <v>0</v>
      </c>
    </row>
    <row r="164" spans="1:11" x14ac:dyDescent="0.25">
      <c r="A164" s="24" t="s">
        <v>2993</v>
      </c>
      <c r="B164" s="24">
        <v>1</v>
      </c>
      <c r="C164" s="24" t="s">
        <v>2994</v>
      </c>
      <c r="D164" s="24" t="s">
        <v>2314</v>
      </c>
      <c r="E164" s="24" t="s">
        <v>2252</v>
      </c>
      <c r="F164" s="24" t="s">
        <v>2995</v>
      </c>
      <c r="G164" s="24" t="s">
        <v>720</v>
      </c>
      <c r="H164" s="24"/>
      <c r="I164" s="25">
        <v>2157196</v>
      </c>
      <c r="J164" s="26">
        <v>0</v>
      </c>
      <c r="K164" s="26">
        <v>0</v>
      </c>
    </row>
    <row r="165" spans="1:11" x14ac:dyDescent="0.25">
      <c r="A165" s="24" t="s">
        <v>2996</v>
      </c>
      <c r="B165" s="24">
        <v>7</v>
      </c>
      <c r="C165" s="24" t="s">
        <v>2997</v>
      </c>
      <c r="D165" s="24" t="s">
        <v>2998</v>
      </c>
      <c r="E165" s="24" t="s">
        <v>2999</v>
      </c>
      <c r="F165" s="24" t="s">
        <v>3000</v>
      </c>
      <c r="G165" s="24" t="s">
        <v>720</v>
      </c>
      <c r="H165" s="24"/>
      <c r="I165" s="25">
        <v>1925336</v>
      </c>
      <c r="J165" s="26">
        <v>0</v>
      </c>
      <c r="K165" s="26">
        <v>0</v>
      </c>
    </row>
    <row r="166" spans="1:11" x14ac:dyDescent="0.25">
      <c r="A166" s="24" t="s">
        <v>3001</v>
      </c>
      <c r="B166" s="24">
        <v>8</v>
      </c>
      <c r="C166" s="24" t="s">
        <v>3002</v>
      </c>
      <c r="D166" s="24" t="s">
        <v>3003</v>
      </c>
      <c r="E166" s="24" t="s">
        <v>3004</v>
      </c>
      <c r="F166" s="24" t="s">
        <v>3005</v>
      </c>
      <c r="G166" s="24" t="s">
        <v>720</v>
      </c>
      <c r="H166" s="24"/>
      <c r="I166" s="25">
        <v>17254000</v>
      </c>
      <c r="J166" s="26">
        <v>0</v>
      </c>
      <c r="K166" s="26">
        <v>0</v>
      </c>
    </row>
    <row r="167" spans="1:11" x14ac:dyDescent="0.25">
      <c r="A167" s="24" t="s">
        <v>3006</v>
      </c>
      <c r="B167" s="24">
        <v>7</v>
      </c>
      <c r="C167" s="24" t="s">
        <v>3007</v>
      </c>
      <c r="D167" s="24" t="s">
        <v>3008</v>
      </c>
      <c r="E167" s="24" t="s">
        <v>3009</v>
      </c>
      <c r="F167" s="24" t="s">
        <v>3010</v>
      </c>
      <c r="G167" s="24" t="s">
        <v>720</v>
      </c>
      <c r="H167" s="24"/>
      <c r="I167" s="25">
        <v>449357</v>
      </c>
      <c r="J167" s="26">
        <v>0</v>
      </c>
      <c r="K167" s="26">
        <v>0</v>
      </c>
    </row>
    <row r="168" spans="1:11" x14ac:dyDescent="0.25">
      <c r="A168" s="24" t="s">
        <v>3011</v>
      </c>
      <c r="B168" s="24">
        <v>1</v>
      </c>
      <c r="C168" s="24" t="s">
        <v>3012</v>
      </c>
      <c r="D168" s="24" t="s">
        <v>3013</v>
      </c>
      <c r="E168" s="24" t="s">
        <v>2252</v>
      </c>
      <c r="F168" s="24" t="s">
        <v>3014</v>
      </c>
      <c r="G168" s="24" t="s">
        <v>720</v>
      </c>
      <c r="H168" s="24"/>
      <c r="I168" s="25">
        <v>582900</v>
      </c>
      <c r="J168" s="26">
        <v>0</v>
      </c>
      <c r="K168" s="26">
        <v>0</v>
      </c>
    </row>
    <row r="169" spans="1:11" x14ac:dyDescent="0.25">
      <c r="A169" s="24" t="s">
        <v>3015</v>
      </c>
      <c r="B169" s="24">
        <v>1</v>
      </c>
      <c r="C169" s="24" t="s">
        <v>3016</v>
      </c>
      <c r="D169" s="24" t="s">
        <v>3017</v>
      </c>
      <c r="E169" s="24" t="s">
        <v>3018</v>
      </c>
      <c r="F169" s="24" t="s">
        <v>3019</v>
      </c>
      <c r="G169" s="24" t="s">
        <v>720</v>
      </c>
      <c r="H169" s="24"/>
      <c r="I169" s="25">
        <v>250000</v>
      </c>
      <c r="J169" s="26">
        <v>0</v>
      </c>
      <c r="K169" s="26">
        <v>0</v>
      </c>
    </row>
    <row r="170" spans="1:11" x14ac:dyDescent="0.25">
      <c r="A170" s="24" t="s">
        <v>3020</v>
      </c>
      <c r="B170" s="24">
        <v>2</v>
      </c>
      <c r="C170" s="24" t="s">
        <v>3021</v>
      </c>
      <c r="D170" s="24" t="s">
        <v>3022</v>
      </c>
      <c r="E170" s="24" t="s">
        <v>3023</v>
      </c>
      <c r="F170" s="24" t="s">
        <v>3024</v>
      </c>
      <c r="G170" s="24" t="s">
        <v>720</v>
      </c>
      <c r="H170" s="24"/>
      <c r="I170" s="25">
        <v>1521816</v>
      </c>
      <c r="J170" s="26">
        <v>0</v>
      </c>
      <c r="K170" s="26">
        <v>0</v>
      </c>
    </row>
    <row r="171" spans="1:11" x14ac:dyDescent="0.25">
      <c r="A171" s="24" t="s">
        <v>3025</v>
      </c>
      <c r="B171" s="24">
        <v>9</v>
      </c>
      <c r="C171" s="24" t="s">
        <v>3026</v>
      </c>
      <c r="D171" s="24" t="s">
        <v>3027</v>
      </c>
      <c r="E171" s="24" t="s">
        <v>3028</v>
      </c>
      <c r="F171" s="24" t="s">
        <v>3029</v>
      </c>
      <c r="G171" s="24" t="s">
        <v>720</v>
      </c>
      <c r="H171" s="24"/>
      <c r="I171" s="25">
        <v>37702430</v>
      </c>
      <c r="J171" s="26">
        <v>0</v>
      </c>
      <c r="K171" s="26">
        <v>0</v>
      </c>
    </row>
    <row r="172" spans="1:11" x14ac:dyDescent="0.25">
      <c r="A172" s="24" t="s">
        <v>3030</v>
      </c>
      <c r="B172" s="24">
        <v>9</v>
      </c>
      <c r="C172" s="24" t="s">
        <v>3031</v>
      </c>
      <c r="D172" s="24" t="s">
        <v>2281</v>
      </c>
      <c r="E172" s="24" t="s">
        <v>3032</v>
      </c>
      <c r="F172" s="24" t="s">
        <v>3033</v>
      </c>
      <c r="G172" s="24" t="s">
        <v>720</v>
      </c>
      <c r="H172" s="24"/>
      <c r="I172" s="25">
        <v>2476374</v>
      </c>
      <c r="J172" s="26">
        <v>0</v>
      </c>
      <c r="K172" s="26">
        <v>0</v>
      </c>
    </row>
    <row r="173" spans="1:11" x14ac:dyDescent="0.25">
      <c r="A173" s="24" t="s">
        <v>3034</v>
      </c>
      <c r="B173" s="24">
        <v>9</v>
      </c>
      <c r="C173" s="24" t="s">
        <v>3035</v>
      </c>
      <c r="D173" s="24" t="s">
        <v>3036</v>
      </c>
      <c r="E173" s="24" t="s">
        <v>3037</v>
      </c>
      <c r="F173" s="24" t="s">
        <v>3038</v>
      </c>
      <c r="G173" s="24" t="s">
        <v>720</v>
      </c>
      <c r="H173" s="24"/>
      <c r="I173" s="25">
        <v>14874</v>
      </c>
      <c r="J173" s="26">
        <v>0</v>
      </c>
      <c r="K173" s="26">
        <v>0</v>
      </c>
    </row>
    <row r="174" spans="1:11" x14ac:dyDescent="0.25">
      <c r="A174" s="24" t="s">
        <v>3039</v>
      </c>
      <c r="B174" s="24">
        <v>7</v>
      </c>
      <c r="C174" s="24" t="s">
        <v>3040</v>
      </c>
      <c r="D174" s="24" t="s">
        <v>3041</v>
      </c>
      <c r="E174" s="24" t="s">
        <v>3042</v>
      </c>
      <c r="F174" s="24" t="s">
        <v>3043</v>
      </c>
      <c r="G174" s="24" t="s">
        <v>720</v>
      </c>
      <c r="H174" s="24"/>
      <c r="I174" s="25">
        <v>3023490</v>
      </c>
      <c r="J174" s="26">
        <v>0</v>
      </c>
      <c r="K174" s="26">
        <v>0</v>
      </c>
    </row>
    <row r="175" spans="1:11" x14ac:dyDescent="0.25">
      <c r="A175" s="24" t="s">
        <v>3044</v>
      </c>
      <c r="B175" s="24">
        <v>6</v>
      </c>
      <c r="C175" s="24" t="s">
        <v>3045</v>
      </c>
      <c r="D175" s="24" t="s">
        <v>2314</v>
      </c>
      <c r="E175" s="24" t="s">
        <v>2252</v>
      </c>
      <c r="F175" s="24" t="s">
        <v>3046</v>
      </c>
      <c r="G175" s="24" t="s">
        <v>720</v>
      </c>
      <c r="H175" s="24"/>
      <c r="I175" s="25">
        <v>348000</v>
      </c>
      <c r="J175" s="26">
        <v>0</v>
      </c>
      <c r="K175" s="26">
        <v>0</v>
      </c>
    </row>
    <row r="176" spans="1:11" x14ac:dyDescent="0.25">
      <c r="A176" s="24" t="s">
        <v>3047</v>
      </c>
      <c r="B176" s="24">
        <v>4</v>
      </c>
      <c r="C176" s="24" t="s">
        <v>3048</v>
      </c>
      <c r="D176" s="24" t="s">
        <v>3049</v>
      </c>
      <c r="E176" s="24" t="s">
        <v>3050</v>
      </c>
      <c r="F176" s="24" t="s">
        <v>3051</v>
      </c>
      <c r="G176" s="24" t="s">
        <v>720</v>
      </c>
      <c r="H176" s="24"/>
      <c r="I176" s="25">
        <v>510000</v>
      </c>
      <c r="J176" s="26">
        <v>0</v>
      </c>
      <c r="K176" s="26">
        <v>0</v>
      </c>
    </row>
    <row r="177" spans="1:11" x14ac:dyDescent="0.25">
      <c r="A177" s="24" t="s">
        <v>3052</v>
      </c>
      <c r="B177" s="24">
        <v>1</v>
      </c>
      <c r="C177" s="24" t="s">
        <v>3053</v>
      </c>
      <c r="D177" s="24" t="s">
        <v>3054</v>
      </c>
      <c r="E177" s="24" t="s">
        <v>3055</v>
      </c>
      <c r="F177" s="24" t="s">
        <v>3056</v>
      </c>
      <c r="G177" s="24" t="s">
        <v>700</v>
      </c>
      <c r="H177" s="24"/>
      <c r="I177" s="25">
        <v>39798000</v>
      </c>
      <c r="J177" s="26">
        <v>0</v>
      </c>
      <c r="K177" s="26">
        <v>0</v>
      </c>
    </row>
    <row r="178" spans="1:11" x14ac:dyDescent="0.25">
      <c r="A178" s="24" t="s">
        <v>3057</v>
      </c>
      <c r="B178" s="24">
        <v>2</v>
      </c>
      <c r="C178" s="24" t="s">
        <v>3058</v>
      </c>
      <c r="D178" s="24" t="s">
        <v>3059</v>
      </c>
      <c r="E178" s="24" t="s">
        <v>3060</v>
      </c>
      <c r="F178" s="24" t="s">
        <v>3061</v>
      </c>
      <c r="G178" s="24" t="s">
        <v>700</v>
      </c>
      <c r="H178" s="24"/>
      <c r="I178" s="25">
        <v>1060000</v>
      </c>
      <c r="J178" s="26">
        <v>0</v>
      </c>
      <c r="K178" s="26">
        <v>0</v>
      </c>
    </row>
    <row r="179" spans="1:11" x14ac:dyDescent="0.25">
      <c r="A179" s="24" t="s">
        <v>3062</v>
      </c>
      <c r="B179" s="24">
        <v>4</v>
      </c>
      <c r="C179" s="24" t="s">
        <v>3063</v>
      </c>
      <c r="D179" s="24" t="s">
        <v>2281</v>
      </c>
      <c r="E179" s="24" t="s">
        <v>3064</v>
      </c>
      <c r="F179" s="24" t="s">
        <v>3065</v>
      </c>
      <c r="G179" s="24" t="s">
        <v>704</v>
      </c>
      <c r="H179" s="24"/>
      <c r="I179" s="25">
        <v>2765000</v>
      </c>
      <c r="J179" s="26">
        <v>0</v>
      </c>
      <c r="K179" s="26">
        <v>0</v>
      </c>
    </row>
    <row r="180" spans="1:11" x14ac:dyDescent="0.25">
      <c r="A180" s="24" t="s">
        <v>3066</v>
      </c>
      <c r="B180" s="24">
        <v>9</v>
      </c>
      <c r="C180" s="24" t="s">
        <v>3067</v>
      </c>
      <c r="D180" s="24" t="s">
        <v>3068</v>
      </c>
      <c r="E180" s="24" t="s">
        <v>3069</v>
      </c>
      <c r="F180" s="24" t="s">
        <v>3070</v>
      </c>
      <c r="G180" s="24" t="s">
        <v>704</v>
      </c>
      <c r="H180" s="24"/>
      <c r="I180" s="25">
        <v>5416680</v>
      </c>
      <c r="J180" s="26">
        <v>0</v>
      </c>
      <c r="K180" s="26">
        <v>0</v>
      </c>
    </row>
    <row r="181" spans="1:11" x14ac:dyDescent="0.25">
      <c r="A181" s="24" t="s">
        <v>3071</v>
      </c>
      <c r="B181" s="24">
        <v>9</v>
      </c>
      <c r="C181" s="24" t="s">
        <v>3072</v>
      </c>
      <c r="D181" s="24" t="s">
        <v>3073</v>
      </c>
      <c r="E181" s="24" t="s">
        <v>3074</v>
      </c>
      <c r="F181" s="24" t="s">
        <v>3075</v>
      </c>
      <c r="G181" s="24" t="s">
        <v>704</v>
      </c>
      <c r="H181" s="24"/>
      <c r="I181" s="25">
        <v>756000</v>
      </c>
      <c r="J181" s="26">
        <v>0</v>
      </c>
      <c r="K181" s="26">
        <v>0</v>
      </c>
    </row>
    <row r="182" spans="1:11" x14ac:dyDescent="0.25">
      <c r="A182" s="24" t="s">
        <v>3076</v>
      </c>
      <c r="B182" s="24">
        <v>1</v>
      </c>
      <c r="C182" s="24" t="s">
        <v>3077</v>
      </c>
      <c r="D182" s="24" t="s">
        <v>3078</v>
      </c>
      <c r="E182" s="24" t="s">
        <v>3079</v>
      </c>
      <c r="F182" s="24" t="s">
        <v>3080</v>
      </c>
      <c r="G182" s="24" t="s">
        <v>527</v>
      </c>
      <c r="H182" s="24"/>
      <c r="I182" s="25">
        <v>1817500</v>
      </c>
      <c r="J182" s="26">
        <v>0</v>
      </c>
      <c r="K182" s="26">
        <v>0</v>
      </c>
    </row>
    <row r="183" spans="1:11" x14ac:dyDescent="0.25">
      <c r="A183" s="24" t="s">
        <v>3081</v>
      </c>
      <c r="B183" s="24">
        <v>2</v>
      </c>
      <c r="C183" s="24" t="s">
        <v>3082</v>
      </c>
      <c r="D183" s="24" t="s">
        <v>2314</v>
      </c>
      <c r="E183" s="24" t="s">
        <v>3083</v>
      </c>
      <c r="F183" s="24" t="s">
        <v>3084</v>
      </c>
      <c r="G183" s="24" t="s">
        <v>773</v>
      </c>
      <c r="H183" s="24"/>
      <c r="I183" s="25">
        <v>860000</v>
      </c>
      <c r="J183" s="26">
        <v>0</v>
      </c>
      <c r="K183" s="26">
        <v>0</v>
      </c>
    </row>
    <row r="184" spans="1:11" x14ac:dyDescent="0.25">
      <c r="A184" s="24" t="s">
        <v>3085</v>
      </c>
      <c r="B184" s="24">
        <v>3</v>
      </c>
      <c r="C184" s="24" t="s">
        <v>3086</v>
      </c>
      <c r="D184" s="24" t="s">
        <v>2256</v>
      </c>
      <c r="E184" s="24" t="s">
        <v>3087</v>
      </c>
      <c r="F184" s="24" t="s">
        <v>3088</v>
      </c>
      <c r="G184" s="24" t="s">
        <v>1237</v>
      </c>
      <c r="H184" s="24"/>
      <c r="I184" s="25">
        <v>15576048</v>
      </c>
      <c r="J184" s="26">
        <v>0</v>
      </c>
      <c r="K184" s="26">
        <v>0</v>
      </c>
    </row>
    <row r="185" spans="1:11" x14ac:dyDescent="0.25">
      <c r="A185" s="24" t="s">
        <v>3089</v>
      </c>
      <c r="B185" s="24">
        <v>5</v>
      </c>
      <c r="C185" s="24" t="s">
        <v>3090</v>
      </c>
      <c r="D185" s="24" t="s">
        <v>3091</v>
      </c>
      <c r="E185" s="24" t="s">
        <v>3092</v>
      </c>
      <c r="F185" s="24" t="s">
        <v>3093</v>
      </c>
      <c r="G185" s="24" t="s">
        <v>1237</v>
      </c>
      <c r="H185" s="24"/>
      <c r="I185" s="25">
        <v>24320092</v>
      </c>
      <c r="J185" s="26">
        <v>0</v>
      </c>
      <c r="K185" s="26">
        <v>850000</v>
      </c>
    </row>
    <row r="186" spans="1:11" x14ac:dyDescent="0.25">
      <c r="A186" s="24" t="s">
        <v>3094</v>
      </c>
      <c r="B186" s="24">
        <v>0</v>
      </c>
      <c r="C186" s="24" t="s">
        <v>3095</v>
      </c>
      <c r="D186" s="24" t="s">
        <v>3096</v>
      </c>
      <c r="E186" s="24" t="s">
        <v>2252</v>
      </c>
      <c r="F186" s="24" t="s">
        <v>3097</v>
      </c>
      <c r="G186" s="24" t="s">
        <v>1255</v>
      </c>
      <c r="H186" s="24"/>
      <c r="I186" s="25">
        <v>134907170</v>
      </c>
      <c r="J186" s="26">
        <v>0</v>
      </c>
      <c r="K186" s="26">
        <v>9440</v>
      </c>
    </row>
    <row r="187" spans="1:11" x14ac:dyDescent="0.25">
      <c r="A187" s="24" t="s">
        <v>3098</v>
      </c>
      <c r="B187" s="24">
        <v>1</v>
      </c>
      <c r="C187" s="24" t="s">
        <v>3099</v>
      </c>
      <c r="D187" s="24" t="s">
        <v>3100</v>
      </c>
      <c r="E187" s="24" t="s">
        <v>3101</v>
      </c>
      <c r="F187" s="24" t="s">
        <v>3102</v>
      </c>
      <c r="G187" s="24" t="s">
        <v>1249</v>
      </c>
      <c r="H187" s="24"/>
      <c r="I187" s="25">
        <v>8414081</v>
      </c>
      <c r="J187" s="26">
        <v>0</v>
      </c>
      <c r="K187" s="26">
        <v>0</v>
      </c>
    </row>
    <row r="188" spans="1:11" x14ac:dyDescent="0.25">
      <c r="A188" s="24" t="s">
        <v>3103</v>
      </c>
      <c r="B188" s="24">
        <v>9</v>
      </c>
      <c r="C188" s="24" t="s">
        <v>3104</v>
      </c>
      <c r="D188" s="24" t="s">
        <v>3105</v>
      </c>
      <c r="E188" s="24" t="s">
        <v>3106</v>
      </c>
      <c r="F188" s="24" t="s">
        <v>3107</v>
      </c>
      <c r="G188" s="24" t="s">
        <v>1251</v>
      </c>
      <c r="H188" s="24"/>
      <c r="I188" s="25">
        <v>150000</v>
      </c>
      <c r="J188" s="26">
        <v>0</v>
      </c>
      <c r="K188" s="26">
        <v>0</v>
      </c>
    </row>
    <row r="189" spans="1:11" x14ac:dyDescent="0.25">
      <c r="A189" s="24" t="s">
        <v>3108</v>
      </c>
      <c r="B189" s="24">
        <v>6</v>
      </c>
      <c r="C189" s="24" t="s">
        <v>3109</v>
      </c>
      <c r="D189" s="24" t="s">
        <v>2256</v>
      </c>
      <c r="E189" s="24" t="s">
        <v>3110</v>
      </c>
      <c r="F189" s="24" t="s">
        <v>3111</v>
      </c>
      <c r="G189" s="24" t="s">
        <v>1251</v>
      </c>
      <c r="H189" s="24"/>
      <c r="I189" s="25">
        <v>680000</v>
      </c>
      <c r="J189" s="26">
        <v>0</v>
      </c>
      <c r="K189" s="26">
        <v>0</v>
      </c>
    </row>
    <row r="190" spans="1:11" x14ac:dyDescent="0.25">
      <c r="A190" s="24" t="s">
        <v>3112</v>
      </c>
      <c r="B190" s="24">
        <v>2</v>
      </c>
      <c r="C190" s="24" t="s">
        <v>3113</v>
      </c>
      <c r="D190" s="24" t="s">
        <v>3114</v>
      </c>
      <c r="E190" s="24" t="s">
        <v>3115</v>
      </c>
      <c r="F190" s="24" t="s">
        <v>3116</v>
      </c>
      <c r="G190" s="24" t="s">
        <v>1943</v>
      </c>
      <c r="H190" s="24"/>
      <c r="I190" s="25">
        <v>7663864</v>
      </c>
      <c r="J190" s="26">
        <v>0</v>
      </c>
      <c r="K190" s="26">
        <v>0</v>
      </c>
    </row>
    <row r="191" spans="1:11" x14ac:dyDescent="0.25">
      <c r="A191" s="24" t="s">
        <v>3117</v>
      </c>
      <c r="B191" s="24">
        <v>4</v>
      </c>
      <c r="C191" s="24" t="s">
        <v>3118</v>
      </c>
      <c r="D191" s="24" t="s">
        <v>2281</v>
      </c>
      <c r="E191" s="24" t="s">
        <v>2252</v>
      </c>
      <c r="F191" s="24" t="s">
        <v>3119</v>
      </c>
      <c r="G191" s="24" t="s">
        <v>1953</v>
      </c>
      <c r="H191" s="24"/>
      <c r="I191" s="25">
        <v>5854500</v>
      </c>
      <c r="J191" s="26">
        <v>0</v>
      </c>
      <c r="K191" s="26">
        <v>0</v>
      </c>
    </row>
    <row r="192" spans="1:11" x14ac:dyDescent="0.25">
      <c r="A192" s="24" t="s">
        <v>3120</v>
      </c>
      <c r="B192" s="24">
        <v>8</v>
      </c>
      <c r="C192" s="24" t="s">
        <v>3121</v>
      </c>
      <c r="D192" s="24" t="s">
        <v>3122</v>
      </c>
      <c r="E192" s="24" t="s">
        <v>3123</v>
      </c>
      <c r="F192" s="24" t="s">
        <v>3119</v>
      </c>
      <c r="G192" s="24" t="s">
        <v>1953</v>
      </c>
      <c r="H192" s="24"/>
      <c r="I192" s="25">
        <v>36387232</v>
      </c>
      <c r="J192" s="26">
        <v>0</v>
      </c>
      <c r="K192" s="26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conditionalFormatting sqref="C7:C192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AcerPro</cp:lastModifiedBy>
  <dcterms:created xsi:type="dcterms:W3CDTF">2015-06-05T18:19:34Z</dcterms:created>
  <dcterms:modified xsi:type="dcterms:W3CDTF">2025-08-28T22:48:01Z</dcterms:modified>
</cp:coreProperties>
</file>