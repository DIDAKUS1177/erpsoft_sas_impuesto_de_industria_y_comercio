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ntabilidad\MEDIOS MAGNETICOS NACIONALES\Medios Magneticos 2.024\ICAS\02. Presentados\PAIPA\Información exógena\"/>
    </mc:Choice>
  </mc:AlternateContent>
  <xr:revisionPtr revIDLastSave="0" documentId="8_{29148BAE-A260-4594-8E48-F26D3CDB38FE}" xr6:coauthVersionLast="47" xr6:coauthVersionMax="47" xr10:uidLastSave="{00000000-0000-0000-0000-000000000000}"/>
  <bookViews>
    <workbookView xWindow="-120" yWindow="-120" windowWidth="29040" windowHeight="15720" xr2:uid="{8F1CEF91-0F9D-4F0C-B9F3-D17AEB124940}"/>
  </bookViews>
  <sheets>
    <sheet name="PFE4" sheetId="1" r:id="rId1"/>
  </sheets>
  <externalReferences>
    <externalReference r:id="rId2"/>
    <externalReference r:id="rId3"/>
  </externalReferences>
  <definedNames>
    <definedName name="_xlnm._FilterDatabase" localSheetId="0" hidden="1">'PFE4'!$A$11:$I$323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3" i="1" l="1"/>
  <c r="F322" i="1"/>
  <c r="F320" i="1"/>
  <c r="F319" i="1"/>
  <c r="F314" i="1"/>
  <c r="F312" i="1"/>
  <c r="F309" i="1"/>
  <c r="F304" i="1"/>
  <c r="F298" i="1"/>
  <c r="F297" i="1"/>
  <c r="F281" i="1"/>
  <c r="F274" i="1"/>
  <c r="F272" i="1"/>
  <c r="F266" i="1"/>
  <c r="F264" i="1"/>
  <c r="F263" i="1"/>
  <c r="F262" i="1"/>
  <c r="F257" i="1"/>
  <c r="F248" i="1"/>
  <c r="F247" i="1"/>
  <c r="E322" i="1"/>
  <c r="E320" i="1"/>
  <c r="E319" i="1"/>
  <c r="E314" i="1"/>
  <c r="E312" i="1"/>
  <c r="E309" i="1"/>
  <c r="E304" i="1"/>
  <c r="E298" i="1"/>
  <c r="E297" i="1"/>
  <c r="E281" i="1"/>
  <c r="E274" i="1"/>
  <c r="E272" i="1"/>
  <c r="E266" i="1"/>
  <c r="E264" i="1"/>
  <c r="E263" i="1"/>
  <c r="E262" i="1"/>
  <c r="E257" i="1"/>
  <c r="E248" i="1"/>
  <c r="E247" i="1"/>
  <c r="D322" i="1"/>
  <c r="D320" i="1"/>
  <c r="D319" i="1"/>
  <c r="D314" i="1"/>
  <c r="D312" i="1"/>
  <c r="D309" i="1"/>
  <c r="D304" i="1"/>
  <c r="D298" i="1"/>
  <c r="D297" i="1"/>
  <c r="D281" i="1"/>
  <c r="D274" i="1"/>
  <c r="D272" i="1"/>
  <c r="D266" i="1"/>
  <c r="D264" i="1"/>
  <c r="D263" i="1"/>
  <c r="D262" i="1"/>
  <c r="D257" i="1"/>
  <c r="D248" i="1"/>
  <c r="D247" i="1"/>
  <c r="B323" i="1"/>
  <c r="B311" i="1"/>
  <c r="B299" i="1"/>
  <c r="B287" i="1"/>
  <c r="B275" i="1"/>
  <c r="B251" i="1"/>
  <c r="B239" i="1"/>
  <c r="B227" i="1"/>
  <c r="B215" i="1"/>
  <c r="B191" i="1"/>
  <c r="B179" i="1"/>
  <c r="B167" i="1"/>
  <c r="B155" i="1"/>
  <c r="B143" i="1"/>
  <c r="B131" i="1"/>
  <c r="B119" i="1"/>
  <c r="B107" i="1"/>
  <c r="B95" i="1"/>
  <c r="B83" i="1"/>
  <c r="B71" i="1"/>
  <c r="B59" i="1"/>
  <c r="B35" i="1"/>
  <c r="B23" i="1"/>
  <c r="B82" i="1"/>
  <c r="B58" i="1"/>
  <c r="B34" i="1"/>
  <c r="B21" i="1"/>
  <c r="B56" i="1"/>
  <c r="B195" i="1"/>
  <c r="B63" i="1"/>
  <c r="B290" i="1"/>
  <c r="B194" i="1"/>
  <c r="B50" i="1"/>
  <c r="B289" i="1"/>
  <c r="B157" i="1"/>
  <c r="B49" i="1"/>
  <c r="B312" i="1"/>
  <c r="B216" i="1"/>
  <c r="B96" i="1"/>
  <c r="B24" i="1"/>
  <c r="B322" i="1"/>
  <c r="B310" i="1"/>
  <c r="B298" i="1"/>
  <c r="B286" i="1"/>
  <c r="B274" i="1"/>
  <c r="B250" i="1"/>
  <c r="B238" i="1"/>
  <c r="B226" i="1"/>
  <c r="B214" i="1"/>
  <c r="B202" i="1"/>
  <c r="B190" i="1"/>
  <c r="B178" i="1"/>
  <c r="B166" i="1"/>
  <c r="B154" i="1"/>
  <c r="B130" i="1"/>
  <c r="B118" i="1"/>
  <c r="B106" i="1"/>
  <c r="B94" i="1"/>
  <c r="B46" i="1"/>
  <c r="B22" i="1"/>
  <c r="B32" i="1"/>
  <c r="B171" i="1"/>
  <c r="B314" i="1"/>
  <c r="B218" i="1"/>
  <c r="B122" i="1"/>
  <c r="B26" i="1"/>
  <c r="B313" i="1"/>
  <c r="B217" i="1"/>
  <c r="B109" i="1"/>
  <c r="B25" i="1"/>
  <c r="B288" i="1"/>
  <c r="B144" i="1"/>
  <c r="B60" i="1"/>
  <c r="B321" i="1"/>
  <c r="B309" i="1"/>
  <c r="B297" i="1"/>
  <c r="B285" i="1"/>
  <c r="B273" i="1"/>
  <c r="B261" i="1"/>
  <c r="B249" i="1"/>
  <c r="B237" i="1"/>
  <c r="B225" i="1"/>
  <c r="B213" i="1"/>
  <c r="B201" i="1"/>
  <c r="B189" i="1"/>
  <c r="B177" i="1"/>
  <c r="B165" i="1"/>
  <c r="B153" i="1"/>
  <c r="B141" i="1"/>
  <c r="B129" i="1"/>
  <c r="B117" i="1"/>
  <c r="B93" i="1"/>
  <c r="B81" i="1"/>
  <c r="B69" i="1"/>
  <c r="B57" i="1"/>
  <c r="B45" i="1"/>
  <c r="B33" i="1"/>
  <c r="B44" i="1"/>
  <c r="B159" i="1"/>
  <c r="B87" i="1"/>
  <c r="B278" i="1"/>
  <c r="B170" i="1"/>
  <c r="B98" i="1"/>
  <c r="B14" i="1"/>
  <c r="B253" i="1"/>
  <c r="B145" i="1"/>
  <c r="B37" i="1"/>
  <c r="B168" i="1"/>
  <c r="B72" i="1"/>
  <c r="B320" i="1"/>
  <c r="B308" i="1"/>
  <c r="B296" i="1"/>
  <c r="B284" i="1"/>
  <c r="B272" i="1"/>
  <c r="B248" i="1"/>
  <c r="B236" i="1"/>
  <c r="B224" i="1"/>
  <c r="B200" i="1"/>
  <c r="B188" i="1"/>
  <c r="B176" i="1"/>
  <c r="B164" i="1"/>
  <c r="B152" i="1"/>
  <c r="B140" i="1"/>
  <c r="B128" i="1"/>
  <c r="B116" i="1"/>
  <c r="B104" i="1"/>
  <c r="B92" i="1"/>
  <c r="B80" i="1"/>
  <c r="B68" i="1"/>
  <c r="B20" i="1"/>
  <c r="B51" i="1"/>
  <c r="B266" i="1"/>
  <c r="B110" i="1"/>
  <c r="B229" i="1"/>
  <c r="B121" i="1"/>
  <c r="B228" i="1"/>
  <c r="B132" i="1"/>
  <c r="B36" i="1"/>
  <c r="B319" i="1"/>
  <c r="B307" i="1"/>
  <c r="B295" i="1"/>
  <c r="B283" i="1"/>
  <c r="B271" i="1"/>
  <c r="B259" i="1"/>
  <c r="B247" i="1"/>
  <c r="B235" i="1"/>
  <c r="B223" i="1"/>
  <c r="B211" i="1"/>
  <c r="B199" i="1"/>
  <c r="B187" i="1"/>
  <c r="B163" i="1"/>
  <c r="B151" i="1"/>
  <c r="B139" i="1"/>
  <c r="B127" i="1"/>
  <c r="B115" i="1"/>
  <c r="B103" i="1"/>
  <c r="B91" i="1"/>
  <c r="B79" i="1"/>
  <c r="B67" i="1"/>
  <c r="B55" i="1"/>
  <c r="B43" i="1"/>
  <c r="B31" i="1"/>
  <c r="B76" i="1"/>
  <c r="B28" i="1"/>
  <c r="B315" i="1"/>
  <c r="B255" i="1"/>
  <c r="B219" i="1"/>
  <c r="B147" i="1"/>
  <c r="B99" i="1"/>
  <c r="B302" i="1"/>
  <c r="B182" i="1"/>
  <c r="B86" i="1"/>
  <c r="B277" i="1"/>
  <c r="B181" i="1"/>
  <c r="B85" i="1"/>
  <c r="B13" i="1"/>
  <c r="B240" i="1"/>
  <c r="B180" i="1"/>
  <c r="B108" i="1"/>
  <c r="B318" i="1"/>
  <c r="B306" i="1"/>
  <c r="B294" i="1"/>
  <c r="B282" i="1"/>
  <c r="B270" i="1"/>
  <c r="B258" i="1"/>
  <c r="B246" i="1"/>
  <c r="B234" i="1"/>
  <c r="B222" i="1"/>
  <c r="B210" i="1"/>
  <c r="B198" i="1"/>
  <c r="B186" i="1"/>
  <c r="B174" i="1"/>
  <c r="B162" i="1"/>
  <c r="B150" i="1"/>
  <c r="B138" i="1"/>
  <c r="B126" i="1"/>
  <c r="B114" i="1"/>
  <c r="B102" i="1"/>
  <c r="B90" i="1"/>
  <c r="B78" i="1"/>
  <c r="B66" i="1"/>
  <c r="B54" i="1"/>
  <c r="B42" i="1"/>
  <c r="B30" i="1"/>
  <c r="B18" i="1"/>
  <c r="B64" i="1"/>
  <c r="B16" i="1"/>
  <c r="B303" i="1"/>
  <c r="B279" i="1"/>
  <c r="B231" i="1"/>
  <c r="B183" i="1"/>
  <c r="B111" i="1"/>
  <c r="B15" i="1"/>
  <c r="B242" i="1"/>
  <c r="B74" i="1"/>
  <c r="B301" i="1"/>
  <c r="B169" i="1"/>
  <c r="B61" i="1"/>
  <c r="B252" i="1"/>
  <c r="B192" i="1"/>
  <c r="B120" i="1"/>
  <c r="B317" i="1"/>
  <c r="B305" i="1"/>
  <c r="B293" i="1"/>
  <c r="B281" i="1"/>
  <c r="B269" i="1"/>
  <c r="B257" i="1"/>
  <c r="B245" i="1"/>
  <c r="B233" i="1"/>
  <c r="B221" i="1"/>
  <c r="B209" i="1"/>
  <c r="B197" i="1"/>
  <c r="B185" i="1"/>
  <c r="B173" i="1"/>
  <c r="B161" i="1"/>
  <c r="B149" i="1"/>
  <c r="B137" i="1"/>
  <c r="B125" i="1"/>
  <c r="B113" i="1"/>
  <c r="B101" i="1"/>
  <c r="B89" i="1"/>
  <c r="B77" i="1"/>
  <c r="B65" i="1"/>
  <c r="B53" i="1"/>
  <c r="B41" i="1"/>
  <c r="B29" i="1"/>
  <c r="B17" i="1"/>
  <c r="B88" i="1"/>
  <c r="B40" i="1"/>
  <c r="B291" i="1"/>
  <c r="B243" i="1"/>
  <c r="B207" i="1"/>
  <c r="B123" i="1"/>
  <c r="B27" i="1"/>
  <c r="B230" i="1"/>
  <c r="B158" i="1"/>
  <c r="B62" i="1"/>
  <c r="B265" i="1"/>
  <c r="B193" i="1"/>
  <c r="B97" i="1"/>
  <c r="B300" i="1"/>
  <c r="B204" i="1"/>
  <c r="B84" i="1"/>
  <c r="B316" i="1"/>
  <c r="B304" i="1"/>
  <c r="B292" i="1"/>
  <c r="B280" i="1"/>
  <c r="B268" i="1"/>
  <c r="B256" i="1"/>
  <c r="B244" i="1"/>
  <c r="B232" i="1"/>
  <c r="B220" i="1"/>
  <c r="B208" i="1"/>
  <c r="B196" i="1"/>
  <c r="B184" i="1"/>
  <c r="B172" i="1"/>
  <c r="B160" i="1"/>
  <c r="B148" i="1"/>
  <c r="B136" i="1"/>
  <c r="B124" i="1"/>
  <c r="B112" i="1"/>
  <c r="B100" i="1"/>
  <c r="B52" i="1"/>
  <c r="B267" i="1"/>
  <c r="B135" i="1"/>
  <c r="B39" i="1"/>
  <c r="B254" i="1"/>
  <c r="B206" i="1"/>
  <c r="B134" i="1"/>
  <c r="B38" i="1"/>
  <c r="B241" i="1"/>
  <c r="B205" i="1"/>
  <c r="B133" i="1"/>
  <c r="B73" i="1"/>
  <c r="B276" i="1"/>
  <c r="B156" i="1"/>
  <c r="B48" i="1"/>
  <c r="B12" i="1"/>
</calcChain>
</file>

<file path=xl/sharedStrings.xml><?xml version="1.0" encoding="utf-8"?>
<sst xmlns="http://schemas.openxmlformats.org/spreadsheetml/2006/main" count="924" uniqueCount="441">
  <si>
    <t>FORMATO PFE4:</t>
  </si>
  <si>
    <t>NIT / CC DEL CLIENTE</t>
  </si>
  <si>
    <t>DV</t>
  </si>
  <si>
    <t>NOMBRE O RAZON SOCIAL</t>
  </si>
  <si>
    <t>TELEFONO</t>
  </si>
  <si>
    <t>CORREO ELECTRONICO</t>
  </si>
  <si>
    <t>DIRECCIÓN DOMICILIO FISCAL</t>
  </si>
  <si>
    <t>CÓDIGO DEL MUNICIPIO</t>
  </si>
  <si>
    <t>VALOR FACTURADO CONSOLIDADO POR CADA CLIENTE</t>
  </si>
  <si>
    <t>CÓDIGO DE LA ACTIVIDAD</t>
  </si>
  <si>
    <t>ABB COLOMBIA LTDA</t>
  </si>
  <si>
    <t>ALMACENES EXITO S A</t>
  </si>
  <si>
    <t>AUDIOFOTO PRO</t>
  </si>
  <si>
    <t>AVEPRAD SAS</t>
  </si>
  <si>
    <t>BANCO MUNDIAL</t>
  </si>
  <si>
    <t>BAVARIA &amp; CIA SCA</t>
  </si>
  <si>
    <t>BMO SUR SAS</t>
  </si>
  <si>
    <t>C.I. PRODECO S.A.</t>
  </si>
  <si>
    <t>CAMEA SAS</t>
  </si>
  <si>
    <t>CERRO MATOSO S.A</t>
  </si>
  <si>
    <t>COESCO COLOMBIA SAS</t>
  </si>
  <si>
    <t>DRUMMOND LTD</t>
  </si>
  <si>
    <t>ECO BUSINESS FUND SA</t>
  </si>
  <si>
    <t>ECOLIMPIA SAS ESP</t>
  </si>
  <si>
    <t>EL ROBLE SOLAR SAS</t>
  </si>
  <si>
    <t>FRESENIUS KABI COLOM</t>
  </si>
  <si>
    <t>FRUTURA LLC</t>
  </si>
  <si>
    <t>GASEOSAS LUX SAS</t>
  </si>
  <si>
    <t>GECELCA 3 SAS ESP</t>
  </si>
  <si>
    <t>GRAVILLERA ALBANIA S</t>
  </si>
  <si>
    <t>HOTELES ESTELAR SA</t>
  </si>
  <si>
    <t>INERCO CONSULTORIA M</t>
  </si>
  <si>
    <t>INTEGRATED ENVIRONME</t>
  </si>
  <si>
    <t>KORNER SAS</t>
  </si>
  <si>
    <t>LEWIS ENERGY COLOMBI</t>
  </si>
  <si>
    <t>MARVAL SAS</t>
  </si>
  <si>
    <t>MECCI SAS</t>
  </si>
  <si>
    <t>MUNICIPIO DE AGUACHI</t>
  </si>
  <si>
    <t>MUNICIPIO DE PAIPA</t>
  </si>
  <si>
    <t>MUNICIPIO DE PUERTO</t>
  </si>
  <si>
    <t>MUNICIPIO LA GLORIA</t>
  </si>
  <si>
    <t>PALMAS DE TUMACO SAS</t>
  </si>
  <si>
    <t>PROMIGAS S.A. E.S.P.</t>
  </si>
  <si>
    <t>PROMIORIENTE SA ESP</t>
  </si>
  <si>
    <t>RENTA URBANA SAS</t>
  </si>
  <si>
    <t>S.A. DE OBRAS Y SERV</t>
  </si>
  <si>
    <t>TRANE DE COLOMBIA SA</t>
  </si>
  <si>
    <t>VANTI SOLUCIONES SAS</t>
  </si>
  <si>
    <t>WORLEY COLOMBIA SAS</t>
  </si>
  <si>
    <t>BRINSA SA</t>
  </si>
  <si>
    <t>MUNICIPIO DE CHIA</t>
  </si>
  <si>
    <t>MUNICIPIO DE EL PASO</t>
  </si>
  <si>
    <t>MUNICIPIO DE PALMAR</t>
  </si>
  <si>
    <t>SATOR SAS</t>
  </si>
  <si>
    <t>MUNICIPIO DE SESQUIL</t>
  </si>
  <si>
    <t>MUNICIPIO DE ZIPAQUI</t>
  </si>
  <si>
    <t>Acreedor CAJERO</t>
  </si>
  <si>
    <t>AGROSOLUCIONES AMBIE</t>
  </si>
  <si>
    <t>ALCALDIA MUNICIPAL S</t>
  </si>
  <si>
    <t>AÑEZ CATAÑO JOSE HER</t>
  </si>
  <si>
    <t>ARIZA OLIVARES ALFON</t>
  </si>
  <si>
    <t>ASOCIACION MUTUAL SE</t>
  </si>
  <si>
    <t>BAEZ GARCIA JAIRO ES</t>
  </si>
  <si>
    <t>BANCO CAJA SOCIAL SA</t>
  </si>
  <si>
    <t>BANCO DE BOGOTA</t>
  </si>
  <si>
    <t>BANCOLOMBIA S.A.</t>
  </si>
  <si>
    <t>BEACON ENVIRONMENTAL</t>
  </si>
  <si>
    <t>BOGOTA DISTRITO CAPI</t>
  </si>
  <si>
    <t>CAJA DE COMPENSACION</t>
  </si>
  <si>
    <t>CAJA SANTANDEREANA D</t>
  </si>
  <si>
    <t>CAJAMAG CAJA DE COMP</t>
  </si>
  <si>
    <t>COLFONDOS</t>
  </si>
  <si>
    <t>COMPASS GROUP SERVIC</t>
  </si>
  <si>
    <t>CREACIONES ANGELGAYA</t>
  </si>
  <si>
    <t>DIRECCION DE IMPUEST</t>
  </si>
  <si>
    <t>DISTRITO TURISTICO Y</t>
  </si>
  <si>
    <t>EMPRESA DE TELECOMUN</t>
  </si>
  <si>
    <t>ENTIDAD PROMOTORA DE</t>
  </si>
  <si>
    <t>ESCOBAR JOSE JOAQUIN</t>
  </si>
  <si>
    <t>EUROFINS ENVIRONMENT</t>
  </si>
  <si>
    <t>FONDO DE INVERSION C</t>
  </si>
  <si>
    <t>GOMEZ FONTALVO DANIE</t>
  </si>
  <si>
    <t>GONZALEZ CABALLERO Y</t>
  </si>
  <si>
    <t>HERNANDEZ JAQUE YENN</t>
  </si>
  <si>
    <t>HERNANDEZ KATERINE M</t>
  </si>
  <si>
    <t>HERNANDEZ LOPEZ KATE</t>
  </si>
  <si>
    <t>HERNANDEZ PEREZ LUIS</t>
  </si>
  <si>
    <t>HERRAN DIEGO ALEJAND</t>
  </si>
  <si>
    <t>HERRAN USECHE DIEGO</t>
  </si>
  <si>
    <t>HERRERA HERRERA SAND</t>
  </si>
  <si>
    <t>HINCAPIE GONZALEZ MA</t>
  </si>
  <si>
    <t>INERCO ACÚSTICA S.L.</t>
  </si>
  <si>
    <t>INERCO CONSULTORIA C</t>
  </si>
  <si>
    <t>INERCO CONSULTORIA P</t>
  </si>
  <si>
    <t>INTERTEK COLOMBIA SA</t>
  </si>
  <si>
    <t>JOYA GONZALEZ OLGA C</t>
  </si>
  <si>
    <t>JOYA OLGA CLARENA</t>
  </si>
  <si>
    <t>KOYOMAD PRODUCTOS CA</t>
  </si>
  <si>
    <t>LIBERTY SEGUROS S.A.</t>
  </si>
  <si>
    <t>LICORES CASA MORENO</t>
  </si>
  <si>
    <t>MALDONADO MOYA HEYNE</t>
  </si>
  <si>
    <t>MANCERA POSSE YENI C</t>
  </si>
  <si>
    <t>MARENCO FONTALVO DAI</t>
  </si>
  <si>
    <t>MAZA MORRON AGUSTIN</t>
  </si>
  <si>
    <t>MEDINA SOLANO DAVID</t>
  </si>
  <si>
    <t>MUNICIPIO DE ALBANIA</t>
  </si>
  <si>
    <t>MUNICIPIO DE BOJACA</t>
  </si>
  <si>
    <t>MUNICIPIO DE BUCARAM</t>
  </si>
  <si>
    <t>MUNICIPIO DE CIENAGA</t>
  </si>
  <si>
    <t>MUNICIPIO DE COTA</t>
  </si>
  <si>
    <t>MUNICIPIO DE MADRID</t>
  </si>
  <si>
    <t>MUNICIPIO DE SOACHA</t>
  </si>
  <si>
    <t>MUNICIPIO DE SOPO</t>
  </si>
  <si>
    <t>MUNICIPIO DE TOCANCI</t>
  </si>
  <si>
    <t>MUNICIPIO DE VILLAVI</t>
  </si>
  <si>
    <t>MUNICIPIO PUERTO LIB</t>
  </si>
  <si>
    <t>NIÑO ORTEGON MARIANG</t>
  </si>
  <si>
    <t>NUEVA EPS S.A.</t>
  </si>
  <si>
    <t>ONGC VIDESH LIMITED</t>
  </si>
  <si>
    <t>PINTO RICARDO ALBERT</t>
  </si>
  <si>
    <t>PINZON MARTINEZ ANA</t>
  </si>
  <si>
    <t>POLANCO DANIELA ADRI</t>
  </si>
  <si>
    <t>PORVENIR SA</t>
  </si>
  <si>
    <t>QUITIAN PINZON CRIST</t>
  </si>
  <si>
    <t>RENTAFACIL FONDO DE</t>
  </si>
  <si>
    <t>RLA SAV PERU SAC</t>
  </si>
  <si>
    <t>SALUD TOTAL E.P.S.</t>
  </si>
  <si>
    <t>SERVICOPY CANON SAS</t>
  </si>
  <si>
    <t>SILVA PEDRAZA HILDA</t>
  </si>
  <si>
    <t>TAU CONSULTORA AMBIE</t>
  </si>
  <si>
    <t>TELESENTINEL LTDA.</t>
  </si>
  <si>
    <t>TRATAMIENTOS QUIMICO</t>
  </si>
  <si>
    <t>UNION TEMPORAL INERC</t>
  </si>
  <si>
    <t>VALLE MIGUEL FERNAND</t>
  </si>
  <si>
    <t>VANTI S.A ESP</t>
  </si>
  <si>
    <t>VASQUEZ CRUZATE MARI</t>
  </si>
  <si>
    <t>ZEBALLOS GOMEZ RENE</t>
  </si>
  <si>
    <t>IMS960923FR</t>
  </si>
  <si>
    <t>A3201584</t>
  </si>
  <si>
    <t>A41212572</t>
  </si>
  <si>
    <t>A91074294</t>
  </si>
  <si>
    <t>CARBONES DEL CERREJON LIMITED</t>
  </si>
  <si>
    <t>ACOSTA IRREÑO &amp; ASOCIADOS SAS</t>
  </si>
  <si>
    <t>AMAZONICA LNG SAS ESP</t>
  </si>
  <si>
    <t>ARQUITECTURA Y CONCRETO SAS</t>
  </si>
  <si>
    <t>BARNES DE COLOMBIA SA</t>
  </si>
  <si>
    <t>SENCINET LATAM COLOMBIA SA</t>
  </si>
  <si>
    <t>C I COLOMBIAN NATURAL RESOURCES</t>
  </si>
  <si>
    <t>CARBONES DE LA JAGUA S. A.</t>
  </si>
  <si>
    <t>CENIT TRANSPORTE Y LOGISTICA DE HIDROCAR</t>
  </si>
  <si>
    <t>CHEVRON PETROLEUM COMPANY</t>
  </si>
  <si>
    <t>CNR III LTD SUCURSAL COLOMBIA</t>
  </si>
  <si>
    <t>COMPAÑIA DE SEGUROS DE VIDA COLMENA</t>
  </si>
  <si>
    <t>COMPAÑIA ENERGIA VERDE DEL FUTURO SAS</t>
  </si>
  <si>
    <t>COMPAÑIA MULTINACIONAL DE TRANSPORTE</t>
  </si>
  <si>
    <t>PATRIMONIOS AUTONOMOS AVAL FIDUCIARIA SA</t>
  </si>
  <si>
    <t>CONSORCIO CONSTRUCTOR SABANA NORTE</t>
  </si>
  <si>
    <t>CONSTRUCCIONES MARVAL SAS</t>
  </si>
  <si>
    <t>CONSTRUCTORA BOLIVAR BOGOTA S A</t>
  </si>
  <si>
    <t>CONSTRUCTORA EL CAIRO SAS</t>
  </si>
  <si>
    <t>CONSTRUCTORA LATITUD 80 SAS</t>
  </si>
  <si>
    <t>PRIMAX COLOMBIA SA</t>
  </si>
  <si>
    <t>ECOL SANEAMIENTO AMBIENTAL SAS</t>
  </si>
  <si>
    <t>EMPAQUES INDUSTRIALES DE COLOMBIA SAS</t>
  </si>
  <si>
    <t>EMGESA S.A. ESP</t>
  </si>
  <si>
    <t>ENLAZA GRUPO ENERGIA BOGOTA SAS ESP</t>
  </si>
  <si>
    <t>EQUIPNET COLOMBIA SAS</t>
  </si>
  <si>
    <t>ESENTTIA SA</t>
  </si>
  <si>
    <t>PATRIMONIO AUTONOMO FIDUCIARIARIA</t>
  </si>
  <si>
    <t>FIDEICOMISOS SOCIEDAD FIDUCIARIA DE</t>
  </si>
  <si>
    <t>FRONTERA ENERGY COLOMBIA CORP.</t>
  </si>
  <si>
    <t>FUNDACIÓN GREEN APPLE</t>
  </si>
  <si>
    <t>GAS NATURAL DEL ORIENTE SA ESP</t>
  </si>
  <si>
    <t>GASEOSAS COLOMBIANAS SAS</t>
  </si>
  <si>
    <t>GRAN TIERRA OPERATIONS COLOMBIA GMBH</t>
  </si>
  <si>
    <t>GRUPO ENERGIA BOGOTA SA ESP</t>
  </si>
  <si>
    <t>GRUPO PIURANO DE INVERSIONES SA</t>
  </si>
  <si>
    <t>HIDROCARBUROS DEL CASANARE SAS</t>
  </si>
  <si>
    <t>INDUSTRIAL CONCONCRETO SAS</t>
  </si>
  <si>
    <t>INDUSTRIA NACIONAL DE GASEOSAS SA</t>
  </si>
  <si>
    <t>INTER-AMERICAN DEVELOPMENT BANK</t>
  </si>
  <si>
    <t>INVERSIONES AUTOMOTRICES DE COLOMBIA SAS</t>
  </si>
  <si>
    <t>INVERSIONES MONDOÑEDO SAS</t>
  </si>
  <si>
    <t>INVERSIONES PROAL SAS</t>
  </si>
  <si>
    <t>MAINSTREAM COLOMBIA SAS</t>
  </si>
  <si>
    <t>SIERRACOL ENERGY ANDINA, LLC</t>
  </si>
  <si>
    <t>OLEODUCTO DE LOS LLANOS ORIENTALES SA</t>
  </si>
  <si>
    <t>ORGANIZACION TERPEL SA</t>
  </si>
  <si>
    <t>PAREX RESOURCES COLOMBIA AG SUCURSAL</t>
  </si>
  <si>
    <t>PARQUE SOLAR PORTON DEL SOL SAS</t>
  </si>
  <si>
    <t>PARTNERS FUND COLOMBIA OPCO SAS</t>
  </si>
  <si>
    <t>PATRIMONIOS AUTONOMOS ADMINISTRADOS</t>
  </si>
  <si>
    <t>PETROELECTRICA DE LOS LLANOS LTDA</t>
  </si>
  <si>
    <t>PRIME TERMOVALLE SAS ESP</t>
  </si>
  <si>
    <t>PROYECTO SOTO NORTE SAS</t>
  </si>
  <si>
    <t>RECKITT BENCKISER COLOMBIA SAS</t>
  </si>
  <si>
    <t>SACYR CONSTRUCCION COLOMBIA S A S</t>
  </si>
  <si>
    <t>SERVICIOS PARA VEHICULOS DE TRANSPORTE S</t>
  </si>
  <si>
    <t>STANDARD ENERGY COMPANY SA</t>
  </si>
  <si>
    <t>STEER DAVIES &amp; GLEAVE LIMITED</t>
  </si>
  <si>
    <t>SUCESORES DE JOSE RESTREPO Y CIA SA</t>
  </si>
  <si>
    <t>TEIXEIRA DUARTE - ENGENHARIA E CONSTRUCO</t>
  </si>
  <si>
    <t>TERMINAL DE CONTENEDORES DE CARTAGENA SA</t>
  </si>
  <si>
    <t>TERMOTASAJERO S.A. E.S.P</t>
  </si>
  <si>
    <t>VARICHEM DE COLOMBIA G ENVIRONMENTAL</t>
  </si>
  <si>
    <t>VEOLIA SERVICIOS INDUSTRIALES COLOMBIA</t>
  </si>
  <si>
    <t>SOCIEDAD PORTUARIA PUERTO NUEVO S.A</t>
  </si>
  <si>
    <t>TERMOELECTRICA EL TESORITO SAS ESP</t>
  </si>
  <si>
    <t>MANSAROVAR ENERGY COLOMBIA LTD</t>
  </si>
  <si>
    <t>ZONA FRANCA CENTRAL CERVECERA SAS</t>
  </si>
  <si>
    <t>AEROVIAS DEL CONTINENTE AMERICANO SA</t>
  </si>
  <si>
    <t>CAJA COLOMBIANA DE SUBSIDIO</t>
  </si>
  <si>
    <t>COMBUSTIBLES H&amp;R LTDA</t>
  </si>
  <si>
    <t>CONCRETOS Y ASFALTOS SA</t>
  </si>
  <si>
    <t>CONSORCIO INERCO OPTIM CUNAGUARO</t>
  </si>
  <si>
    <t>CONSORCIO POMCAS 2014</t>
  </si>
  <si>
    <t>CONSTRUCCIONES PLANIFICADAS SA</t>
  </si>
  <si>
    <t>CRISTALERIA PELDAR SA</t>
  </si>
  <si>
    <t>INERCO INGENIERIA TECNOLOGIA Y</t>
  </si>
  <si>
    <t>INERCO PREVENCION DE RIESGOS</t>
  </si>
  <si>
    <t>ONGC VIDESH LIMITED SUCURSAL</t>
  </si>
  <si>
    <t>JUAN.MORA@CO.ABB.COM</t>
  </si>
  <si>
    <t>AK 45 108 27</t>
  </si>
  <si>
    <t>notificaciones@cerrejon.com</t>
  </si>
  <si>
    <t>AV CL 100 19 54 P 12</t>
  </si>
  <si>
    <t>nohora_acosta@outlook.com</t>
  </si>
  <si>
    <t>CL 77 13 47 OF 202</t>
  </si>
  <si>
    <t>isabel.henao@grupo-exito.com</t>
  </si>
  <si>
    <t>AV ESPERANZA 62 49 L 134</t>
  </si>
  <si>
    <t>amazonicalngsas@gmail.com</t>
  </si>
  <si>
    <t>CL 77 B 57 101 OF 1007</t>
  </si>
  <si>
    <t>revisoria@arquitecturayconcreto.com</t>
  </si>
  <si>
    <t>CL 3 SUR 43 A 52 OF 1801</t>
  </si>
  <si>
    <t>contactoaveprad@gmail.com</t>
  </si>
  <si>
    <t>AV CR 7 155 C 20 OF 4501</t>
  </si>
  <si>
    <t>dreina@woridbank.org</t>
  </si>
  <si>
    <t>KR 7 71 21 TO A P</t>
  </si>
  <si>
    <t>lmojica@wdmpumps.com</t>
  </si>
  <si>
    <t>AUT MEDELLIN KM 7 COSTADO OCCIDENTAL BG 86 93</t>
  </si>
  <si>
    <t>notificaciones@ab-inbev.com</t>
  </si>
  <si>
    <t>CR 53 A 127 35</t>
  </si>
  <si>
    <t>gina.ramirez@connexionmovil.com</t>
  </si>
  <si>
    <t>AV CL 57 R SUR 72 F 50</t>
  </si>
  <si>
    <t>maria.diaz@sencinet.com</t>
  </si>
  <si>
    <t>CL 113 7 21 TO A OF 1112</t>
  </si>
  <si>
    <t>juridica@cnrcol.com</t>
  </si>
  <si>
    <t>CL 90 19 41 P 9</t>
  </si>
  <si>
    <t>notificacionjudicial@prodeco.com.co</t>
  </si>
  <si>
    <t>CRA 53 106 280 PISO 11 CENTRO EMPRESARIAL BUENAVISTA</t>
  </si>
  <si>
    <t>contabilidad@camea.com.co</t>
  </si>
  <si>
    <t>CL 92 9 64</t>
  </si>
  <si>
    <t>tomas.lopez@prodeco.com.co</t>
  </si>
  <si>
    <t>carlos.mora@cenit-transporte.com</t>
  </si>
  <si>
    <t>CL 113 7 80 P 12 13</t>
  </si>
  <si>
    <t>CMSAinvoices@south32.net</t>
  </si>
  <si>
    <t>KM 22 CARRETERA SUR OESTE</t>
  </si>
  <si>
    <t>clblegal@chevron.com</t>
  </si>
  <si>
    <t>CL 100 19 A 30</t>
  </si>
  <si>
    <t>juan.gomez@cnr-col.com</t>
  </si>
  <si>
    <t>CR 9 74 08 OF 403</t>
  </si>
  <si>
    <t>jvaleros@coescocolombia.com</t>
  </si>
  <si>
    <t>CL 90 19 C 32 P 1</t>
  </si>
  <si>
    <t>CL 26 69 3</t>
  </si>
  <si>
    <t>energiaverde@energiaverde.co</t>
  </si>
  <si>
    <t>CL 21 2 66 OF 401</t>
  </si>
  <si>
    <t>danny.chaparro@connexionmovil.com.co</t>
  </si>
  <si>
    <t>direccion.impuestos@fiduciariacorficolombiana.com</t>
  </si>
  <si>
    <t>CL 10 4 47 P 20</t>
  </si>
  <si>
    <t>juridico_col@ohia-colombia.com.co</t>
  </si>
  <si>
    <t>CL 221 51 97</t>
  </si>
  <si>
    <t>infomedios@marval.com.co</t>
  </si>
  <si>
    <t>CR 29 45 45 OF 1801 BRR SOTOMAYOR</t>
  </si>
  <si>
    <t>faelectronica@constructorabolivar.com</t>
  </si>
  <si>
    <t>CL 134 72 31</t>
  </si>
  <si>
    <t>claudiamrodriguez@yahoo.com.co</t>
  </si>
  <si>
    <t>CR 6 115 65 OF F 515</t>
  </si>
  <si>
    <t>facturaslatitud80@gmail.com</t>
  </si>
  <si>
    <t>CL 78 9 57 OF 1001</t>
  </si>
  <si>
    <t>notificaciones.colombia@dac.com.co</t>
  </si>
  <si>
    <t>CL 90 19 C 32</t>
  </si>
  <si>
    <t>rmedina@drummondltd.com</t>
  </si>
  <si>
    <t>CL 72 10 07 OF 1302</t>
  </si>
  <si>
    <t>adm.orbis@orbisambiental.eco.br</t>
  </si>
  <si>
    <t>CL 17 21 75</t>
  </si>
  <si>
    <t>aperez@ciudadlimpia.com.co</t>
  </si>
  <si>
    <t>CL 5 61 59 LC 18</t>
  </si>
  <si>
    <t>colombia.enerfin@elecnor.com</t>
  </si>
  <si>
    <t>CL 85 12 56 PL 14</t>
  </si>
  <si>
    <t>financiera@empicolsa.com</t>
  </si>
  <si>
    <t>CL 22 D 120 19 BG</t>
  </si>
  <si>
    <t>6016060-EXT3280</t>
  </si>
  <si>
    <t>atencionproveedores@enel.com</t>
  </si>
  <si>
    <t>CR 11 82 76 PI 3</t>
  </si>
  <si>
    <t>correspondencia@enlaza.red</t>
  </si>
  <si>
    <t>CR 9 73 44 P 9</t>
  </si>
  <si>
    <t>finance@equipnet.com</t>
  </si>
  <si>
    <t>CL 104 14 A 45 OF 204</t>
  </si>
  <si>
    <t>NOTIFICACIONES@ESENTTIA.COM</t>
  </si>
  <si>
    <t>MAMONAL KM 8</t>
  </si>
  <si>
    <t>impuestosproductosfb@bancolombia.com.co</t>
  </si>
  <si>
    <t>CR 48 26 85 TO NORTE P 1</t>
  </si>
  <si>
    <t>areadeimpuestos@fiduoccidente.com.co</t>
  </si>
  <si>
    <t>CR 13 26 A 47 P 9</t>
  </si>
  <si>
    <t>notificaciones@fronteraenergy.ca</t>
  </si>
  <si>
    <t>CL 110 9 25 P 12</t>
  </si>
  <si>
    <t>info@greenapplecartagena.com</t>
  </si>
  <si>
    <t>CORR BOCACHICA SEC PLAYA MANOM 1 1</t>
  </si>
  <si>
    <t>scastrillon@grupovanti.com</t>
  </si>
  <si>
    <t>DG 13 60 A 54</t>
  </si>
  <si>
    <t>scastriillon@grupovanti.com</t>
  </si>
  <si>
    <t>CL 71 A 5 38</t>
  </si>
  <si>
    <t>postobonofcentral@postobon.com.co</t>
  </si>
  <si>
    <t>CL 52 CR 47 42 P 32</t>
  </si>
  <si>
    <t>AV DE LAS AMERICAS 53 09</t>
  </si>
  <si>
    <t>notificacionesjudicialesg3@gecelca.com.co</t>
  </si>
  <si>
    <t>KM 24 VIA ALTERNA PUERTO LIBERTADOR PICA PICA MQ</t>
  </si>
  <si>
    <t>JIMMYGUAVITA@GRANTIERRA.COM</t>
  </si>
  <si>
    <t>CL 113 7 80 P 17</t>
  </si>
  <si>
    <t>impuestos@geb.com.co</t>
  </si>
  <si>
    <t>CR 9 73 44 P 6</t>
  </si>
  <si>
    <t>vconcepcionu@excellia.com.pe</t>
  </si>
  <si>
    <t>AV CIRCUNVALACION CLUB GOLF 134</t>
  </si>
  <si>
    <t>yluna@hidrocasanare.com.co</t>
  </si>
  <si>
    <t>CL 71 6 21 OF 301</t>
  </si>
  <si>
    <t>john.marin@hotelesestelar.com</t>
  </si>
  <si>
    <t>AV COLOMBIA 2 72</t>
  </si>
  <si>
    <t>info@industrialcc.co</t>
  </si>
  <si>
    <t>CL 5 B 21 24</t>
  </si>
  <si>
    <t>notificaciones@kof.com.mx</t>
  </si>
  <si>
    <t>CL 25 D 95 A 85 POR 2</t>
  </si>
  <si>
    <t>(202)3124158</t>
  </si>
  <si>
    <t>danielca@iadb.org</t>
  </si>
  <si>
    <t>1300 NEW YORK AVENUE NW WASHINGTON 20577</t>
  </si>
  <si>
    <t>eulogia.bernal@inversionesautomotrices.co</t>
  </si>
  <si>
    <t>AK 24 62 39</t>
  </si>
  <si>
    <t>asistente.admin@mondonedo.co</t>
  </si>
  <si>
    <t>TV  3 51 A 09</t>
  </si>
  <si>
    <t>mcespedes@bieneslalibertad.com</t>
  </si>
  <si>
    <t>CL 52 47 42 P 32</t>
  </si>
  <si>
    <t>contacto@korner.com.co</t>
  </si>
  <si>
    <t>AV CR 7 155 C 20 OF 4502</t>
  </si>
  <si>
    <t>nick.nisbet@mainstreamrp.com</t>
  </si>
  <si>
    <t>CL 98 10 32 OF 302</t>
  </si>
  <si>
    <t>KR 29 45 45 OF 1801</t>
  </si>
  <si>
    <t>bemo95@hotmail.com</t>
  </si>
  <si>
    <t>CR 70 64 39</t>
  </si>
  <si>
    <t>bogota-notificaciones-judiciales@sierracol.com</t>
  </si>
  <si>
    <t>CL 77 A 11 32</t>
  </si>
  <si>
    <t>notificaciones.judiciales@odl.com.co</t>
  </si>
  <si>
    <t>CR 11A 93 35 PI 3 Y 4</t>
  </si>
  <si>
    <t>infoterpel@terpel.com</t>
  </si>
  <si>
    <t>CR 7 75 51 OF 13 1</t>
  </si>
  <si>
    <t>ofbogota@palmares.com.co</t>
  </si>
  <si>
    <t>CR 11 82 01 P 5</t>
  </si>
  <si>
    <t>notificacionesjudiciales@parexresources.com</t>
  </si>
  <si>
    <t>CL 113 7 21 TO A OF 611</t>
  </si>
  <si>
    <t>cpalacio@elecnor.com</t>
  </si>
  <si>
    <t>facturacion@partnersfundcolombia.com</t>
  </si>
  <si>
    <t>DG 30 A 15 C SUR 119 ED ELE 16 OF 9802</t>
  </si>
  <si>
    <t>alejandrareuniano@masterplan.com.co</t>
  </si>
  <si>
    <t>AV EL DORADO 68 B 85 P 2</t>
  </si>
  <si>
    <t>notificacionespel@pel.com.co</t>
  </si>
  <si>
    <t>CL 100 9 A 45 OF 405</t>
  </si>
  <si>
    <t>notificacionesjudiciales@prime-energia.com</t>
  </si>
  <si>
    <t>KM 6 VIA YUMBO AEROPUERTO MATAPALO</t>
  </si>
  <si>
    <t>recepcion.facturas.electronicas@promigas.com</t>
  </si>
  <si>
    <t>CL 66 67 123</t>
  </si>
  <si>
    <t>info@promioriente.com</t>
  </si>
  <si>
    <t>CR 27 36 14 P 8</t>
  </si>
  <si>
    <t>notificaciones@psn.com.co</t>
  </si>
  <si>
    <t>CR 7 71 52 TO A P 5</t>
  </si>
  <si>
    <t>colnotificacionestaxes@reckitt.com</t>
  </si>
  <si>
    <t>CR 6 45 105</t>
  </si>
  <si>
    <t>A_ABRIL@CONTEXTOURBANO.COM.CO</t>
  </si>
  <si>
    <t>AV CR 7 127 48 OF 706</t>
  </si>
  <si>
    <t>sacyrconstruccionco.infofinanciera@sacyr.com</t>
  </si>
  <si>
    <t>CL 99 14 49 P 4 TO EAR</t>
  </si>
  <si>
    <t>impuestos@arcacolombia.com</t>
  </si>
  <si>
    <t>CL 63 SUR 70 C 25</t>
  </si>
  <si>
    <t>info@senergyc.com</t>
  </si>
  <si>
    <t>CR 49 B 103 B 81</t>
  </si>
  <si>
    <t>CR 7 71 52 TO A OF 904</t>
  </si>
  <si>
    <t>impuestos@casaluker.com.co</t>
  </si>
  <si>
    <t>CR 23 64 B 33 TO A SEC BR LAURELES</t>
  </si>
  <si>
    <t>contabilidadcolombia@teixeraduarte.pt</t>
  </si>
  <si>
    <t>CR 11 94 02 OF 201</t>
  </si>
  <si>
    <t>archivo@contecar.com.co</t>
  </si>
  <si>
    <t>KM 1 VIA A MAMONAL</t>
  </si>
  <si>
    <t>AV 0 10 78 OF 204</t>
  </si>
  <si>
    <t>diana.gallegos@trane.com</t>
  </si>
  <si>
    <t>AK 45 108 27 P 17 TO 3</t>
  </si>
  <si>
    <t>mriano@grupovanti.com</t>
  </si>
  <si>
    <t>CR 7 73 47 P 3</t>
  </si>
  <si>
    <t>notificaciones@varichem.com</t>
  </si>
  <si>
    <t>CR 18 84 84 OF 601</t>
  </si>
  <si>
    <t>servicios-industriales.colombia@veolia.com</t>
  </si>
  <si>
    <t>CL 96 10 72 P 3</t>
  </si>
  <si>
    <t>german.castano@worley.com</t>
  </si>
  <si>
    <t>CR 12 A 78 40 P 10</t>
  </si>
  <si>
    <t>javier.fetecua@brinsa.com.co</t>
  </si>
  <si>
    <t>CR 33 7 41 P 2</t>
  </si>
  <si>
    <t>KM 10 VIA CIENAGA</t>
  </si>
  <si>
    <t>notificacionesjudicialeseltesorito@celsia.com</t>
  </si>
  <si>
    <t>CR 43 A 1 A SUR 143 P5</t>
  </si>
  <si>
    <t>mansarovar_colombia@mansarovar.co</t>
  </si>
  <si>
    <t>CL 100 13 76 P 11</t>
  </si>
  <si>
    <t>notificaciones@sator.com.co</t>
  </si>
  <si>
    <t>KR 43 B 1 A SUR 128 AD SANTILLANA</t>
  </si>
  <si>
    <t>mrmorales@centralcervecera.com</t>
  </si>
  <si>
    <t>KM 36 TRONCAL CENTRAL DEL NORTE AUT BOGOTA TUNJA</t>
  </si>
  <si>
    <t>Notificaciones@avianca.com</t>
  </si>
  <si>
    <t>CL 77 B 57 103 P 21 ED GREEN TOWERS</t>
  </si>
  <si>
    <t>KR 7 30 28</t>
  </si>
  <si>
    <t>victor.ramos@colsubsidio.com</t>
  </si>
  <si>
    <t>CL 26 25 50</t>
  </si>
  <si>
    <t>yolima.rojas@dihego.com.co</t>
  </si>
  <si>
    <t>CL 123 7 07 OF 305</t>
  </si>
  <si>
    <t>info@conasfaltos.com</t>
  </si>
  <si>
    <t>DG 51 15 A 161 KM 12 AUT NORTE</t>
  </si>
  <si>
    <t>jescobar@inerco.com</t>
  </si>
  <si>
    <t>CL 116 19 41 P 3</t>
  </si>
  <si>
    <t>consejo@ccs.org.co</t>
  </si>
  <si>
    <t>AC CL 116 19 41 P 3</t>
  </si>
  <si>
    <t>cpsa@conplanificadas.com</t>
  </si>
  <si>
    <t>CR 13 26A 47 P2</t>
  </si>
  <si>
    <t>peldar@o-i.com</t>
  </si>
  <si>
    <t>CR 48 32 B SUR 139 P 11</t>
  </si>
  <si>
    <t>PROTECCION S.A.</t>
  </si>
  <si>
    <t>ENTIDAD PROMOTORA DE SALUD FAMISANAR S.A.S </t>
  </si>
  <si>
    <t>FONDO DE INVERSION COLECTIVA ABIERTO FIDUCUENTA</t>
  </si>
  <si>
    <t>MUNICIPIO DE PUERTO LOPEZ</t>
  </si>
  <si>
    <t>05308</t>
  </si>
  <si>
    <t>05400</t>
  </si>
  <si>
    <t>05001</t>
  </si>
  <si>
    <t>08520</t>
  </si>
  <si>
    <t>08560</t>
  </si>
  <si>
    <t>08606</t>
  </si>
  <si>
    <t>08638</t>
  </si>
  <si>
    <t>05893</t>
  </si>
  <si>
    <t>NA</t>
  </si>
  <si>
    <t>AC 116 19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</si>
</sst>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0" borderId="0" xfId="0" applyNumberFormat="1"/>
    <xf numFmtId="0" fontId="3" fillId="0" borderId="0" xfId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 wrapText="1"/>
    </xf>
    <xf numFmtId="0" fontId="3" fillId="0" borderId="0" xfId="1" applyFont="1" applyAlignment="1">
      <alignment horizontal="right"/>
    </xf>
    <xf numFmtId="49" fontId="3" fillId="0" borderId="0" xfId="1" applyNumberFormat="1" applyFont="1" applyFill="1" applyAlignment="1">
      <alignment horizontal="right"/>
    </xf>
    <xf numFmtId="0" fontId="3" fillId="0" borderId="0" xfId="1" applyFont="1" applyFill="1" applyAlignment="1">
      <alignment horizontal="right"/>
    </xf>
    <xf numFmtId="0" fontId="3" fillId="0" borderId="0" xfId="0" applyFont="1" applyAlignment="1">
      <alignment horizontal="right"/>
    </xf>
    <xf numFmtId="49" fontId="3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</cellXfs>
  <cellStyles count="2">
    <cellStyle name="Normal" xfId="0" builtinId="0"/>
    <cellStyle name="Normal 9" xfId="1" xr:uid="{10FA20FA-C087-4B0D-8840-B5953C3D6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1038225</xdr:colOff>
      <xdr:row>7</xdr:row>
      <xdr:rowOff>171897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1D48E6-420C-CDF8-3B02-B3388E0D6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77375" cy="15053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contabilidad\MEDIOS%20MAGNETICOS%20NACIONALES\Medios%20Magneticos%202.024\1.%20Exogena_Inerco%20Consultoria%20Colombia%20Ltda_15.05.2025_OK%20PRESENTADA\Material%20de%20ayuda\Deudores.xlsx" TargetMode="External"/><Relationship Id="rId1" Type="http://schemas.openxmlformats.org/officeDocument/2006/relationships/externalLinkPath" Target="/contabilidad/MEDIOS%20MAGNETICOS%20NACIONALES/Medios%20Magneticos%202.024/1.%20Exogena_Inerco%20Consultoria%20Colombia%20Ltda_15.05.2025_OK%20PRESENTADA/Material%20de%20ayuda/Deudor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valles\Documents\DV.xla" TargetMode="External"/><Relationship Id="rId1" Type="http://schemas.openxmlformats.org/officeDocument/2006/relationships/externalLinkPath" Target="file:///C:\Users\svalles\Documents\DV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P"/>
      <sheetName val="Hoja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definedNames>
      <definedName name="dv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293C-0E0D-4971-81BF-213D63408A54}">
  <dimension ref="A8:I323"/>
  <sheetViews>
    <sheetView tabSelected="1" workbookViewId="0">
      <pane ySplit="11" topLeftCell="A302" activePane="bottomLeft" state="frozen"/>
      <selection pane="bottomLeft" activeCell="H1" sqref="H1"/>
    </sheetView>
  </sheetViews>
  <sheetFormatPr baseColWidth="10" defaultRowHeight="15" x14ac:dyDescent="0.25"/>
  <cols>
    <col min="1" max="1" width="13" bestFit="1" customWidth="1"/>
    <col min="2" max="2" width="3.5703125" bestFit="1" customWidth="1"/>
    <col min="3" max="3" width="45.42578125" bestFit="1" customWidth="1"/>
    <col min="4" max="4" width="15.85546875" bestFit="1" customWidth="1"/>
    <col min="5" max="5" width="48.7109375" bestFit="1" customWidth="1"/>
    <col min="6" max="6" width="56.7109375" bestFit="1" customWidth="1"/>
    <col min="7" max="7" width="11.140625" style="5" bestFit="1" customWidth="1"/>
    <col min="8" max="8" width="18.5703125" bestFit="1" customWidth="1"/>
    <col min="9" max="9" width="11" bestFit="1" customWidth="1"/>
    <col min="11" max="11" width="25.140625" bestFit="1" customWidth="1"/>
  </cols>
  <sheetData>
    <row r="8" spans="1:9" x14ac:dyDescent="0.25">
      <c r="A8" s="2" t="s">
        <v>0</v>
      </c>
      <c r="B8" s="2"/>
      <c r="C8" s="2"/>
      <c r="D8" s="2"/>
      <c r="E8" s="2"/>
      <c r="F8" s="2"/>
      <c r="G8" s="2"/>
      <c r="H8" s="2"/>
      <c r="I8" s="2"/>
    </row>
    <row r="9" spans="1:9" ht="24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1" spans="1:9" s="1" customFormat="1" ht="45" x14ac:dyDescent="0.25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6" t="s">
        <v>7</v>
      </c>
      <c r="H11" s="1" t="s">
        <v>8</v>
      </c>
      <c r="I11" s="1" t="s">
        <v>9</v>
      </c>
    </row>
    <row r="12" spans="1:9" x14ac:dyDescent="0.25">
      <c r="A12">
        <v>901283882</v>
      </c>
      <c r="B12" t="str">
        <f>[2]!dv(A12)</f>
        <v>1</v>
      </c>
      <c r="C12" t="s">
        <v>10</v>
      </c>
      <c r="D12">
        <v>4178000</v>
      </c>
      <c r="E12" t="s">
        <v>221</v>
      </c>
      <c r="F12" t="s">
        <v>222</v>
      </c>
      <c r="G12" s="7">
        <v>85010</v>
      </c>
      <c r="H12">
        <v>965300</v>
      </c>
      <c r="I12">
        <v>7490</v>
      </c>
    </row>
    <row r="13" spans="1:9" x14ac:dyDescent="0.25">
      <c r="A13">
        <v>860069804</v>
      </c>
      <c r="B13" t="str">
        <f>[2]!dv(A13)</f>
        <v>2</v>
      </c>
      <c r="C13" t="s">
        <v>141</v>
      </c>
      <c r="D13">
        <v>5955555</v>
      </c>
      <c r="E13" t="s">
        <v>223</v>
      </c>
      <c r="F13" t="s">
        <v>224</v>
      </c>
      <c r="G13" s="7">
        <v>44035</v>
      </c>
      <c r="H13">
        <v>56671880</v>
      </c>
      <c r="I13">
        <v>7490</v>
      </c>
    </row>
    <row r="14" spans="1:9" x14ac:dyDescent="0.25">
      <c r="A14">
        <v>901283882</v>
      </c>
      <c r="B14" t="str">
        <f>[2]!dv(A14)</f>
        <v>1</v>
      </c>
      <c r="C14" t="s">
        <v>10</v>
      </c>
      <c r="D14">
        <v>4178000</v>
      </c>
      <c r="E14" t="s">
        <v>221</v>
      </c>
      <c r="F14" t="s">
        <v>222</v>
      </c>
      <c r="G14" s="5">
        <v>11001</v>
      </c>
      <c r="H14">
        <v>175741321</v>
      </c>
      <c r="I14">
        <v>7490</v>
      </c>
    </row>
    <row r="15" spans="1:9" x14ac:dyDescent="0.25">
      <c r="A15">
        <v>900586941</v>
      </c>
      <c r="B15" t="str">
        <f>[2]!dv(A15)</f>
        <v>5</v>
      </c>
      <c r="C15" t="s">
        <v>142</v>
      </c>
      <c r="D15">
        <v>6400820</v>
      </c>
      <c r="E15" t="s">
        <v>225</v>
      </c>
      <c r="F15" t="s">
        <v>226</v>
      </c>
      <c r="G15" s="5">
        <v>11001</v>
      </c>
      <c r="H15">
        <v>37233259</v>
      </c>
      <c r="I15">
        <v>7490</v>
      </c>
    </row>
    <row r="16" spans="1:9" x14ac:dyDescent="0.25">
      <c r="A16">
        <v>890900608</v>
      </c>
      <c r="B16" t="str">
        <f>[2]!dv(A16)</f>
        <v>9</v>
      </c>
      <c r="C16" t="s">
        <v>11</v>
      </c>
      <c r="D16">
        <v>3396565</v>
      </c>
      <c r="E16" t="s">
        <v>227</v>
      </c>
      <c r="F16" t="s">
        <v>228</v>
      </c>
      <c r="G16" s="5">
        <v>11001</v>
      </c>
      <c r="H16">
        <v>18688414</v>
      </c>
      <c r="I16">
        <v>7490</v>
      </c>
    </row>
    <row r="17" spans="1:9" x14ac:dyDescent="0.25">
      <c r="A17">
        <v>901716268</v>
      </c>
      <c r="B17" t="str">
        <f>[2]!dv(A17)</f>
        <v>9</v>
      </c>
      <c r="C17" t="s">
        <v>143</v>
      </c>
      <c r="D17">
        <v>3106308452</v>
      </c>
      <c r="E17" t="s">
        <v>229</v>
      </c>
      <c r="F17" t="s">
        <v>230</v>
      </c>
      <c r="G17" s="5">
        <v>11001</v>
      </c>
      <c r="H17">
        <v>40000000</v>
      </c>
      <c r="I17">
        <v>7490</v>
      </c>
    </row>
    <row r="18" spans="1:9" x14ac:dyDescent="0.25">
      <c r="A18">
        <v>800093117</v>
      </c>
      <c r="B18" t="str">
        <f>[2]!dv(A18)</f>
        <v>3</v>
      </c>
      <c r="C18" t="s">
        <v>144</v>
      </c>
      <c r="D18">
        <v>3123618</v>
      </c>
      <c r="E18" t="s">
        <v>231</v>
      </c>
      <c r="F18" t="s">
        <v>232</v>
      </c>
      <c r="G18" s="5">
        <v>11001</v>
      </c>
      <c r="H18">
        <v>53270000</v>
      </c>
      <c r="I18">
        <v>7490</v>
      </c>
    </row>
    <row r="19" spans="1:9" x14ac:dyDescent="0.25">
      <c r="A19" s="3">
        <v>558762133459</v>
      </c>
      <c r="C19" t="s">
        <v>12</v>
      </c>
      <c r="D19">
        <v>6012362600</v>
      </c>
      <c r="E19" t="s">
        <v>439</v>
      </c>
      <c r="F19" t="s">
        <v>440</v>
      </c>
      <c r="G19" s="5">
        <v>11001</v>
      </c>
      <c r="H19">
        <v>15738639</v>
      </c>
      <c r="I19">
        <v>7490</v>
      </c>
    </row>
    <row r="20" spans="1:9" x14ac:dyDescent="0.25">
      <c r="A20">
        <v>900426821</v>
      </c>
      <c r="B20" t="str">
        <f>[2]!dv(A20)</f>
        <v>4</v>
      </c>
      <c r="C20" t="s">
        <v>13</v>
      </c>
      <c r="D20">
        <v>2411450</v>
      </c>
      <c r="E20" t="s">
        <v>233</v>
      </c>
      <c r="F20" t="s">
        <v>234</v>
      </c>
      <c r="G20" s="5">
        <v>11001</v>
      </c>
      <c r="H20">
        <v>39907627</v>
      </c>
      <c r="I20">
        <v>7490</v>
      </c>
    </row>
    <row r="21" spans="1:9" x14ac:dyDescent="0.25">
      <c r="A21">
        <v>800091029</v>
      </c>
      <c r="B21" t="str">
        <f>[2]!dv(A21)</f>
        <v>4</v>
      </c>
      <c r="C21" t="s">
        <v>14</v>
      </c>
      <c r="D21">
        <v>3263600</v>
      </c>
      <c r="E21" t="s">
        <v>235</v>
      </c>
      <c r="F21" t="s">
        <v>236</v>
      </c>
      <c r="G21" s="5">
        <v>11001</v>
      </c>
      <c r="H21">
        <v>146366514</v>
      </c>
      <c r="I21">
        <v>7490</v>
      </c>
    </row>
    <row r="22" spans="1:9" x14ac:dyDescent="0.25">
      <c r="A22">
        <v>860002455</v>
      </c>
      <c r="B22" t="str">
        <f>[2]!dv(A22)</f>
        <v>7</v>
      </c>
      <c r="C22" t="s">
        <v>145</v>
      </c>
      <c r="D22">
        <v>7439090</v>
      </c>
      <c r="E22" t="s">
        <v>237</v>
      </c>
      <c r="F22" t="s">
        <v>238</v>
      </c>
      <c r="G22" s="5">
        <v>11001</v>
      </c>
      <c r="H22">
        <v>18260781</v>
      </c>
      <c r="I22">
        <v>7490</v>
      </c>
    </row>
    <row r="23" spans="1:9" x14ac:dyDescent="0.25">
      <c r="A23">
        <v>860005224</v>
      </c>
      <c r="B23" t="str">
        <f>[2]!dv(A23)</f>
        <v>6</v>
      </c>
      <c r="C23" t="s">
        <v>15</v>
      </c>
      <c r="D23">
        <v>63890000</v>
      </c>
      <c r="E23" t="s">
        <v>239</v>
      </c>
      <c r="F23" t="s">
        <v>240</v>
      </c>
      <c r="G23" s="5">
        <v>11001</v>
      </c>
      <c r="H23">
        <v>285089410</v>
      </c>
      <c r="I23">
        <v>7490</v>
      </c>
    </row>
    <row r="24" spans="1:9" x14ac:dyDescent="0.25">
      <c r="A24">
        <v>901230120</v>
      </c>
      <c r="B24" t="str">
        <f>[2]!dv(A24)</f>
        <v>0</v>
      </c>
      <c r="C24" t="s">
        <v>16</v>
      </c>
      <c r="D24">
        <v>7459067</v>
      </c>
      <c r="E24" t="s">
        <v>241</v>
      </c>
      <c r="F24" t="s">
        <v>242</v>
      </c>
      <c r="G24" s="5">
        <v>11001</v>
      </c>
      <c r="H24">
        <v>17001001</v>
      </c>
      <c r="I24">
        <v>7490</v>
      </c>
    </row>
    <row r="25" spans="1:9" x14ac:dyDescent="0.25">
      <c r="A25">
        <v>800255754</v>
      </c>
      <c r="B25" t="str">
        <f>[2]!dv(A25)</f>
        <v>1</v>
      </c>
      <c r="C25" t="s">
        <v>146</v>
      </c>
      <c r="D25">
        <v>6292240</v>
      </c>
      <c r="E25" t="s">
        <v>243</v>
      </c>
      <c r="F25" t="s">
        <v>244</v>
      </c>
      <c r="G25" s="5">
        <v>11001</v>
      </c>
      <c r="H25">
        <v>16989000</v>
      </c>
      <c r="I25">
        <v>7490</v>
      </c>
    </row>
    <row r="26" spans="1:9" x14ac:dyDescent="0.25">
      <c r="A26">
        <v>900333530</v>
      </c>
      <c r="B26" t="str">
        <f>[2]!dv(A26)</f>
        <v>6</v>
      </c>
      <c r="C26" t="s">
        <v>147</v>
      </c>
      <c r="D26">
        <v>3012326975</v>
      </c>
      <c r="E26" t="s">
        <v>245</v>
      </c>
      <c r="F26" t="s">
        <v>246</v>
      </c>
      <c r="G26" s="5">
        <v>11001</v>
      </c>
      <c r="H26">
        <v>10630500</v>
      </c>
      <c r="I26">
        <v>7490</v>
      </c>
    </row>
    <row r="27" spans="1:9" x14ac:dyDescent="0.25">
      <c r="A27">
        <v>860041312</v>
      </c>
      <c r="B27" t="str">
        <f>[2]!dv(A27)</f>
        <v>9</v>
      </c>
      <c r="C27" t="s">
        <v>17</v>
      </c>
      <c r="D27">
        <v>3695500</v>
      </c>
      <c r="E27" t="s">
        <v>247</v>
      </c>
      <c r="F27" t="s">
        <v>248</v>
      </c>
      <c r="G27" s="5">
        <v>11001</v>
      </c>
      <c r="H27">
        <v>56188304</v>
      </c>
      <c r="I27">
        <v>7490</v>
      </c>
    </row>
    <row r="28" spans="1:9" x14ac:dyDescent="0.25">
      <c r="A28">
        <v>860079706</v>
      </c>
      <c r="B28" t="str">
        <f>[2]!dv(A28)</f>
        <v>1</v>
      </c>
      <c r="C28" t="s">
        <v>18</v>
      </c>
      <c r="D28">
        <v>3013793310</v>
      </c>
      <c r="E28" t="s">
        <v>249</v>
      </c>
      <c r="F28" t="s">
        <v>250</v>
      </c>
      <c r="G28" s="5">
        <v>11001</v>
      </c>
      <c r="H28">
        <v>5245765</v>
      </c>
      <c r="I28">
        <v>7490</v>
      </c>
    </row>
    <row r="29" spans="1:9" x14ac:dyDescent="0.25">
      <c r="A29">
        <v>802024439</v>
      </c>
      <c r="B29" t="str">
        <f>[2]!dv(A29)</f>
        <v>2</v>
      </c>
      <c r="C29" t="s">
        <v>148</v>
      </c>
      <c r="D29">
        <v>3695500</v>
      </c>
      <c r="E29" t="s">
        <v>251</v>
      </c>
      <c r="F29" t="s">
        <v>248</v>
      </c>
      <c r="G29" s="5">
        <v>11001</v>
      </c>
      <c r="H29">
        <v>44948029</v>
      </c>
      <c r="I29">
        <v>7490</v>
      </c>
    </row>
    <row r="30" spans="1:9" x14ac:dyDescent="0.25">
      <c r="A30">
        <v>860069804</v>
      </c>
      <c r="B30" t="str">
        <f>[2]!dv(A30)</f>
        <v>2</v>
      </c>
      <c r="C30" t="s">
        <v>141</v>
      </c>
      <c r="D30">
        <v>5955555</v>
      </c>
      <c r="E30" t="s">
        <v>223</v>
      </c>
      <c r="F30" t="s">
        <v>224</v>
      </c>
      <c r="G30" s="5">
        <v>11001</v>
      </c>
      <c r="H30">
        <v>436025204</v>
      </c>
      <c r="I30">
        <v>7490</v>
      </c>
    </row>
    <row r="31" spans="1:9" x14ac:dyDescent="0.25">
      <c r="A31">
        <v>900531210</v>
      </c>
      <c r="B31" t="str">
        <f>[2]!dv(A31)</f>
        <v>3</v>
      </c>
      <c r="C31" t="s">
        <v>149</v>
      </c>
      <c r="D31">
        <v>6013198800</v>
      </c>
      <c r="E31" t="s">
        <v>252</v>
      </c>
      <c r="F31" t="s">
        <v>253</v>
      </c>
      <c r="G31" s="5">
        <v>11001</v>
      </c>
      <c r="H31">
        <v>90444000</v>
      </c>
      <c r="I31">
        <v>7490</v>
      </c>
    </row>
    <row r="32" spans="1:9" x14ac:dyDescent="0.25">
      <c r="A32">
        <v>860069378</v>
      </c>
      <c r="B32" t="str">
        <f>[2]!dv(A32)</f>
        <v>6</v>
      </c>
      <c r="C32" t="s">
        <v>19</v>
      </c>
      <c r="D32">
        <v>7723697</v>
      </c>
      <c r="E32" t="s">
        <v>254</v>
      </c>
      <c r="F32" t="s">
        <v>255</v>
      </c>
      <c r="G32" s="5">
        <v>11001</v>
      </c>
      <c r="H32">
        <v>88048713</v>
      </c>
      <c r="I32">
        <v>7490</v>
      </c>
    </row>
    <row r="33" spans="1:9" x14ac:dyDescent="0.25">
      <c r="A33">
        <v>860005223</v>
      </c>
      <c r="B33" t="str">
        <f>[2]!dv(A33)</f>
        <v>9</v>
      </c>
      <c r="C33" t="s">
        <v>150</v>
      </c>
      <c r="D33">
        <v>6394444</v>
      </c>
      <c r="E33" t="s">
        <v>256</v>
      </c>
      <c r="F33" t="s">
        <v>257</v>
      </c>
      <c r="G33" s="5">
        <v>11001</v>
      </c>
      <c r="H33">
        <v>21400000</v>
      </c>
      <c r="I33">
        <v>7490</v>
      </c>
    </row>
    <row r="34" spans="1:9" x14ac:dyDescent="0.25">
      <c r="A34">
        <v>900268901</v>
      </c>
      <c r="B34" t="str">
        <f>[2]!dv(A34)</f>
        <v>7</v>
      </c>
      <c r="C34" t="s">
        <v>151</v>
      </c>
      <c r="D34">
        <v>3268600</v>
      </c>
      <c r="E34" t="s">
        <v>258</v>
      </c>
      <c r="F34" t="s">
        <v>259</v>
      </c>
      <c r="G34" s="5">
        <v>11001</v>
      </c>
      <c r="H34">
        <v>336355160</v>
      </c>
      <c r="I34">
        <v>7490</v>
      </c>
    </row>
    <row r="35" spans="1:9" x14ac:dyDescent="0.25">
      <c r="A35">
        <v>901300741</v>
      </c>
      <c r="B35" t="str">
        <f>[2]!dv(A35)</f>
        <v>5</v>
      </c>
      <c r="C35" t="s">
        <v>20</v>
      </c>
      <c r="D35">
        <v>6341500</v>
      </c>
      <c r="E35" t="s">
        <v>260</v>
      </c>
      <c r="F35" t="s">
        <v>261</v>
      </c>
      <c r="G35" s="5">
        <v>11001</v>
      </c>
      <c r="H35">
        <v>16234389</v>
      </c>
      <c r="I35">
        <v>7490</v>
      </c>
    </row>
    <row r="36" spans="1:9" x14ac:dyDescent="0.25">
      <c r="A36">
        <v>800226175</v>
      </c>
      <c r="B36" t="str">
        <f>[2]!dv(A36)</f>
        <v>3</v>
      </c>
      <c r="C36" t="s">
        <v>152</v>
      </c>
      <c r="D36">
        <v>3241111</v>
      </c>
      <c r="E36" t="e">
        <v>#N/A</v>
      </c>
      <c r="F36" t="s">
        <v>262</v>
      </c>
      <c r="G36" s="5">
        <v>11001</v>
      </c>
      <c r="H36">
        <v>7646912</v>
      </c>
      <c r="I36">
        <v>7490</v>
      </c>
    </row>
    <row r="37" spans="1:9" x14ac:dyDescent="0.25">
      <c r="A37">
        <v>900553969</v>
      </c>
      <c r="B37" t="str">
        <f>[2]!dv(A37)</f>
        <v>9</v>
      </c>
      <c r="C37" t="s">
        <v>153</v>
      </c>
      <c r="D37">
        <v>8849594</v>
      </c>
      <c r="E37" t="s">
        <v>263</v>
      </c>
      <c r="F37" t="s">
        <v>264</v>
      </c>
      <c r="G37" s="5">
        <v>11001</v>
      </c>
      <c r="H37">
        <v>18640000</v>
      </c>
      <c r="I37">
        <v>7490</v>
      </c>
    </row>
    <row r="38" spans="1:9" x14ac:dyDescent="0.25">
      <c r="A38">
        <v>830115770</v>
      </c>
      <c r="B38" t="str">
        <f>[2]!dv(A38)</f>
        <v>9</v>
      </c>
      <c r="C38" t="s">
        <v>154</v>
      </c>
      <c r="D38">
        <v>6017799301</v>
      </c>
      <c r="E38" t="s">
        <v>265</v>
      </c>
      <c r="F38" t="s">
        <v>242</v>
      </c>
      <c r="G38" s="5">
        <v>11001</v>
      </c>
      <c r="H38">
        <v>29100000</v>
      </c>
      <c r="I38">
        <v>7490</v>
      </c>
    </row>
    <row r="39" spans="1:9" x14ac:dyDescent="0.25">
      <c r="A39">
        <v>800256769</v>
      </c>
      <c r="B39" t="str">
        <f>[2]!dv(A39)</f>
        <v>6</v>
      </c>
      <c r="C39" t="s">
        <v>155</v>
      </c>
      <c r="D39">
        <v>6013538795</v>
      </c>
      <c r="E39" t="s">
        <v>266</v>
      </c>
      <c r="F39" t="s">
        <v>267</v>
      </c>
      <c r="G39" s="5">
        <v>11001</v>
      </c>
      <c r="H39">
        <v>83888616</v>
      </c>
      <c r="I39">
        <v>7490</v>
      </c>
    </row>
    <row r="40" spans="1:9" x14ac:dyDescent="0.25">
      <c r="A40">
        <v>901594251</v>
      </c>
      <c r="B40" t="str">
        <f>[2]!dv(A40)</f>
        <v>9</v>
      </c>
      <c r="C40" t="s">
        <v>156</v>
      </c>
      <c r="D40">
        <v>6015188500</v>
      </c>
      <c r="E40" t="s">
        <v>268</v>
      </c>
      <c r="F40" t="s">
        <v>269</v>
      </c>
      <c r="G40" s="5">
        <v>11001</v>
      </c>
      <c r="H40">
        <v>434850240</v>
      </c>
      <c r="I40">
        <v>7490</v>
      </c>
    </row>
    <row r="41" spans="1:9" x14ac:dyDescent="0.25">
      <c r="A41">
        <v>890211777</v>
      </c>
      <c r="B41" t="str">
        <f>[2]!dv(A41)</f>
        <v>9</v>
      </c>
      <c r="C41" t="s">
        <v>157</v>
      </c>
      <c r="D41">
        <v>6422423</v>
      </c>
      <c r="E41" t="s">
        <v>270</v>
      </c>
      <c r="F41" t="s">
        <v>271</v>
      </c>
      <c r="G41" s="5">
        <v>11001</v>
      </c>
      <c r="H41">
        <v>11504208</v>
      </c>
      <c r="I41">
        <v>7490</v>
      </c>
    </row>
    <row r="42" spans="1:9" x14ac:dyDescent="0.25">
      <c r="A42">
        <v>860513493</v>
      </c>
      <c r="B42" t="str">
        <f>[2]!dv(A42)</f>
        <v>1</v>
      </c>
      <c r="C42" t="s">
        <v>158</v>
      </c>
      <c r="D42">
        <v>6258330</v>
      </c>
      <c r="E42" t="s">
        <v>272</v>
      </c>
      <c r="F42" t="s">
        <v>273</v>
      </c>
      <c r="G42" s="5">
        <v>11001</v>
      </c>
      <c r="H42">
        <v>91178618</v>
      </c>
      <c r="I42">
        <v>7490</v>
      </c>
    </row>
    <row r="43" spans="1:9" x14ac:dyDescent="0.25">
      <c r="A43">
        <v>860032671</v>
      </c>
      <c r="B43" t="str">
        <f>[2]!dv(A43)</f>
        <v>1</v>
      </c>
      <c r="C43" t="s">
        <v>159</v>
      </c>
      <c r="D43">
        <v>2159817</v>
      </c>
      <c r="E43" t="s">
        <v>274</v>
      </c>
      <c r="F43" t="s">
        <v>275</v>
      </c>
      <c r="G43" s="5">
        <v>11001</v>
      </c>
      <c r="H43">
        <v>132985181</v>
      </c>
      <c r="I43">
        <v>7490</v>
      </c>
    </row>
    <row r="44" spans="1:9" x14ac:dyDescent="0.25">
      <c r="A44">
        <v>901823190</v>
      </c>
      <c r="B44" t="str">
        <f>[2]!dv(A44)</f>
        <v>1</v>
      </c>
      <c r="C44" t="s">
        <v>160</v>
      </c>
      <c r="D44">
        <v>6016233136</v>
      </c>
      <c r="E44" t="s">
        <v>276</v>
      </c>
      <c r="F44" t="s">
        <v>277</v>
      </c>
      <c r="G44" s="5">
        <v>11001</v>
      </c>
      <c r="H44">
        <v>1574834856</v>
      </c>
      <c r="I44">
        <v>7490</v>
      </c>
    </row>
    <row r="45" spans="1:9" x14ac:dyDescent="0.25">
      <c r="A45">
        <v>860002554</v>
      </c>
      <c r="B45" t="str">
        <f>[2]!dv(A45)</f>
        <v>8</v>
      </c>
      <c r="C45" t="s">
        <v>161</v>
      </c>
      <c r="D45">
        <v>6280460</v>
      </c>
      <c r="E45" t="s">
        <v>278</v>
      </c>
      <c r="F45" t="s">
        <v>279</v>
      </c>
      <c r="G45" s="5">
        <v>11001</v>
      </c>
      <c r="H45">
        <v>74837910</v>
      </c>
      <c r="I45">
        <v>7490</v>
      </c>
    </row>
    <row r="46" spans="1:9" x14ac:dyDescent="0.25">
      <c r="A46">
        <v>800021308</v>
      </c>
      <c r="B46" t="str">
        <f>[2]!dv(A46)</f>
        <v>5</v>
      </c>
      <c r="C46" t="s">
        <v>21</v>
      </c>
      <c r="D46">
        <v>6015871000</v>
      </c>
      <c r="E46" t="s">
        <v>280</v>
      </c>
      <c r="F46" t="s">
        <v>281</v>
      </c>
      <c r="G46" s="5">
        <v>11001</v>
      </c>
      <c r="H46">
        <v>1296180872</v>
      </c>
      <c r="I46">
        <v>7490</v>
      </c>
    </row>
    <row r="47" spans="1:9" x14ac:dyDescent="0.25">
      <c r="A47">
        <v>2014450247</v>
      </c>
      <c r="C47" t="s">
        <v>22</v>
      </c>
      <c r="D47">
        <v>6012362600</v>
      </c>
      <c r="E47" t="s">
        <v>439</v>
      </c>
      <c r="F47" t="s">
        <v>440</v>
      </c>
      <c r="G47" s="5">
        <v>11001</v>
      </c>
      <c r="H47">
        <v>214319160</v>
      </c>
      <c r="I47">
        <v>7490</v>
      </c>
    </row>
    <row r="48" spans="1:9" x14ac:dyDescent="0.25">
      <c r="A48">
        <v>901391119</v>
      </c>
      <c r="B48" t="str">
        <f>[2]!dv(A48)</f>
        <v>2</v>
      </c>
      <c r="C48" t="s">
        <v>162</v>
      </c>
      <c r="D48">
        <v>7957405</v>
      </c>
      <c r="E48" t="s">
        <v>282</v>
      </c>
      <c r="F48" t="s">
        <v>283</v>
      </c>
      <c r="G48" s="5">
        <v>11001</v>
      </c>
      <c r="H48">
        <v>22792528</v>
      </c>
      <c r="I48">
        <v>7490</v>
      </c>
    </row>
    <row r="49" spans="1:9" x14ac:dyDescent="0.25">
      <c r="A49">
        <v>900556332</v>
      </c>
      <c r="B49" t="str">
        <f>[2]!dv(A49)</f>
        <v>1</v>
      </c>
      <c r="C49" t="s">
        <v>23</v>
      </c>
      <c r="D49">
        <v>5136331</v>
      </c>
      <c r="E49" t="s">
        <v>284</v>
      </c>
      <c r="F49" t="s">
        <v>285</v>
      </c>
      <c r="G49" s="5">
        <v>11001</v>
      </c>
      <c r="H49">
        <v>1800000</v>
      </c>
      <c r="I49">
        <v>7490</v>
      </c>
    </row>
    <row r="50" spans="1:9" x14ac:dyDescent="0.25">
      <c r="A50">
        <v>901130146</v>
      </c>
      <c r="B50" t="str">
        <f>[2]!dv(A50)</f>
        <v>2</v>
      </c>
      <c r="C50" t="s">
        <v>24</v>
      </c>
      <c r="D50">
        <v>6018233925</v>
      </c>
      <c r="E50" t="s">
        <v>286</v>
      </c>
      <c r="F50" t="s">
        <v>287</v>
      </c>
      <c r="G50" s="5">
        <v>11001</v>
      </c>
      <c r="H50">
        <v>114390450</v>
      </c>
      <c r="I50">
        <v>7490</v>
      </c>
    </row>
    <row r="51" spans="1:9" x14ac:dyDescent="0.25">
      <c r="A51">
        <v>900406158</v>
      </c>
      <c r="B51" t="str">
        <f>[2]!dv(A51)</f>
        <v>3</v>
      </c>
      <c r="C51" t="s">
        <v>163</v>
      </c>
      <c r="D51">
        <v>5169256</v>
      </c>
      <c r="E51" t="s">
        <v>288</v>
      </c>
      <c r="F51" t="s">
        <v>289</v>
      </c>
      <c r="G51" s="5">
        <v>11001</v>
      </c>
      <c r="H51">
        <v>87630832</v>
      </c>
      <c r="I51">
        <v>7490</v>
      </c>
    </row>
    <row r="52" spans="1:9" x14ac:dyDescent="0.25">
      <c r="A52">
        <v>860063875</v>
      </c>
      <c r="B52" t="str">
        <f>[2]!dv(A52)</f>
        <v>8</v>
      </c>
      <c r="C52" t="s">
        <v>164</v>
      </c>
      <c r="D52" t="s">
        <v>290</v>
      </c>
      <c r="E52" t="s">
        <v>291</v>
      </c>
      <c r="F52" t="s">
        <v>292</v>
      </c>
      <c r="G52" s="5">
        <v>11001</v>
      </c>
      <c r="H52">
        <v>134169778</v>
      </c>
      <c r="I52">
        <v>7490</v>
      </c>
    </row>
    <row r="53" spans="1:9" x14ac:dyDescent="0.25">
      <c r="A53">
        <v>901648202</v>
      </c>
      <c r="B53" t="str">
        <f>[2]!dv(A53)</f>
        <v>1</v>
      </c>
      <c r="C53" t="s">
        <v>165</v>
      </c>
      <c r="D53">
        <v>6013268000</v>
      </c>
      <c r="E53" t="s">
        <v>293</v>
      </c>
      <c r="F53" t="s">
        <v>294</v>
      </c>
      <c r="G53" s="5">
        <v>11001</v>
      </c>
      <c r="H53">
        <v>90250000</v>
      </c>
      <c r="I53">
        <v>7490</v>
      </c>
    </row>
    <row r="54" spans="1:9" x14ac:dyDescent="0.25">
      <c r="A54">
        <v>900895156</v>
      </c>
      <c r="B54" t="str">
        <f>[2]!dv(A54)</f>
        <v>5</v>
      </c>
      <c r="C54" t="s">
        <v>166</v>
      </c>
      <c r="D54">
        <v>5087908</v>
      </c>
      <c r="E54" t="s">
        <v>295</v>
      </c>
      <c r="F54" t="s">
        <v>296</v>
      </c>
      <c r="G54" s="5">
        <v>11001</v>
      </c>
      <c r="H54">
        <v>8160000</v>
      </c>
      <c r="I54">
        <v>7490</v>
      </c>
    </row>
    <row r="55" spans="1:9" x14ac:dyDescent="0.25">
      <c r="A55">
        <v>800059470</v>
      </c>
      <c r="B55" t="str">
        <f>[2]!dv(A55)</f>
        <v>5</v>
      </c>
      <c r="C55" t="s">
        <v>167</v>
      </c>
      <c r="D55">
        <v>6056688700</v>
      </c>
      <c r="E55" t="s">
        <v>297</v>
      </c>
      <c r="F55" t="s">
        <v>298</v>
      </c>
      <c r="G55" s="5">
        <v>11001</v>
      </c>
      <c r="H55">
        <v>115700000</v>
      </c>
      <c r="I55">
        <v>7490</v>
      </c>
    </row>
    <row r="56" spans="1:9" x14ac:dyDescent="0.25">
      <c r="A56">
        <v>830054539</v>
      </c>
      <c r="B56" t="str">
        <f>[2]!dv(A56)</f>
        <v>0</v>
      </c>
      <c r="C56" t="s">
        <v>168</v>
      </c>
      <c r="D56">
        <v>4042408</v>
      </c>
      <c r="E56" t="s">
        <v>299</v>
      </c>
      <c r="F56" t="s">
        <v>300</v>
      </c>
      <c r="G56" s="5">
        <v>11001</v>
      </c>
      <c r="H56">
        <v>1884874519</v>
      </c>
      <c r="I56">
        <v>7490</v>
      </c>
    </row>
    <row r="57" spans="1:9" x14ac:dyDescent="0.25">
      <c r="A57">
        <v>830054076</v>
      </c>
      <c r="B57" t="str">
        <f>[2]!dv(A57)</f>
        <v>2</v>
      </c>
      <c r="C57" t="s">
        <v>169</v>
      </c>
      <c r="D57">
        <v>6012973030</v>
      </c>
      <c r="E57" t="s">
        <v>301</v>
      </c>
      <c r="F57" t="s">
        <v>302</v>
      </c>
      <c r="G57" s="5">
        <v>11001</v>
      </c>
      <c r="H57">
        <v>63615000</v>
      </c>
      <c r="I57">
        <v>7490</v>
      </c>
    </row>
    <row r="58" spans="1:9" x14ac:dyDescent="0.25">
      <c r="A58">
        <v>900402080</v>
      </c>
      <c r="B58" t="str">
        <f>[2]!dv(A58)</f>
        <v>1</v>
      </c>
      <c r="C58" t="s">
        <v>25</v>
      </c>
      <c r="D58">
        <v>6012362600</v>
      </c>
      <c r="E58" t="s">
        <v>439</v>
      </c>
      <c r="F58" t="s">
        <v>440</v>
      </c>
      <c r="G58" s="5">
        <v>11001</v>
      </c>
      <c r="H58">
        <v>51375000</v>
      </c>
      <c r="I58">
        <v>7490</v>
      </c>
    </row>
    <row r="59" spans="1:9" x14ac:dyDescent="0.25">
      <c r="A59">
        <v>830126302</v>
      </c>
      <c r="B59" t="str">
        <f>[2]!dv(A59)</f>
        <v>2</v>
      </c>
      <c r="C59" t="s">
        <v>170</v>
      </c>
      <c r="D59">
        <v>5112000</v>
      </c>
      <c r="E59" t="s">
        <v>303</v>
      </c>
      <c r="F59" t="s">
        <v>304</v>
      </c>
      <c r="G59" s="5">
        <v>11001</v>
      </c>
      <c r="H59">
        <v>6752857</v>
      </c>
      <c r="I59">
        <v>7490</v>
      </c>
    </row>
    <row r="60" spans="1:9" x14ac:dyDescent="0.25">
      <c r="A60">
        <v>98157748</v>
      </c>
      <c r="B60" t="str">
        <f>[2]!dv(A60)</f>
        <v>1</v>
      </c>
      <c r="C60" t="s">
        <v>26</v>
      </c>
      <c r="D60">
        <v>6012362600</v>
      </c>
      <c r="E60" t="s">
        <v>439</v>
      </c>
      <c r="F60" t="s">
        <v>440</v>
      </c>
      <c r="G60" s="5">
        <v>11001</v>
      </c>
      <c r="H60">
        <v>19194300</v>
      </c>
      <c r="I60">
        <v>7490</v>
      </c>
    </row>
    <row r="61" spans="1:9" x14ac:dyDescent="0.25">
      <c r="A61">
        <v>901177010</v>
      </c>
      <c r="B61" t="str">
        <f>[2]!dv(A61)</f>
        <v>2</v>
      </c>
      <c r="C61" t="s">
        <v>171</v>
      </c>
      <c r="D61">
        <v>3145573011</v>
      </c>
      <c r="E61" t="s">
        <v>305</v>
      </c>
      <c r="F61" t="s">
        <v>306</v>
      </c>
      <c r="G61" s="5">
        <v>11001</v>
      </c>
      <c r="H61">
        <v>7300000</v>
      </c>
      <c r="I61">
        <v>7490</v>
      </c>
    </row>
    <row r="62" spans="1:9" x14ac:dyDescent="0.25">
      <c r="A62">
        <v>890205952</v>
      </c>
      <c r="B62" t="str">
        <f>[2]!dv(A62)</f>
        <v>7</v>
      </c>
      <c r="C62" t="s">
        <v>172</v>
      </c>
      <c r="D62">
        <v>6833300</v>
      </c>
      <c r="E62" t="s">
        <v>307</v>
      </c>
      <c r="F62" t="s">
        <v>308</v>
      </c>
      <c r="G62" s="5">
        <v>11001</v>
      </c>
      <c r="H62">
        <v>45463275</v>
      </c>
      <c r="I62">
        <v>7490</v>
      </c>
    </row>
    <row r="63" spans="1:9" x14ac:dyDescent="0.25">
      <c r="A63">
        <v>800007813</v>
      </c>
      <c r="B63" t="str">
        <f>[2]!dv(A63)</f>
        <v>5</v>
      </c>
      <c r="C63" t="s">
        <v>134</v>
      </c>
      <c r="D63">
        <v>3485500</v>
      </c>
      <c r="E63" t="s">
        <v>309</v>
      </c>
      <c r="F63" t="s">
        <v>310</v>
      </c>
      <c r="G63" s="5">
        <v>11001</v>
      </c>
      <c r="H63">
        <v>21602954</v>
      </c>
      <c r="I63">
        <v>7490</v>
      </c>
    </row>
    <row r="64" spans="1:9" x14ac:dyDescent="0.25">
      <c r="A64">
        <v>860005265</v>
      </c>
      <c r="B64" t="str">
        <f>[2]!dv(A64)</f>
        <v>8</v>
      </c>
      <c r="C64" t="s">
        <v>173</v>
      </c>
      <c r="D64">
        <v>5735100</v>
      </c>
      <c r="E64" t="s">
        <v>311</v>
      </c>
      <c r="F64" t="s">
        <v>312</v>
      </c>
      <c r="G64" s="5">
        <v>11001</v>
      </c>
      <c r="H64">
        <v>15000000</v>
      </c>
      <c r="I64">
        <v>7490</v>
      </c>
    </row>
    <row r="65" spans="1:9" x14ac:dyDescent="0.25">
      <c r="A65">
        <v>860001697</v>
      </c>
      <c r="B65" t="str">
        <f>[2]!dv(A65)</f>
        <v>8</v>
      </c>
      <c r="C65" t="s">
        <v>27</v>
      </c>
      <c r="D65">
        <v>4174000</v>
      </c>
      <c r="E65" t="e">
        <v>#N/A</v>
      </c>
      <c r="F65" t="s">
        <v>313</v>
      </c>
      <c r="G65" s="5">
        <v>11001</v>
      </c>
      <c r="H65">
        <v>29268235</v>
      </c>
      <c r="I65">
        <v>7490</v>
      </c>
    </row>
    <row r="66" spans="1:9" x14ac:dyDescent="0.25">
      <c r="A66">
        <v>900308744</v>
      </c>
      <c r="B66" t="str">
        <f>[2]!dv(A66)</f>
        <v>1</v>
      </c>
      <c r="C66" t="s">
        <v>28</v>
      </c>
      <c r="D66">
        <v>3303010</v>
      </c>
      <c r="E66" t="s">
        <v>314</v>
      </c>
      <c r="F66" t="s">
        <v>315</v>
      </c>
      <c r="G66" s="5">
        <v>11001</v>
      </c>
      <c r="H66">
        <v>63312000</v>
      </c>
      <c r="I66">
        <v>7490</v>
      </c>
    </row>
    <row r="67" spans="1:9" x14ac:dyDescent="0.25">
      <c r="A67">
        <v>900335237</v>
      </c>
      <c r="B67" t="str">
        <f>[2]!dv(A67)</f>
        <v>1</v>
      </c>
      <c r="C67" t="s">
        <v>174</v>
      </c>
      <c r="D67">
        <v>6585757</v>
      </c>
      <c r="E67" t="s">
        <v>316</v>
      </c>
      <c r="F67" t="s">
        <v>317</v>
      </c>
      <c r="G67" s="5">
        <v>11001</v>
      </c>
      <c r="H67">
        <v>106215792</v>
      </c>
      <c r="I67">
        <v>7490</v>
      </c>
    </row>
    <row r="68" spans="1:9" x14ac:dyDescent="0.25">
      <c r="A68">
        <v>800243991</v>
      </c>
      <c r="B68" t="str">
        <f>[2]!dv(A68)</f>
        <v>9</v>
      </c>
      <c r="C68" t="s">
        <v>29</v>
      </c>
      <c r="D68">
        <v>6012362600</v>
      </c>
      <c r="E68" t="s">
        <v>439</v>
      </c>
      <c r="F68" t="s">
        <v>440</v>
      </c>
      <c r="G68" s="5">
        <v>11001</v>
      </c>
      <c r="H68">
        <v>132073865</v>
      </c>
      <c r="I68">
        <v>7490</v>
      </c>
    </row>
    <row r="69" spans="1:9" x14ac:dyDescent="0.25">
      <c r="A69">
        <v>899999082</v>
      </c>
      <c r="B69" t="str">
        <f>[2]!dv(A69)</f>
        <v>3</v>
      </c>
      <c r="C69" t="s">
        <v>175</v>
      </c>
      <c r="D69">
        <v>6013268000</v>
      </c>
      <c r="E69" t="s">
        <v>318</v>
      </c>
      <c r="F69" t="s">
        <v>319</v>
      </c>
      <c r="G69" s="5">
        <v>11001</v>
      </c>
      <c r="H69">
        <v>162251280</v>
      </c>
      <c r="I69">
        <v>7490</v>
      </c>
    </row>
    <row r="70" spans="1:9" x14ac:dyDescent="0.25">
      <c r="A70">
        <v>2053866441</v>
      </c>
      <c r="C70" t="s">
        <v>176</v>
      </c>
      <c r="D70">
        <v>2154130</v>
      </c>
      <c r="E70" t="s">
        <v>320</v>
      </c>
      <c r="F70" t="s">
        <v>321</v>
      </c>
      <c r="G70" s="5">
        <v>11001</v>
      </c>
      <c r="H70">
        <v>119078130</v>
      </c>
      <c r="I70">
        <v>7490</v>
      </c>
    </row>
    <row r="71" spans="1:9" x14ac:dyDescent="0.25">
      <c r="A71">
        <v>900682561</v>
      </c>
      <c r="B71" t="str">
        <f>[2]!dv(A71)</f>
        <v>0</v>
      </c>
      <c r="C71" t="s">
        <v>177</v>
      </c>
      <c r="D71">
        <v>5190382</v>
      </c>
      <c r="E71" t="s">
        <v>322</v>
      </c>
      <c r="F71" t="s">
        <v>323</v>
      </c>
      <c r="G71" s="5">
        <v>11001</v>
      </c>
      <c r="H71">
        <v>44900000</v>
      </c>
      <c r="I71">
        <v>7490</v>
      </c>
    </row>
    <row r="72" spans="1:9" x14ac:dyDescent="0.25">
      <c r="A72">
        <v>890304099</v>
      </c>
      <c r="B72" t="str">
        <f>[2]!dv(A72)</f>
        <v>3</v>
      </c>
      <c r="C72" t="s">
        <v>30</v>
      </c>
      <c r="D72">
        <v>8920470</v>
      </c>
      <c r="E72" t="s">
        <v>324</v>
      </c>
      <c r="F72" t="s">
        <v>325</v>
      </c>
      <c r="G72" s="5">
        <v>11001</v>
      </c>
      <c r="H72">
        <v>7441687</v>
      </c>
      <c r="I72">
        <v>7490</v>
      </c>
    </row>
    <row r="73" spans="1:9" x14ac:dyDescent="0.25">
      <c r="A73">
        <v>890908901</v>
      </c>
      <c r="B73" t="str">
        <f>[2]!dv(A73)</f>
        <v>9</v>
      </c>
      <c r="C73" t="s">
        <v>178</v>
      </c>
      <c r="D73">
        <v>2890060</v>
      </c>
      <c r="E73" t="s">
        <v>326</v>
      </c>
      <c r="F73" t="s">
        <v>327</v>
      </c>
      <c r="G73" s="5">
        <v>11001</v>
      </c>
      <c r="H73">
        <v>674261192</v>
      </c>
      <c r="I73">
        <v>7490</v>
      </c>
    </row>
    <row r="74" spans="1:9" x14ac:dyDescent="0.25">
      <c r="A74">
        <v>890903858</v>
      </c>
      <c r="B74" t="str">
        <f>[2]!dv(A74)</f>
        <v>7</v>
      </c>
      <c r="C74" t="s">
        <v>179</v>
      </c>
      <c r="D74">
        <v>4011600</v>
      </c>
      <c r="E74" t="s">
        <v>328</v>
      </c>
      <c r="F74" t="s">
        <v>329</v>
      </c>
      <c r="G74" s="5">
        <v>11001</v>
      </c>
      <c r="H74">
        <v>31764565</v>
      </c>
      <c r="I74">
        <v>7490</v>
      </c>
    </row>
    <row r="75" spans="1:9" x14ac:dyDescent="0.25">
      <c r="A75" t="s">
        <v>137</v>
      </c>
      <c r="C75" t="s">
        <v>31</v>
      </c>
      <c r="D75">
        <v>6012362600</v>
      </c>
      <c r="E75" t="s">
        <v>439</v>
      </c>
      <c r="F75" t="s">
        <v>440</v>
      </c>
      <c r="G75" s="5">
        <v>11001</v>
      </c>
      <c r="H75">
        <v>18727248</v>
      </c>
      <c r="I75">
        <v>7490</v>
      </c>
    </row>
    <row r="76" spans="1:9" x14ac:dyDescent="0.25">
      <c r="A76">
        <v>65061829</v>
      </c>
      <c r="B76" t="str">
        <f>[2]!dv(A76)</f>
        <v>6</v>
      </c>
      <c r="C76" t="s">
        <v>32</v>
      </c>
      <c r="D76">
        <v>6012362600</v>
      </c>
      <c r="E76" t="s">
        <v>439</v>
      </c>
      <c r="F76" t="s">
        <v>440</v>
      </c>
      <c r="G76" s="5">
        <v>11001</v>
      </c>
      <c r="H76">
        <v>17696076</v>
      </c>
      <c r="I76">
        <v>7490</v>
      </c>
    </row>
    <row r="77" spans="1:9" x14ac:dyDescent="0.25">
      <c r="A77">
        <v>526040854</v>
      </c>
      <c r="B77" t="str">
        <f>[2]!dv(A77)</f>
        <v>2</v>
      </c>
      <c r="C77" t="s">
        <v>180</v>
      </c>
      <c r="D77" t="s">
        <v>330</v>
      </c>
      <c r="E77" t="s">
        <v>331</v>
      </c>
      <c r="F77" t="s">
        <v>332</v>
      </c>
      <c r="G77" s="5">
        <v>11001</v>
      </c>
      <c r="H77">
        <v>1128891540</v>
      </c>
      <c r="I77">
        <v>7490</v>
      </c>
    </row>
    <row r="78" spans="1:9" x14ac:dyDescent="0.25">
      <c r="A78">
        <v>900349815</v>
      </c>
      <c r="B78" t="str">
        <f>[2]!dv(A78)</f>
        <v>1</v>
      </c>
      <c r="C78" t="s">
        <v>181</v>
      </c>
      <c r="D78">
        <v>7466757</v>
      </c>
      <c r="E78" t="s">
        <v>333</v>
      </c>
      <c r="F78" t="s">
        <v>334</v>
      </c>
      <c r="G78" s="5">
        <v>11001</v>
      </c>
      <c r="H78">
        <v>132297151</v>
      </c>
      <c r="I78">
        <v>7490</v>
      </c>
    </row>
    <row r="79" spans="1:9" x14ac:dyDescent="0.25">
      <c r="A79">
        <v>860037338</v>
      </c>
      <c r="B79" t="str">
        <f>[2]!dv(A79)</f>
        <v>4</v>
      </c>
      <c r="C79" t="s">
        <v>182</v>
      </c>
      <c r="D79">
        <v>3403187</v>
      </c>
      <c r="E79" t="s">
        <v>335</v>
      </c>
      <c r="F79" t="s">
        <v>336</v>
      </c>
      <c r="G79" s="5">
        <v>11001</v>
      </c>
      <c r="H79">
        <v>34585736</v>
      </c>
      <c r="I79">
        <v>7490</v>
      </c>
    </row>
    <row r="80" spans="1:9" x14ac:dyDescent="0.25">
      <c r="A80">
        <v>901511787</v>
      </c>
      <c r="B80" t="str">
        <f>[2]!dv(A80)</f>
        <v>9</v>
      </c>
      <c r="C80" t="s">
        <v>183</v>
      </c>
      <c r="D80">
        <v>5765100</v>
      </c>
      <c r="E80" t="s">
        <v>337</v>
      </c>
      <c r="F80" t="s">
        <v>338</v>
      </c>
      <c r="G80" s="5">
        <v>11001</v>
      </c>
      <c r="H80">
        <v>8000000</v>
      </c>
      <c r="I80">
        <v>7490</v>
      </c>
    </row>
    <row r="81" spans="1:9" x14ac:dyDescent="0.25">
      <c r="A81">
        <v>901258454</v>
      </c>
      <c r="B81" t="str">
        <f>[2]!dv(A81)</f>
        <v>7</v>
      </c>
      <c r="C81" t="s">
        <v>33</v>
      </c>
      <c r="D81">
        <v>2411450</v>
      </c>
      <c r="E81" t="s">
        <v>339</v>
      </c>
      <c r="F81" t="s">
        <v>340</v>
      </c>
      <c r="G81" s="5">
        <v>11001</v>
      </c>
      <c r="H81">
        <v>79815254</v>
      </c>
      <c r="I81">
        <v>7490</v>
      </c>
    </row>
    <row r="82" spans="1:9" x14ac:dyDescent="0.25">
      <c r="A82">
        <v>900089276</v>
      </c>
      <c r="B82" t="str">
        <f>[2]!dv(A82)</f>
        <v>3</v>
      </c>
      <c r="C82" t="s">
        <v>34</v>
      </c>
      <c r="D82">
        <v>6012362600</v>
      </c>
      <c r="E82" t="s">
        <v>439</v>
      </c>
      <c r="F82" t="s">
        <v>440</v>
      </c>
      <c r="G82" s="5">
        <v>11001</v>
      </c>
      <c r="H82">
        <v>399580020</v>
      </c>
      <c r="I82">
        <v>7490</v>
      </c>
    </row>
    <row r="83" spans="1:9" x14ac:dyDescent="0.25">
      <c r="A83">
        <v>901261340</v>
      </c>
      <c r="B83" t="str">
        <f>[2]!dv(A83)</f>
        <v>7</v>
      </c>
      <c r="C83" t="s">
        <v>184</v>
      </c>
      <c r="D83">
        <v>7053457</v>
      </c>
      <c r="E83" t="s">
        <v>341</v>
      </c>
      <c r="F83" t="s">
        <v>342</v>
      </c>
      <c r="G83" s="5">
        <v>11001</v>
      </c>
      <c r="H83">
        <v>1263033545</v>
      </c>
      <c r="I83">
        <v>7490</v>
      </c>
    </row>
    <row r="84" spans="1:9" x14ac:dyDescent="0.25">
      <c r="A84">
        <v>890205645</v>
      </c>
      <c r="B84" t="str">
        <f>[2]!dv(A84)</f>
        <v>0</v>
      </c>
      <c r="C84" t="s">
        <v>35</v>
      </c>
      <c r="D84">
        <v>6422423</v>
      </c>
      <c r="E84" t="s">
        <v>270</v>
      </c>
      <c r="F84" t="s">
        <v>343</v>
      </c>
      <c r="G84" s="5">
        <v>11001</v>
      </c>
      <c r="H84">
        <v>166543086</v>
      </c>
      <c r="I84">
        <v>7490</v>
      </c>
    </row>
    <row r="85" spans="1:9" x14ac:dyDescent="0.25">
      <c r="A85">
        <v>901447938</v>
      </c>
      <c r="B85" t="str">
        <f>[2]!dv(A85)</f>
        <v>0</v>
      </c>
      <c r="C85" t="s">
        <v>36</v>
      </c>
      <c r="D85">
        <v>3156615011</v>
      </c>
      <c r="E85" t="s">
        <v>344</v>
      </c>
      <c r="F85" t="s">
        <v>345</v>
      </c>
      <c r="G85" s="5">
        <v>11001</v>
      </c>
      <c r="H85">
        <v>1226270</v>
      </c>
      <c r="I85">
        <v>7490</v>
      </c>
    </row>
    <row r="86" spans="1:9" x14ac:dyDescent="0.25">
      <c r="A86">
        <v>800096561</v>
      </c>
      <c r="B86" t="str">
        <f>[2]!dv(A86)</f>
        <v>4</v>
      </c>
      <c r="C86" t="s">
        <v>37</v>
      </c>
      <c r="D86">
        <v>6012362600</v>
      </c>
      <c r="E86" t="s">
        <v>439</v>
      </c>
      <c r="F86" t="s">
        <v>440</v>
      </c>
      <c r="G86" s="5">
        <v>11001</v>
      </c>
      <c r="H86">
        <v>78000</v>
      </c>
      <c r="I86">
        <v>7490</v>
      </c>
    </row>
    <row r="87" spans="1:9" x14ac:dyDescent="0.25">
      <c r="A87">
        <v>891801240</v>
      </c>
      <c r="B87" t="str">
        <f>[2]!dv(A87)</f>
        <v>1</v>
      </c>
      <c r="C87" t="s">
        <v>38</v>
      </c>
      <c r="D87">
        <v>6012362600</v>
      </c>
      <c r="E87" t="s">
        <v>439</v>
      </c>
      <c r="F87" t="s">
        <v>440</v>
      </c>
      <c r="G87" s="5">
        <v>11001</v>
      </c>
      <c r="H87">
        <v>113000</v>
      </c>
      <c r="I87">
        <v>7490</v>
      </c>
    </row>
    <row r="88" spans="1:9" x14ac:dyDescent="0.25">
      <c r="A88">
        <v>892099325</v>
      </c>
      <c r="B88" t="str">
        <f>[2]!dv(A88)</f>
        <v>0</v>
      </c>
      <c r="C88" t="s">
        <v>39</v>
      </c>
      <c r="D88">
        <v>6012362600</v>
      </c>
      <c r="E88" t="s">
        <v>439</v>
      </c>
      <c r="F88" t="s">
        <v>440</v>
      </c>
      <c r="G88" s="5">
        <v>11001</v>
      </c>
      <c r="H88">
        <v>35000</v>
      </c>
      <c r="I88">
        <v>7490</v>
      </c>
    </row>
    <row r="89" spans="1:9" x14ac:dyDescent="0.25">
      <c r="A89">
        <v>800096599</v>
      </c>
      <c r="B89" t="str">
        <f>[2]!dv(A89)</f>
        <v>3</v>
      </c>
      <c r="C89" t="s">
        <v>40</v>
      </c>
      <c r="D89">
        <v>6012362600</v>
      </c>
      <c r="E89" t="s">
        <v>439</v>
      </c>
      <c r="F89" t="s">
        <v>440</v>
      </c>
      <c r="G89" s="5">
        <v>11001</v>
      </c>
      <c r="H89">
        <v>118000</v>
      </c>
      <c r="I89">
        <v>7490</v>
      </c>
    </row>
    <row r="90" spans="1:9" x14ac:dyDescent="0.25">
      <c r="A90">
        <v>860004864</v>
      </c>
      <c r="B90" t="str">
        <f>[2]!dv(A90)</f>
        <v>5</v>
      </c>
      <c r="C90" t="s">
        <v>185</v>
      </c>
      <c r="D90">
        <v>6013454155</v>
      </c>
      <c r="E90" t="s">
        <v>346</v>
      </c>
      <c r="F90" t="s">
        <v>347</v>
      </c>
      <c r="G90" s="5">
        <v>11001</v>
      </c>
      <c r="H90">
        <v>178888018</v>
      </c>
      <c r="I90">
        <v>7490</v>
      </c>
    </row>
    <row r="91" spans="1:9" x14ac:dyDescent="0.25">
      <c r="A91">
        <v>900203441</v>
      </c>
      <c r="B91" t="str">
        <f>[2]!dv(A91)</f>
        <v>1</v>
      </c>
      <c r="C91" t="s">
        <v>186</v>
      </c>
      <c r="D91">
        <v>6461300</v>
      </c>
      <c r="E91" t="s">
        <v>348</v>
      </c>
      <c r="F91" t="s">
        <v>349</v>
      </c>
      <c r="G91" s="5">
        <v>11001</v>
      </c>
      <c r="H91">
        <v>209080035</v>
      </c>
      <c r="I91">
        <v>7490</v>
      </c>
    </row>
    <row r="92" spans="1:9" x14ac:dyDescent="0.25">
      <c r="A92">
        <v>830095213</v>
      </c>
      <c r="B92" t="str">
        <f>[2]!dv(A92)</f>
        <v>0</v>
      </c>
      <c r="C92" t="s">
        <v>187</v>
      </c>
      <c r="D92">
        <v>3175353</v>
      </c>
      <c r="E92" t="s">
        <v>350</v>
      </c>
      <c r="F92" t="s">
        <v>351</v>
      </c>
      <c r="G92" s="5">
        <v>11001</v>
      </c>
      <c r="H92">
        <v>125735285</v>
      </c>
      <c r="I92">
        <v>7490</v>
      </c>
    </row>
    <row r="93" spans="1:9" x14ac:dyDescent="0.25">
      <c r="A93">
        <v>860051534</v>
      </c>
      <c r="B93" t="str">
        <f>[2]!dv(A93)</f>
        <v>1</v>
      </c>
      <c r="C93" t="s">
        <v>41</v>
      </c>
      <c r="D93">
        <v>6515760</v>
      </c>
      <c r="E93" t="s">
        <v>352</v>
      </c>
      <c r="F93" t="s">
        <v>353</v>
      </c>
      <c r="G93" s="5">
        <v>11001</v>
      </c>
      <c r="H93">
        <v>9900000</v>
      </c>
      <c r="I93">
        <v>7490</v>
      </c>
    </row>
    <row r="94" spans="1:9" x14ac:dyDescent="0.25">
      <c r="A94">
        <v>900268747</v>
      </c>
      <c r="B94" t="str">
        <f>[2]!dv(A94)</f>
        <v>9</v>
      </c>
      <c r="C94" t="s">
        <v>188</v>
      </c>
      <c r="D94">
        <v>6291716</v>
      </c>
      <c r="E94" t="s">
        <v>354</v>
      </c>
      <c r="F94" t="s">
        <v>355</v>
      </c>
      <c r="G94" s="5">
        <v>11001</v>
      </c>
      <c r="H94">
        <v>25100000</v>
      </c>
      <c r="I94">
        <v>7490</v>
      </c>
    </row>
    <row r="95" spans="1:9" x14ac:dyDescent="0.25">
      <c r="A95">
        <v>901162563</v>
      </c>
      <c r="B95" t="str">
        <f>[2]!dv(A95)</f>
        <v>8</v>
      </c>
      <c r="C95" t="s">
        <v>189</v>
      </c>
      <c r="D95">
        <v>3148527104</v>
      </c>
      <c r="E95" t="s">
        <v>356</v>
      </c>
      <c r="F95" t="s">
        <v>287</v>
      </c>
      <c r="G95" s="5">
        <v>11001</v>
      </c>
      <c r="H95">
        <v>79806279</v>
      </c>
      <c r="I95">
        <v>7490</v>
      </c>
    </row>
    <row r="96" spans="1:9" x14ac:dyDescent="0.25">
      <c r="A96">
        <v>901648141</v>
      </c>
      <c r="B96" t="str">
        <f>[2]!dv(A96)</f>
        <v>0</v>
      </c>
      <c r="C96" t="s">
        <v>190</v>
      </c>
      <c r="D96">
        <v>3043575784</v>
      </c>
      <c r="E96" t="s">
        <v>357</v>
      </c>
      <c r="F96" t="s">
        <v>358</v>
      </c>
      <c r="G96" s="5">
        <v>11001</v>
      </c>
      <c r="H96">
        <v>600000</v>
      </c>
      <c r="I96">
        <v>7490</v>
      </c>
    </row>
    <row r="97" spans="1:9" x14ac:dyDescent="0.25">
      <c r="A97">
        <v>830053700</v>
      </c>
      <c r="B97" t="str">
        <f>[2]!dv(A97)</f>
        <v>6</v>
      </c>
      <c r="C97" t="s">
        <v>191</v>
      </c>
      <c r="D97">
        <v>6069494</v>
      </c>
      <c r="E97" t="s">
        <v>359</v>
      </c>
      <c r="F97" t="s">
        <v>360</v>
      </c>
      <c r="G97" s="5">
        <v>11001</v>
      </c>
      <c r="H97">
        <v>5000000</v>
      </c>
      <c r="I97">
        <v>7490</v>
      </c>
    </row>
    <row r="98" spans="1:9" x14ac:dyDescent="0.25">
      <c r="A98">
        <v>900329780</v>
      </c>
      <c r="B98" t="str">
        <f>[2]!dv(A98)</f>
        <v>5</v>
      </c>
      <c r="C98" t="s">
        <v>192</v>
      </c>
      <c r="D98">
        <v>6016258282</v>
      </c>
      <c r="E98" t="s">
        <v>361</v>
      </c>
      <c r="F98" t="s">
        <v>362</v>
      </c>
      <c r="G98" s="5">
        <v>11001</v>
      </c>
      <c r="H98">
        <v>363465000</v>
      </c>
      <c r="I98">
        <v>7490</v>
      </c>
    </row>
    <row r="99" spans="1:9" x14ac:dyDescent="0.25">
      <c r="A99">
        <v>805003351</v>
      </c>
      <c r="B99" t="str">
        <f>[2]!dv(A99)</f>
        <v>4</v>
      </c>
      <c r="C99" t="s">
        <v>193</v>
      </c>
      <c r="D99">
        <v>6410696</v>
      </c>
      <c r="E99" t="s">
        <v>363</v>
      </c>
      <c r="F99" t="s">
        <v>364</v>
      </c>
      <c r="G99" s="5">
        <v>11001</v>
      </c>
      <c r="H99">
        <v>84721600</v>
      </c>
      <c r="I99">
        <v>7490</v>
      </c>
    </row>
    <row r="100" spans="1:9" x14ac:dyDescent="0.25">
      <c r="A100">
        <v>890105526</v>
      </c>
      <c r="B100" t="str">
        <f>[2]!dv(A100)</f>
        <v>3</v>
      </c>
      <c r="C100" t="s">
        <v>42</v>
      </c>
      <c r="D100">
        <v>3713115</v>
      </c>
      <c r="E100" t="s">
        <v>365</v>
      </c>
      <c r="F100" t="s">
        <v>366</v>
      </c>
      <c r="G100" s="5">
        <v>11001</v>
      </c>
      <c r="H100">
        <v>47900000</v>
      </c>
      <c r="I100">
        <v>7490</v>
      </c>
    </row>
    <row r="101" spans="1:9" x14ac:dyDescent="0.25">
      <c r="A101">
        <v>800226766</v>
      </c>
      <c r="B101" t="str">
        <f>[2]!dv(A101)</f>
        <v>6</v>
      </c>
      <c r="C101" t="s">
        <v>43</v>
      </c>
      <c r="D101">
        <v>6076450002</v>
      </c>
      <c r="E101" t="s">
        <v>367</v>
      </c>
      <c r="F101" t="s">
        <v>368</v>
      </c>
      <c r="G101" s="5">
        <v>11001</v>
      </c>
      <c r="H101">
        <v>672397500</v>
      </c>
      <c r="I101">
        <v>7490</v>
      </c>
    </row>
    <row r="102" spans="1:9" x14ac:dyDescent="0.25">
      <c r="A102">
        <v>900063262</v>
      </c>
      <c r="B102" t="str">
        <f>[2]!dv(A102)</f>
        <v>8</v>
      </c>
      <c r="C102" t="s">
        <v>194</v>
      </c>
      <c r="D102">
        <v>6016971200</v>
      </c>
      <c r="E102" t="s">
        <v>369</v>
      </c>
      <c r="F102" t="s">
        <v>370</v>
      </c>
      <c r="G102" s="5">
        <v>11001</v>
      </c>
      <c r="H102">
        <v>1660645760.23</v>
      </c>
      <c r="I102">
        <v>7490</v>
      </c>
    </row>
    <row r="103" spans="1:9" x14ac:dyDescent="0.25">
      <c r="A103">
        <v>890300684</v>
      </c>
      <c r="B103" t="str">
        <f>[2]!dv(A103)</f>
        <v>4</v>
      </c>
      <c r="C103" t="s">
        <v>195</v>
      </c>
      <c r="D103">
        <v>6024315700</v>
      </c>
      <c r="E103" t="s">
        <v>371</v>
      </c>
      <c r="F103" t="s">
        <v>372</v>
      </c>
      <c r="G103" s="5">
        <v>11001</v>
      </c>
      <c r="H103">
        <v>45900000</v>
      </c>
      <c r="I103">
        <v>7490</v>
      </c>
    </row>
    <row r="104" spans="1:9" x14ac:dyDescent="0.25">
      <c r="A104">
        <v>830135087</v>
      </c>
      <c r="B104" t="str">
        <f>[2]!dv(A104)</f>
        <v>1</v>
      </c>
      <c r="C104" t="s">
        <v>44</v>
      </c>
      <c r="D104">
        <v>6470700</v>
      </c>
      <c r="E104" t="s">
        <v>373</v>
      </c>
      <c r="F104" t="s">
        <v>374</v>
      </c>
      <c r="G104" s="5">
        <v>11001</v>
      </c>
      <c r="H104">
        <v>9935000</v>
      </c>
      <c r="I104">
        <v>7490</v>
      </c>
    </row>
    <row r="105" spans="1:9" x14ac:dyDescent="0.25">
      <c r="A105" t="s">
        <v>138</v>
      </c>
      <c r="C105" t="s">
        <v>45</v>
      </c>
      <c r="D105">
        <v>6012362600</v>
      </c>
      <c r="E105" t="s">
        <v>439</v>
      </c>
      <c r="F105" t="s">
        <v>440</v>
      </c>
      <c r="G105" s="5">
        <v>11001</v>
      </c>
      <c r="H105">
        <v>33629600</v>
      </c>
      <c r="I105">
        <v>7490</v>
      </c>
    </row>
    <row r="106" spans="1:9" x14ac:dyDescent="0.25">
      <c r="A106">
        <v>900657570</v>
      </c>
      <c r="B106" t="str">
        <f>[2]!dv(A106)</f>
        <v>1</v>
      </c>
      <c r="C106" t="s">
        <v>196</v>
      </c>
      <c r="D106">
        <v>7442320</v>
      </c>
      <c r="E106" t="s">
        <v>375</v>
      </c>
      <c r="F106" t="s">
        <v>376</v>
      </c>
      <c r="G106" s="5">
        <v>11001</v>
      </c>
      <c r="H106">
        <v>117425076</v>
      </c>
      <c r="I106">
        <v>7490</v>
      </c>
    </row>
    <row r="107" spans="1:9" x14ac:dyDescent="0.25">
      <c r="A107">
        <v>830088577</v>
      </c>
      <c r="B107" t="str">
        <f>[2]!dv(A107)</f>
        <v>7</v>
      </c>
      <c r="C107" t="s">
        <v>197</v>
      </c>
      <c r="D107">
        <v>7800056</v>
      </c>
      <c r="E107" t="s">
        <v>377</v>
      </c>
      <c r="F107" t="s">
        <v>378</v>
      </c>
      <c r="G107" s="5">
        <v>11001</v>
      </c>
      <c r="H107">
        <v>11500000</v>
      </c>
      <c r="I107">
        <v>7490</v>
      </c>
    </row>
    <row r="108" spans="1:9" x14ac:dyDescent="0.25">
      <c r="A108">
        <v>900026174</v>
      </c>
      <c r="B108" t="str">
        <f>[2]!dv(A108)</f>
        <v>0</v>
      </c>
      <c r="C108" t="s">
        <v>198</v>
      </c>
      <c r="D108">
        <v>6170173</v>
      </c>
      <c r="E108" t="s">
        <v>379</v>
      </c>
      <c r="F108" t="s">
        <v>380</v>
      </c>
      <c r="G108" s="5">
        <v>11001</v>
      </c>
      <c r="H108">
        <v>38191000</v>
      </c>
      <c r="I108">
        <v>7490</v>
      </c>
    </row>
    <row r="109" spans="1:9" x14ac:dyDescent="0.25">
      <c r="A109">
        <v>830054097</v>
      </c>
      <c r="B109" t="str">
        <f>[2]!dv(A109)</f>
        <v>7</v>
      </c>
      <c r="C109" t="s">
        <v>199</v>
      </c>
      <c r="D109">
        <v>3221470</v>
      </c>
      <c r="E109" t="e">
        <v>#N/A</v>
      </c>
      <c r="F109" t="s">
        <v>381</v>
      </c>
      <c r="G109" s="5">
        <v>11001</v>
      </c>
      <c r="H109">
        <v>50994936</v>
      </c>
      <c r="I109">
        <v>7490</v>
      </c>
    </row>
    <row r="110" spans="1:9" x14ac:dyDescent="0.25">
      <c r="A110">
        <v>890800718</v>
      </c>
      <c r="B110" t="str">
        <f>[2]!dv(A110)</f>
        <v>1</v>
      </c>
      <c r="C110" t="s">
        <v>200</v>
      </c>
      <c r="D110">
        <v>6068879510</v>
      </c>
      <c r="E110" t="s">
        <v>382</v>
      </c>
      <c r="F110" t="s">
        <v>383</v>
      </c>
      <c r="G110" s="5">
        <v>11001</v>
      </c>
      <c r="H110">
        <v>50420168</v>
      </c>
      <c r="I110">
        <v>7490</v>
      </c>
    </row>
    <row r="111" spans="1:9" x14ac:dyDescent="0.25">
      <c r="A111">
        <v>900966401</v>
      </c>
      <c r="B111" t="str">
        <f>[2]!dv(A111)</f>
        <v>0</v>
      </c>
      <c r="C111" t="s">
        <v>201</v>
      </c>
      <c r="D111">
        <v>3223448471</v>
      </c>
      <c r="E111" t="s">
        <v>384</v>
      </c>
      <c r="F111" t="s">
        <v>385</v>
      </c>
      <c r="G111" s="5">
        <v>11001</v>
      </c>
      <c r="H111">
        <v>80253569</v>
      </c>
      <c r="I111">
        <v>7490</v>
      </c>
    </row>
    <row r="112" spans="1:9" x14ac:dyDescent="0.25">
      <c r="A112">
        <v>800116164</v>
      </c>
      <c r="B112" t="str">
        <f>[2]!dv(A112)</f>
        <v>0</v>
      </c>
      <c r="C112" t="s">
        <v>202</v>
      </c>
      <c r="D112">
        <v>6056571750</v>
      </c>
      <c r="E112" t="s">
        <v>386</v>
      </c>
      <c r="F112" t="s">
        <v>387</v>
      </c>
      <c r="G112" s="5">
        <v>11001</v>
      </c>
      <c r="H112">
        <v>29675763</v>
      </c>
      <c r="I112">
        <v>7490</v>
      </c>
    </row>
    <row r="113" spans="1:9" x14ac:dyDescent="0.25">
      <c r="A113">
        <v>900161460</v>
      </c>
      <c r="B113" t="str">
        <f>[2]!dv(A113)</f>
        <v>1</v>
      </c>
      <c r="C113" t="s">
        <v>203</v>
      </c>
      <c r="D113">
        <v>5936262</v>
      </c>
      <c r="E113" t="e">
        <v>#N/A</v>
      </c>
      <c r="F113" t="s">
        <v>388</v>
      </c>
      <c r="G113" s="5">
        <v>11001</v>
      </c>
      <c r="H113">
        <v>38274692</v>
      </c>
      <c r="I113">
        <v>7490</v>
      </c>
    </row>
    <row r="114" spans="1:9" x14ac:dyDescent="0.25">
      <c r="A114">
        <v>830022319</v>
      </c>
      <c r="B114" t="str">
        <f>[2]!dv(A114)</f>
        <v>1</v>
      </c>
      <c r="C114" t="s">
        <v>46</v>
      </c>
      <c r="D114">
        <v>6517272</v>
      </c>
      <c r="E114" t="s">
        <v>389</v>
      </c>
      <c r="F114" t="s">
        <v>390</v>
      </c>
      <c r="G114" s="5">
        <v>11001</v>
      </c>
      <c r="H114">
        <v>4850000</v>
      </c>
      <c r="I114">
        <v>7490</v>
      </c>
    </row>
    <row r="115" spans="1:9" x14ac:dyDescent="0.25">
      <c r="A115">
        <v>900225341</v>
      </c>
      <c r="B115" t="str">
        <f>[2]!dv(A115)</f>
        <v>8</v>
      </c>
      <c r="C115" t="s">
        <v>47</v>
      </c>
      <c r="D115">
        <v>3485500</v>
      </c>
      <c r="E115" t="s">
        <v>391</v>
      </c>
      <c r="F115" t="s">
        <v>392</v>
      </c>
      <c r="G115" s="5">
        <v>11001</v>
      </c>
      <c r="H115">
        <v>17331562</v>
      </c>
      <c r="I115">
        <v>7490</v>
      </c>
    </row>
    <row r="116" spans="1:9" x14ac:dyDescent="0.25">
      <c r="A116">
        <v>830020109</v>
      </c>
      <c r="B116" t="str">
        <f>[2]!dv(A116)</f>
        <v>0</v>
      </c>
      <c r="C116" t="s">
        <v>204</v>
      </c>
      <c r="D116">
        <v>7868666</v>
      </c>
      <c r="E116" t="s">
        <v>393</v>
      </c>
      <c r="F116" t="s">
        <v>394</v>
      </c>
      <c r="G116" s="5">
        <v>11001</v>
      </c>
      <c r="H116">
        <v>121734309</v>
      </c>
      <c r="I116">
        <v>7490</v>
      </c>
    </row>
    <row r="117" spans="1:9" x14ac:dyDescent="0.25">
      <c r="A117">
        <v>805001538</v>
      </c>
      <c r="B117" t="str">
        <f>[2]!dv(A117)</f>
        <v>5</v>
      </c>
      <c r="C117" t="s">
        <v>205</v>
      </c>
      <c r="D117">
        <v>5188492</v>
      </c>
      <c r="E117" t="s">
        <v>395</v>
      </c>
      <c r="F117" t="s">
        <v>396</v>
      </c>
      <c r="G117" s="5">
        <v>11001</v>
      </c>
      <c r="H117">
        <v>1738925</v>
      </c>
      <c r="I117">
        <v>7490</v>
      </c>
    </row>
    <row r="118" spans="1:9" x14ac:dyDescent="0.25">
      <c r="A118">
        <v>900323811</v>
      </c>
      <c r="B118" t="str">
        <f>[2]!dv(A118)</f>
        <v>8</v>
      </c>
      <c r="C118" t="s">
        <v>48</v>
      </c>
      <c r="D118">
        <v>7941793</v>
      </c>
      <c r="E118" t="s">
        <v>397</v>
      </c>
      <c r="F118" t="s">
        <v>398</v>
      </c>
      <c r="G118" s="5">
        <v>11001</v>
      </c>
      <c r="H118">
        <v>916303383</v>
      </c>
      <c r="I118">
        <v>7490</v>
      </c>
    </row>
    <row r="119" spans="1:9" x14ac:dyDescent="0.25">
      <c r="A119">
        <v>800007813</v>
      </c>
      <c r="B119" t="str">
        <f>[2]!dv(A119)</f>
        <v>5</v>
      </c>
      <c r="C119" t="s">
        <v>134</v>
      </c>
      <c r="D119">
        <v>3485500</v>
      </c>
      <c r="E119" t="s">
        <v>309</v>
      </c>
      <c r="F119" t="s">
        <v>310</v>
      </c>
      <c r="G119" s="7">
        <v>25099</v>
      </c>
      <c r="H119">
        <v>10801477</v>
      </c>
      <c r="I119">
        <v>7490</v>
      </c>
    </row>
    <row r="120" spans="1:9" x14ac:dyDescent="0.25">
      <c r="A120">
        <v>900063262</v>
      </c>
      <c r="B120" t="str">
        <f>[2]!dv(A120)</f>
        <v>8</v>
      </c>
      <c r="C120" t="s">
        <v>194</v>
      </c>
      <c r="D120">
        <v>6016971200</v>
      </c>
      <c r="E120" t="s">
        <v>369</v>
      </c>
      <c r="F120" t="s">
        <v>370</v>
      </c>
      <c r="G120" s="7">
        <v>68001</v>
      </c>
      <c r="H120">
        <v>409422000</v>
      </c>
      <c r="I120">
        <v>7490</v>
      </c>
    </row>
    <row r="121" spans="1:9" x14ac:dyDescent="0.25">
      <c r="A121">
        <v>860069378</v>
      </c>
      <c r="B121" t="str">
        <f>[2]!dv(A121)</f>
        <v>6</v>
      </c>
      <c r="C121" t="s">
        <v>19</v>
      </c>
      <c r="D121">
        <v>7723697</v>
      </c>
      <c r="E121" t="s">
        <v>254</v>
      </c>
      <c r="F121" t="s">
        <v>255</v>
      </c>
      <c r="G121" s="7">
        <v>23079</v>
      </c>
      <c r="H121">
        <v>9708102</v>
      </c>
      <c r="I121">
        <v>7490</v>
      </c>
    </row>
    <row r="122" spans="1:9" x14ac:dyDescent="0.25">
      <c r="A122">
        <v>800221789</v>
      </c>
      <c r="B122" t="str">
        <f>[2]!dv(A122)</f>
        <v>2</v>
      </c>
      <c r="C122" t="s">
        <v>49</v>
      </c>
      <c r="D122">
        <v>3355060</v>
      </c>
      <c r="E122" t="s">
        <v>399</v>
      </c>
      <c r="F122" t="s">
        <v>400</v>
      </c>
      <c r="G122" s="7">
        <v>25126</v>
      </c>
      <c r="H122">
        <v>6299774</v>
      </c>
      <c r="I122">
        <v>7490</v>
      </c>
    </row>
    <row r="123" spans="1:9" x14ac:dyDescent="0.25">
      <c r="A123">
        <v>800007813</v>
      </c>
      <c r="B123" t="str">
        <f>[2]!dv(A123)</f>
        <v>5</v>
      </c>
      <c r="C123" t="s">
        <v>134</v>
      </c>
      <c r="D123">
        <v>3485500</v>
      </c>
      <c r="E123" t="s">
        <v>309</v>
      </c>
      <c r="F123" t="s">
        <v>310</v>
      </c>
      <c r="G123" s="7">
        <v>25126</v>
      </c>
      <c r="H123">
        <v>49378174</v>
      </c>
      <c r="I123">
        <v>7490</v>
      </c>
    </row>
    <row r="124" spans="1:9" x14ac:dyDescent="0.25">
      <c r="A124">
        <v>890300684</v>
      </c>
      <c r="B124" t="str">
        <f>[2]!dv(A124)</f>
        <v>4</v>
      </c>
      <c r="C124" t="s">
        <v>195</v>
      </c>
      <c r="D124">
        <v>6024315700</v>
      </c>
      <c r="E124" t="s">
        <v>371</v>
      </c>
      <c r="F124" t="s">
        <v>372</v>
      </c>
      <c r="G124" s="7">
        <v>76001</v>
      </c>
      <c r="H124">
        <v>5100000</v>
      </c>
      <c r="I124">
        <v>7490</v>
      </c>
    </row>
    <row r="125" spans="1:9" x14ac:dyDescent="0.25">
      <c r="A125">
        <v>900063262</v>
      </c>
      <c r="B125" t="str">
        <f>[2]!dv(A125)</f>
        <v>8</v>
      </c>
      <c r="C125" t="s">
        <v>194</v>
      </c>
      <c r="D125">
        <v>6016971200</v>
      </c>
      <c r="E125" t="s">
        <v>369</v>
      </c>
      <c r="F125" t="s">
        <v>370</v>
      </c>
      <c r="G125" s="7">
        <v>68132</v>
      </c>
      <c r="H125">
        <v>293626359.76999998</v>
      </c>
      <c r="I125">
        <v>7490</v>
      </c>
    </row>
    <row r="126" spans="1:9" x14ac:dyDescent="0.25">
      <c r="A126">
        <v>890304099</v>
      </c>
      <c r="B126" t="str">
        <f>[2]!dv(A126)</f>
        <v>3</v>
      </c>
      <c r="C126" t="s">
        <v>30</v>
      </c>
      <c r="D126">
        <v>8920470</v>
      </c>
      <c r="E126" t="s">
        <v>324</v>
      </c>
      <c r="F126" t="s">
        <v>325</v>
      </c>
      <c r="G126" s="7">
        <v>13001</v>
      </c>
      <c r="H126">
        <v>4961125</v>
      </c>
      <c r="I126">
        <v>7490</v>
      </c>
    </row>
    <row r="127" spans="1:9" x14ac:dyDescent="0.25">
      <c r="A127">
        <v>900657570</v>
      </c>
      <c r="B127" t="str">
        <f>[2]!dv(A127)</f>
        <v>1</v>
      </c>
      <c r="C127" t="s">
        <v>196</v>
      </c>
      <c r="D127">
        <v>7442320</v>
      </c>
      <c r="E127" t="s">
        <v>375</v>
      </c>
      <c r="F127" t="s">
        <v>376</v>
      </c>
      <c r="G127" s="5">
        <v>13001</v>
      </c>
      <c r="H127">
        <v>50325033</v>
      </c>
      <c r="I127">
        <v>7490</v>
      </c>
    </row>
    <row r="128" spans="1:9" x14ac:dyDescent="0.25">
      <c r="A128">
        <v>800116164</v>
      </c>
      <c r="B128" t="str">
        <f>[2]!dv(A128)</f>
        <v>0</v>
      </c>
      <c r="C128" t="s">
        <v>202</v>
      </c>
      <c r="D128">
        <v>6056571750</v>
      </c>
      <c r="E128" t="s">
        <v>386</v>
      </c>
      <c r="F128" t="s">
        <v>387</v>
      </c>
      <c r="G128" s="5">
        <v>13001</v>
      </c>
      <c r="H128">
        <v>9000000</v>
      </c>
      <c r="I128">
        <v>7490</v>
      </c>
    </row>
    <row r="129" spans="1:9" x14ac:dyDescent="0.25">
      <c r="A129">
        <v>800007813</v>
      </c>
      <c r="B129" t="str">
        <f>[2]!dv(A129)</f>
        <v>5</v>
      </c>
      <c r="C129" t="s">
        <v>134</v>
      </c>
      <c r="D129">
        <v>3485500</v>
      </c>
      <c r="E129" t="s">
        <v>309</v>
      </c>
      <c r="F129" t="s">
        <v>310</v>
      </c>
      <c r="G129" s="7">
        <v>25175</v>
      </c>
      <c r="H129">
        <v>61722718</v>
      </c>
      <c r="I129">
        <v>7490</v>
      </c>
    </row>
    <row r="130" spans="1:9" x14ac:dyDescent="0.25">
      <c r="A130">
        <v>899999172</v>
      </c>
      <c r="B130" t="str">
        <f>[2]!dv(A130)</f>
        <v>8</v>
      </c>
      <c r="C130" t="s">
        <v>50</v>
      </c>
      <c r="D130">
        <v>6012362600</v>
      </c>
      <c r="E130" t="s">
        <v>439</v>
      </c>
      <c r="F130" t="s">
        <v>440</v>
      </c>
      <c r="G130" s="7">
        <v>25175</v>
      </c>
      <c r="H130">
        <v>1000</v>
      </c>
      <c r="I130">
        <v>7490</v>
      </c>
    </row>
    <row r="131" spans="1:9" x14ac:dyDescent="0.25">
      <c r="A131">
        <v>900273253</v>
      </c>
      <c r="B131" t="str">
        <f>[2]!dv(A131)</f>
        <v>2</v>
      </c>
      <c r="C131" t="s">
        <v>206</v>
      </c>
      <c r="D131">
        <v>4380146</v>
      </c>
      <c r="E131" t="s">
        <v>247</v>
      </c>
      <c r="F131" t="s">
        <v>401</v>
      </c>
      <c r="G131" s="7">
        <v>47189</v>
      </c>
      <c r="H131">
        <v>77575572</v>
      </c>
      <c r="I131">
        <v>7490</v>
      </c>
    </row>
    <row r="132" spans="1:9" x14ac:dyDescent="0.25">
      <c r="A132">
        <v>800007813</v>
      </c>
      <c r="B132" t="str">
        <f>[2]!dv(A132)</f>
        <v>5</v>
      </c>
      <c r="C132" t="s">
        <v>134</v>
      </c>
      <c r="D132">
        <v>3485500</v>
      </c>
      <c r="E132" t="s">
        <v>309</v>
      </c>
      <c r="F132" t="s">
        <v>310</v>
      </c>
      <c r="G132" s="7">
        <v>25200</v>
      </c>
      <c r="H132">
        <v>20059883</v>
      </c>
      <c r="I132">
        <v>7490</v>
      </c>
    </row>
    <row r="133" spans="1:9" x14ac:dyDescent="0.25">
      <c r="A133">
        <v>899999082</v>
      </c>
      <c r="B133" t="str">
        <f>[2]!dv(A133)</f>
        <v>3</v>
      </c>
      <c r="C133" t="s">
        <v>175</v>
      </c>
      <c r="D133">
        <v>6013268000</v>
      </c>
      <c r="E133" t="s">
        <v>318</v>
      </c>
      <c r="F133" t="s">
        <v>319</v>
      </c>
      <c r="G133" s="7">
        <v>25200</v>
      </c>
      <c r="H133">
        <v>3699680</v>
      </c>
      <c r="I133">
        <v>7490</v>
      </c>
    </row>
    <row r="134" spans="1:9" x14ac:dyDescent="0.25">
      <c r="A134">
        <v>800007813</v>
      </c>
      <c r="B134" t="str">
        <f>[2]!dv(A134)</f>
        <v>5</v>
      </c>
      <c r="C134" t="s">
        <v>134</v>
      </c>
      <c r="D134">
        <v>3485500</v>
      </c>
      <c r="E134" t="s">
        <v>309</v>
      </c>
      <c r="F134" t="s">
        <v>310</v>
      </c>
      <c r="G134" s="7">
        <v>25214</v>
      </c>
      <c r="H134">
        <v>49378174</v>
      </c>
      <c r="I134">
        <v>7490</v>
      </c>
    </row>
    <row r="135" spans="1:9" x14ac:dyDescent="0.25">
      <c r="A135">
        <v>900333530</v>
      </c>
      <c r="B135" t="str">
        <f>[2]!dv(A135)</f>
        <v>6</v>
      </c>
      <c r="C135" t="s">
        <v>147</v>
      </c>
      <c r="D135">
        <v>3012326975</v>
      </c>
      <c r="E135" t="s">
        <v>245</v>
      </c>
      <c r="F135" t="s">
        <v>246</v>
      </c>
      <c r="G135" s="7">
        <v>20250</v>
      </c>
      <c r="H135">
        <v>559500</v>
      </c>
      <c r="I135">
        <v>7490</v>
      </c>
    </row>
    <row r="136" spans="1:9" x14ac:dyDescent="0.25">
      <c r="A136">
        <v>900268901</v>
      </c>
      <c r="B136" t="str">
        <f>[2]!dv(A136)</f>
        <v>7</v>
      </c>
      <c r="C136" t="s">
        <v>151</v>
      </c>
      <c r="D136">
        <v>3268600</v>
      </c>
      <c r="E136" t="s">
        <v>258</v>
      </c>
      <c r="F136" t="s">
        <v>259</v>
      </c>
      <c r="G136" s="5">
        <v>20250</v>
      </c>
      <c r="H136">
        <v>114540959</v>
      </c>
      <c r="I136">
        <v>7490</v>
      </c>
    </row>
    <row r="137" spans="1:9" x14ac:dyDescent="0.25">
      <c r="A137">
        <v>800096592</v>
      </c>
      <c r="B137" t="str">
        <f>[2]!dv(A137)</f>
        <v>2</v>
      </c>
      <c r="C137" t="s">
        <v>51</v>
      </c>
      <c r="D137">
        <v>6012362600</v>
      </c>
      <c r="E137" t="s">
        <v>439</v>
      </c>
      <c r="F137" t="s">
        <v>440</v>
      </c>
      <c r="G137" s="5">
        <v>20250</v>
      </c>
      <c r="H137">
        <v>21000</v>
      </c>
      <c r="I137">
        <v>7490</v>
      </c>
    </row>
    <row r="138" spans="1:9" x14ac:dyDescent="0.25">
      <c r="A138">
        <v>800007813</v>
      </c>
      <c r="B138" t="str">
        <f>[2]!dv(A138)</f>
        <v>5</v>
      </c>
      <c r="C138" t="s">
        <v>134</v>
      </c>
      <c r="D138">
        <v>3485500</v>
      </c>
      <c r="E138" t="s">
        <v>309</v>
      </c>
      <c r="F138" t="s">
        <v>310</v>
      </c>
      <c r="G138" s="7">
        <v>25269</v>
      </c>
      <c r="H138">
        <v>4629206</v>
      </c>
      <c r="I138">
        <v>7490</v>
      </c>
    </row>
    <row r="139" spans="1:9" x14ac:dyDescent="0.25">
      <c r="A139">
        <v>800007813</v>
      </c>
      <c r="B139" t="str">
        <f>[2]!dv(A139)</f>
        <v>5</v>
      </c>
      <c r="C139" t="s">
        <v>134</v>
      </c>
      <c r="D139">
        <v>3485500</v>
      </c>
      <c r="E139" t="s">
        <v>309</v>
      </c>
      <c r="F139" t="s">
        <v>310</v>
      </c>
      <c r="G139" s="7">
        <v>25286</v>
      </c>
      <c r="H139">
        <v>40119767</v>
      </c>
      <c r="I139">
        <v>7490</v>
      </c>
    </row>
    <row r="140" spans="1:9" x14ac:dyDescent="0.25">
      <c r="A140">
        <v>890908901</v>
      </c>
      <c r="B140" t="str">
        <f>[2]!dv(A140)</f>
        <v>9</v>
      </c>
      <c r="C140" t="s">
        <v>178</v>
      </c>
      <c r="D140">
        <v>2890060</v>
      </c>
      <c r="E140" t="s">
        <v>326</v>
      </c>
      <c r="F140" t="s">
        <v>327</v>
      </c>
      <c r="G140" s="8" t="s">
        <v>431</v>
      </c>
      <c r="H140">
        <v>25064858</v>
      </c>
      <c r="I140">
        <v>7490</v>
      </c>
    </row>
    <row r="141" spans="1:9" x14ac:dyDescent="0.25">
      <c r="A141">
        <v>901283882</v>
      </c>
      <c r="B141" t="str">
        <f>[2]!dv(A141)</f>
        <v>1</v>
      </c>
      <c r="C141" t="s">
        <v>10</v>
      </c>
      <c r="D141">
        <v>4178000</v>
      </c>
      <c r="E141" t="s">
        <v>221</v>
      </c>
      <c r="F141" t="s">
        <v>222</v>
      </c>
      <c r="G141" s="7">
        <v>25320</v>
      </c>
      <c r="H141">
        <v>2755075</v>
      </c>
      <c r="I141">
        <v>7490</v>
      </c>
    </row>
    <row r="142" spans="1:9" x14ac:dyDescent="0.25">
      <c r="A142">
        <v>98157748</v>
      </c>
      <c r="C142" t="s">
        <v>26</v>
      </c>
      <c r="D142">
        <v>6012362600</v>
      </c>
      <c r="E142" t="s">
        <v>439</v>
      </c>
      <c r="F142" t="s">
        <v>440</v>
      </c>
      <c r="G142" s="9">
        <v>66318</v>
      </c>
      <c r="H142">
        <v>1066350</v>
      </c>
      <c r="I142">
        <v>7490</v>
      </c>
    </row>
    <row r="143" spans="1:9" x14ac:dyDescent="0.25">
      <c r="A143">
        <v>901162563</v>
      </c>
      <c r="B143" t="str">
        <f>[2]!dv(A143)</f>
        <v>8</v>
      </c>
      <c r="C143" t="s">
        <v>189</v>
      </c>
      <c r="D143">
        <v>3148527104</v>
      </c>
      <c r="E143" t="s">
        <v>356</v>
      </c>
      <c r="F143" t="s">
        <v>287</v>
      </c>
      <c r="G143" s="7">
        <v>17380</v>
      </c>
      <c r="H143">
        <v>6750000</v>
      </c>
      <c r="I143">
        <v>7490</v>
      </c>
    </row>
    <row r="144" spans="1:9" x14ac:dyDescent="0.25">
      <c r="A144">
        <v>860041312</v>
      </c>
      <c r="B144" t="str">
        <f>[2]!dv(A144)</f>
        <v>9</v>
      </c>
      <c r="C144" t="s">
        <v>17</v>
      </c>
      <c r="D144">
        <v>3695500</v>
      </c>
      <c r="E144" t="s">
        <v>247</v>
      </c>
      <c r="F144" t="s">
        <v>248</v>
      </c>
      <c r="G144" s="7">
        <v>20400</v>
      </c>
      <c r="H144">
        <v>26753214</v>
      </c>
      <c r="I144">
        <v>7490</v>
      </c>
    </row>
    <row r="145" spans="1:9" x14ac:dyDescent="0.25">
      <c r="A145">
        <v>802024439</v>
      </c>
      <c r="B145" t="str">
        <f>[2]!dv(A145)</f>
        <v>2</v>
      </c>
      <c r="C145" t="s">
        <v>148</v>
      </c>
      <c r="D145">
        <v>3695500</v>
      </c>
      <c r="E145" t="s">
        <v>251</v>
      </c>
      <c r="F145" t="s">
        <v>248</v>
      </c>
      <c r="G145" s="7">
        <v>20400</v>
      </c>
      <c r="H145">
        <v>43473973</v>
      </c>
      <c r="I145">
        <v>7490</v>
      </c>
    </row>
    <row r="146" spans="1:9" x14ac:dyDescent="0.25">
      <c r="A146">
        <v>98157748</v>
      </c>
      <c r="C146" t="s">
        <v>26</v>
      </c>
      <c r="D146">
        <v>6012362600</v>
      </c>
      <c r="E146" t="s">
        <v>439</v>
      </c>
      <c r="F146" t="s">
        <v>440</v>
      </c>
      <c r="G146" s="8" t="s">
        <v>432</v>
      </c>
      <c r="H146">
        <v>1066350</v>
      </c>
      <c r="I146">
        <v>7490</v>
      </c>
    </row>
    <row r="147" spans="1:9" x14ac:dyDescent="0.25">
      <c r="A147">
        <v>800007813</v>
      </c>
      <c r="B147" t="str">
        <f>[2]!dv(A147)</f>
        <v>5</v>
      </c>
      <c r="C147" t="s">
        <v>134</v>
      </c>
      <c r="D147">
        <v>3485500</v>
      </c>
      <c r="E147" t="s">
        <v>309</v>
      </c>
      <c r="F147" t="s">
        <v>310</v>
      </c>
      <c r="G147" s="7">
        <v>25430</v>
      </c>
      <c r="H147">
        <v>38576701</v>
      </c>
      <c r="I147">
        <v>7490</v>
      </c>
    </row>
    <row r="148" spans="1:9" x14ac:dyDescent="0.25">
      <c r="A148">
        <v>900063262</v>
      </c>
      <c r="B148" t="str">
        <f>[2]!dv(A148)</f>
        <v>8</v>
      </c>
      <c r="C148" t="s">
        <v>194</v>
      </c>
      <c r="D148">
        <v>6016971200</v>
      </c>
      <c r="E148" t="s">
        <v>369</v>
      </c>
      <c r="F148" t="s">
        <v>370</v>
      </c>
      <c r="G148" s="7">
        <v>68444</v>
      </c>
      <c r="H148">
        <v>273498363</v>
      </c>
      <c r="I148">
        <v>7490</v>
      </c>
    </row>
    <row r="149" spans="1:9" x14ac:dyDescent="0.25">
      <c r="A149">
        <v>800226175</v>
      </c>
      <c r="B149" t="str">
        <f>[2]!dv(A149)</f>
        <v>3</v>
      </c>
      <c r="C149" t="s">
        <v>152</v>
      </c>
      <c r="D149">
        <v>3241111</v>
      </c>
      <c r="E149" t="e">
        <v>#N/A</v>
      </c>
      <c r="F149" t="s">
        <v>262</v>
      </c>
      <c r="G149" s="8" t="s">
        <v>433</v>
      </c>
      <c r="H149">
        <v>452480</v>
      </c>
      <c r="I149">
        <v>7490</v>
      </c>
    </row>
    <row r="150" spans="1:9" x14ac:dyDescent="0.25">
      <c r="A150">
        <v>860069378</v>
      </c>
      <c r="B150" t="str">
        <f>[2]!dv(A150)</f>
        <v>6</v>
      </c>
      <c r="C150" t="s">
        <v>19</v>
      </c>
      <c r="D150">
        <v>7723697</v>
      </c>
      <c r="E150" t="s">
        <v>254</v>
      </c>
      <c r="F150" t="s">
        <v>255</v>
      </c>
      <c r="G150" s="7">
        <v>23466</v>
      </c>
      <c r="H150">
        <v>87163672</v>
      </c>
      <c r="I150">
        <v>7490</v>
      </c>
    </row>
    <row r="151" spans="1:9" x14ac:dyDescent="0.25">
      <c r="A151">
        <v>900833819</v>
      </c>
      <c r="B151" t="str">
        <f>[2]!dv(A151)</f>
        <v>4</v>
      </c>
      <c r="C151" t="s">
        <v>207</v>
      </c>
      <c r="D151">
        <v>3266600</v>
      </c>
      <c r="E151" t="s">
        <v>402</v>
      </c>
      <c r="F151" t="s">
        <v>403</v>
      </c>
      <c r="G151" s="7">
        <v>23001</v>
      </c>
      <c r="H151">
        <v>58147506</v>
      </c>
      <c r="I151">
        <v>7490</v>
      </c>
    </row>
    <row r="152" spans="1:9" x14ac:dyDescent="0.25">
      <c r="A152">
        <v>901391119</v>
      </c>
      <c r="B152" t="str">
        <f>[2]!dv(A152)</f>
        <v>2</v>
      </c>
      <c r="C152" t="s">
        <v>162</v>
      </c>
      <c r="D152">
        <v>7957405</v>
      </c>
      <c r="E152" t="s">
        <v>282</v>
      </c>
      <c r="F152" t="s">
        <v>283</v>
      </c>
      <c r="G152" s="7">
        <v>25473</v>
      </c>
      <c r="H152">
        <v>18476209</v>
      </c>
      <c r="I152">
        <v>7490</v>
      </c>
    </row>
    <row r="153" spans="1:9" x14ac:dyDescent="0.25">
      <c r="A153">
        <v>800007813</v>
      </c>
      <c r="B153" t="str">
        <f>[2]!dv(A153)</f>
        <v>5</v>
      </c>
      <c r="C153" t="s">
        <v>134</v>
      </c>
      <c r="D153">
        <v>3485500</v>
      </c>
      <c r="E153" t="s">
        <v>309</v>
      </c>
      <c r="F153" t="s">
        <v>310</v>
      </c>
      <c r="G153" s="5">
        <v>25473</v>
      </c>
      <c r="H153">
        <v>40119767</v>
      </c>
      <c r="I153">
        <v>7490</v>
      </c>
    </row>
    <row r="154" spans="1:9" x14ac:dyDescent="0.25">
      <c r="A154">
        <v>860037338</v>
      </c>
      <c r="B154" t="str">
        <f>[2]!dv(A154)</f>
        <v>4</v>
      </c>
      <c r="C154" t="s">
        <v>182</v>
      </c>
      <c r="D154">
        <v>3403187</v>
      </c>
      <c r="E154" t="s">
        <v>335</v>
      </c>
      <c r="F154" t="s">
        <v>336</v>
      </c>
      <c r="G154" s="5">
        <v>25473</v>
      </c>
      <c r="H154">
        <v>234936000</v>
      </c>
      <c r="I154">
        <v>7490</v>
      </c>
    </row>
    <row r="155" spans="1:9" x14ac:dyDescent="0.25">
      <c r="A155">
        <v>899999082</v>
      </c>
      <c r="B155" t="str">
        <f>[2]!dv(A155)</f>
        <v>3</v>
      </c>
      <c r="C155" t="s">
        <v>175</v>
      </c>
      <c r="D155">
        <v>6013268000</v>
      </c>
      <c r="E155" t="s">
        <v>318</v>
      </c>
      <c r="F155" t="s">
        <v>319</v>
      </c>
      <c r="G155" s="7">
        <v>25486</v>
      </c>
      <c r="H155">
        <v>3699680</v>
      </c>
      <c r="I155">
        <v>7490</v>
      </c>
    </row>
    <row r="156" spans="1:9" x14ac:dyDescent="0.25">
      <c r="A156">
        <v>860005224</v>
      </c>
      <c r="B156" t="str">
        <f>[2]!dv(A156)</f>
        <v>6</v>
      </c>
      <c r="C156" t="s">
        <v>15</v>
      </c>
      <c r="D156">
        <v>63890000</v>
      </c>
      <c r="E156" t="s">
        <v>239</v>
      </c>
      <c r="F156" t="s">
        <v>240</v>
      </c>
      <c r="G156" s="8" t="s">
        <v>434</v>
      </c>
      <c r="H156">
        <v>5445000</v>
      </c>
      <c r="I156">
        <v>7490</v>
      </c>
    </row>
    <row r="157" spans="1:9" x14ac:dyDescent="0.25">
      <c r="A157">
        <v>800094449</v>
      </c>
      <c r="B157" t="str">
        <f>[2]!dv(A157)</f>
        <v>8</v>
      </c>
      <c r="C157" t="s">
        <v>52</v>
      </c>
      <c r="D157">
        <v>6012362600</v>
      </c>
      <c r="E157" t="s">
        <v>439</v>
      </c>
      <c r="F157" t="s">
        <v>440</v>
      </c>
      <c r="G157" s="10" t="s">
        <v>434</v>
      </c>
      <c r="H157">
        <v>1182000</v>
      </c>
      <c r="I157">
        <v>7490</v>
      </c>
    </row>
    <row r="158" spans="1:9" x14ac:dyDescent="0.25">
      <c r="A158">
        <v>860069378</v>
      </c>
      <c r="B158" t="str">
        <f>[2]!dv(A158)</f>
        <v>6</v>
      </c>
      <c r="C158" t="s">
        <v>19</v>
      </c>
      <c r="D158">
        <v>7723697</v>
      </c>
      <c r="E158" t="s">
        <v>254</v>
      </c>
      <c r="F158" t="s">
        <v>255</v>
      </c>
      <c r="G158" s="4">
        <v>23555</v>
      </c>
      <c r="H158">
        <v>4854050</v>
      </c>
      <c r="I158">
        <v>7490</v>
      </c>
    </row>
    <row r="159" spans="1:9" x14ac:dyDescent="0.25">
      <c r="A159">
        <v>860063875</v>
      </c>
      <c r="B159" t="str">
        <f>[2]!dv(A159)</f>
        <v>8</v>
      </c>
      <c r="C159" t="s">
        <v>164</v>
      </c>
      <c r="D159" t="s">
        <v>290</v>
      </c>
      <c r="E159" t="s">
        <v>291</v>
      </c>
      <c r="F159" t="s">
        <v>292</v>
      </c>
      <c r="G159" s="11" t="s">
        <v>435</v>
      </c>
      <c r="H159">
        <v>2185072843</v>
      </c>
      <c r="I159">
        <v>7490</v>
      </c>
    </row>
    <row r="160" spans="1:9" x14ac:dyDescent="0.25">
      <c r="A160">
        <v>900089276</v>
      </c>
      <c r="B160" t="str">
        <f>[2]!dv(A160)</f>
        <v>3</v>
      </c>
      <c r="C160" t="s">
        <v>34</v>
      </c>
      <c r="D160">
        <v>6012362600</v>
      </c>
      <c r="E160" t="s">
        <v>439</v>
      </c>
      <c r="F160" t="s">
        <v>440</v>
      </c>
      <c r="G160" s="11" t="s">
        <v>435</v>
      </c>
      <c r="H160">
        <v>70171200</v>
      </c>
      <c r="I160">
        <v>7490</v>
      </c>
    </row>
    <row r="161" spans="1:9" x14ac:dyDescent="0.25">
      <c r="A161">
        <v>860069378</v>
      </c>
      <c r="B161" t="str">
        <f>[2]!dv(A161)</f>
        <v>6</v>
      </c>
      <c r="C161" t="s">
        <v>19</v>
      </c>
      <c r="D161">
        <v>7723697</v>
      </c>
      <c r="E161" t="s">
        <v>254</v>
      </c>
      <c r="F161" t="s">
        <v>255</v>
      </c>
      <c r="G161" s="4">
        <v>23570</v>
      </c>
      <c r="H161">
        <v>4854050</v>
      </c>
      <c r="I161">
        <v>7490</v>
      </c>
    </row>
    <row r="162" spans="1:9" x14ac:dyDescent="0.25">
      <c r="A162">
        <v>800249313</v>
      </c>
      <c r="B162" t="str">
        <f>[2]!dv(A162)</f>
        <v>2</v>
      </c>
      <c r="C162" t="s">
        <v>208</v>
      </c>
      <c r="D162">
        <v>4851212</v>
      </c>
      <c r="E162" t="s">
        <v>404</v>
      </c>
      <c r="F162" t="s">
        <v>405</v>
      </c>
      <c r="G162" s="4">
        <v>15572</v>
      </c>
      <c r="H162">
        <v>442878756</v>
      </c>
      <c r="I162">
        <v>7490</v>
      </c>
    </row>
    <row r="163" spans="1:9" x14ac:dyDescent="0.25">
      <c r="A163">
        <v>901283882</v>
      </c>
      <c r="B163" t="str">
        <f>[2]!dv(A163)</f>
        <v>1</v>
      </c>
      <c r="C163" t="s">
        <v>10</v>
      </c>
      <c r="D163">
        <v>4178000</v>
      </c>
      <c r="E163" t="s">
        <v>221</v>
      </c>
      <c r="F163" t="s">
        <v>222</v>
      </c>
      <c r="G163" s="4">
        <v>50568</v>
      </c>
      <c r="H163">
        <v>376592000</v>
      </c>
      <c r="I163">
        <v>7490</v>
      </c>
    </row>
    <row r="164" spans="1:9" x14ac:dyDescent="0.25">
      <c r="A164">
        <v>860069378</v>
      </c>
      <c r="B164" t="str">
        <f>[2]!dv(A164)</f>
        <v>6</v>
      </c>
      <c r="C164" t="s">
        <v>19</v>
      </c>
      <c r="D164">
        <v>7723697</v>
      </c>
      <c r="E164" t="s">
        <v>254</v>
      </c>
      <c r="F164" t="s">
        <v>255</v>
      </c>
      <c r="G164" s="4">
        <v>23580</v>
      </c>
      <c r="H164">
        <v>2912430</v>
      </c>
      <c r="I164">
        <v>7490</v>
      </c>
    </row>
    <row r="165" spans="1:9" x14ac:dyDescent="0.25">
      <c r="A165">
        <v>900308744</v>
      </c>
      <c r="B165" t="str">
        <f>[2]!dv(A165)</f>
        <v>1</v>
      </c>
      <c r="C165" t="s">
        <v>28</v>
      </c>
      <c r="D165">
        <v>3303010</v>
      </c>
      <c r="E165" t="s">
        <v>314</v>
      </c>
      <c r="F165" t="s">
        <v>315</v>
      </c>
      <c r="G165" s="5">
        <v>23580</v>
      </c>
      <c r="H165">
        <v>15828000</v>
      </c>
      <c r="I165">
        <v>7490</v>
      </c>
    </row>
    <row r="166" spans="1:9" x14ac:dyDescent="0.25">
      <c r="A166">
        <v>890110985</v>
      </c>
      <c r="B166" t="str">
        <f>[2]!dv(A166)</f>
        <v>0</v>
      </c>
      <c r="C166" t="s">
        <v>53</v>
      </c>
      <c r="D166">
        <v>3106200</v>
      </c>
      <c r="E166" t="s">
        <v>406</v>
      </c>
      <c r="F166" t="s">
        <v>407</v>
      </c>
      <c r="G166" s="5">
        <v>23580</v>
      </c>
      <c r="H166">
        <v>160301824</v>
      </c>
      <c r="I166">
        <v>7490</v>
      </c>
    </row>
    <row r="167" spans="1:9" x14ac:dyDescent="0.25">
      <c r="A167">
        <v>900225341</v>
      </c>
      <c r="B167" t="str">
        <f>[2]!dv(A167)</f>
        <v>8</v>
      </c>
      <c r="C167" t="s">
        <v>47</v>
      </c>
      <c r="D167">
        <v>3485500</v>
      </c>
      <c r="E167" t="s">
        <v>391</v>
      </c>
      <c r="F167" t="s">
        <v>392</v>
      </c>
      <c r="G167" s="4">
        <v>25572</v>
      </c>
      <c r="H167">
        <v>912187</v>
      </c>
      <c r="I167">
        <v>7490</v>
      </c>
    </row>
    <row r="168" spans="1:9" x14ac:dyDescent="0.25">
      <c r="A168">
        <v>890205952</v>
      </c>
      <c r="B168" t="str">
        <f>[2]!dv(A168)</f>
        <v>7</v>
      </c>
      <c r="C168" t="s">
        <v>172</v>
      </c>
      <c r="D168">
        <v>6833300</v>
      </c>
      <c r="E168" t="s">
        <v>307</v>
      </c>
      <c r="F168" t="s">
        <v>308</v>
      </c>
      <c r="G168" s="4">
        <v>68575</v>
      </c>
      <c r="H168">
        <v>2395575</v>
      </c>
      <c r="I168">
        <v>7490</v>
      </c>
    </row>
    <row r="169" spans="1:9" x14ac:dyDescent="0.25">
      <c r="A169">
        <v>890105526</v>
      </c>
      <c r="B169" t="str">
        <f>[2]!dv(A169)</f>
        <v>3</v>
      </c>
      <c r="C169" t="s">
        <v>42</v>
      </c>
      <c r="D169">
        <v>3713115</v>
      </c>
      <c r="E169" t="s">
        <v>365</v>
      </c>
      <c r="F169" t="s">
        <v>366</v>
      </c>
      <c r="G169" s="12" t="s">
        <v>436</v>
      </c>
      <c r="H169">
        <v>673303009</v>
      </c>
      <c r="I169">
        <v>7490</v>
      </c>
    </row>
    <row r="170" spans="1:9" x14ac:dyDescent="0.25">
      <c r="A170">
        <v>860063875</v>
      </c>
      <c r="B170" t="str">
        <f>[2]!dv(A170)</f>
        <v>8</v>
      </c>
      <c r="C170" t="s">
        <v>164</v>
      </c>
      <c r="D170" t="s">
        <v>290</v>
      </c>
      <c r="E170" t="s">
        <v>291</v>
      </c>
      <c r="F170" t="s">
        <v>292</v>
      </c>
      <c r="G170" s="12" t="s">
        <v>437</v>
      </c>
      <c r="H170">
        <v>160364309</v>
      </c>
      <c r="I170">
        <v>7490</v>
      </c>
    </row>
    <row r="171" spans="1:9" x14ac:dyDescent="0.25">
      <c r="A171">
        <v>900089276</v>
      </c>
      <c r="B171" t="str">
        <f>[2]!dv(A171)</f>
        <v>3</v>
      </c>
      <c r="C171" t="s">
        <v>34</v>
      </c>
      <c r="D171">
        <v>6012362600</v>
      </c>
      <c r="E171" t="s">
        <v>439</v>
      </c>
      <c r="F171" t="s">
        <v>440</v>
      </c>
      <c r="G171" s="12" t="s">
        <v>437</v>
      </c>
      <c r="H171">
        <v>510428271</v>
      </c>
      <c r="I171">
        <v>7490</v>
      </c>
    </row>
    <row r="172" spans="1:9" x14ac:dyDescent="0.25">
      <c r="A172">
        <v>899999082</v>
      </c>
      <c r="B172" t="str">
        <f>[2]!dv(A172)</f>
        <v>3</v>
      </c>
      <c r="C172" t="s">
        <v>175</v>
      </c>
      <c r="D172">
        <v>6013268000</v>
      </c>
      <c r="E172" t="s">
        <v>318</v>
      </c>
      <c r="F172" t="s">
        <v>319</v>
      </c>
      <c r="G172" s="4">
        <v>25658</v>
      </c>
      <c r="H172">
        <v>1850000</v>
      </c>
      <c r="I172">
        <v>7490</v>
      </c>
    </row>
    <row r="173" spans="1:9" x14ac:dyDescent="0.25">
      <c r="A173">
        <v>901261340</v>
      </c>
      <c r="B173" t="str">
        <f>[2]!dv(A173)</f>
        <v>7</v>
      </c>
      <c r="C173" t="s">
        <v>184</v>
      </c>
      <c r="D173">
        <v>7053457</v>
      </c>
      <c r="E173" t="s">
        <v>341</v>
      </c>
      <c r="F173" t="s">
        <v>342</v>
      </c>
      <c r="G173" s="4">
        <v>44650</v>
      </c>
      <c r="H173">
        <v>395771798</v>
      </c>
      <c r="I173">
        <v>7490</v>
      </c>
    </row>
    <row r="174" spans="1:9" x14ac:dyDescent="0.25">
      <c r="A174">
        <v>890205952</v>
      </c>
      <c r="B174" t="str">
        <f>[2]!dv(A174)</f>
        <v>7</v>
      </c>
      <c r="C174" t="s">
        <v>172</v>
      </c>
      <c r="D174">
        <v>6833300</v>
      </c>
      <c r="E174" t="s">
        <v>307</v>
      </c>
      <c r="F174" t="s">
        <v>308</v>
      </c>
      <c r="G174" s="5">
        <v>13670</v>
      </c>
      <c r="H174">
        <v>2395575</v>
      </c>
      <c r="I174">
        <v>7490</v>
      </c>
    </row>
    <row r="175" spans="1:9" x14ac:dyDescent="0.25">
      <c r="A175">
        <v>65061829</v>
      </c>
      <c r="C175" t="s">
        <v>32</v>
      </c>
      <c r="D175">
        <v>6012362600</v>
      </c>
      <c r="E175" t="s">
        <v>439</v>
      </c>
      <c r="F175" t="s">
        <v>440</v>
      </c>
      <c r="G175" s="5">
        <v>47001</v>
      </c>
      <c r="H175">
        <v>11804460</v>
      </c>
      <c r="I175">
        <v>7490</v>
      </c>
    </row>
    <row r="176" spans="1:9" x14ac:dyDescent="0.25">
      <c r="A176">
        <v>899999082</v>
      </c>
      <c r="B176" t="str">
        <f>[2]!dv(A176)</f>
        <v>3</v>
      </c>
      <c r="C176" t="s">
        <v>175</v>
      </c>
      <c r="D176">
        <v>6013268000</v>
      </c>
      <c r="E176" t="s">
        <v>318</v>
      </c>
      <c r="F176" t="s">
        <v>319</v>
      </c>
      <c r="G176" s="5">
        <v>25736</v>
      </c>
      <c r="H176">
        <v>3699680</v>
      </c>
      <c r="I176">
        <v>7490</v>
      </c>
    </row>
    <row r="177" spans="1:9" x14ac:dyDescent="0.25">
      <c r="A177">
        <v>899999415</v>
      </c>
      <c r="B177" t="str">
        <f>[2]!dv(A177)</f>
        <v>2</v>
      </c>
      <c r="C177" t="s">
        <v>54</v>
      </c>
      <c r="D177">
        <v>6012362600</v>
      </c>
      <c r="E177" t="s">
        <v>439</v>
      </c>
      <c r="F177" t="s">
        <v>440</v>
      </c>
      <c r="G177" s="5">
        <v>25736</v>
      </c>
      <c r="H177">
        <v>6000</v>
      </c>
      <c r="I177">
        <v>7490</v>
      </c>
    </row>
    <row r="178" spans="1:9" x14ac:dyDescent="0.25">
      <c r="A178">
        <v>901079460</v>
      </c>
      <c r="B178" t="str">
        <f>[2]!dv(A178)</f>
        <v>3</v>
      </c>
      <c r="C178" t="s">
        <v>209</v>
      </c>
      <c r="D178">
        <v>7422900</v>
      </c>
      <c r="E178" t="s">
        <v>408</v>
      </c>
      <c r="F178" t="s">
        <v>409</v>
      </c>
      <c r="G178" s="5">
        <v>25736</v>
      </c>
      <c r="H178">
        <v>18000000</v>
      </c>
      <c r="I178">
        <v>7490</v>
      </c>
    </row>
    <row r="179" spans="1:9" x14ac:dyDescent="0.25">
      <c r="A179">
        <v>860513493</v>
      </c>
      <c r="B179" t="str">
        <f>[2]!dv(A179)</f>
        <v>1</v>
      </c>
      <c r="C179" t="s">
        <v>158</v>
      </c>
      <c r="D179">
        <v>6258330</v>
      </c>
      <c r="E179" t="s">
        <v>272</v>
      </c>
      <c r="F179" t="s">
        <v>273</v>
      </c>
      <c r="G179" s="5">
        <v>25754</v>
      </c>
      <c r="H179">
        <v>19921854</v>
      </c>
      <c r="I179">
        <v>7490</v>
      </c>
    </row>
    <row r="180" spans="1:9" x14ac:dyDescent="0.25">
      <c r="A180">
        <v>901594251</v>
      </c>
      <c r="B180" t="str">
        <f>[2]!dv(A180)</f>
        <v>9</v>
      </c>
      <c r="C180" t="s">
        <v>156</v>
      </c>
      <c r="D180">
        <v>6015188500</v>
      </c>
      <c r="E180" t="s">
        <v>268</v>
      </c>
      <c r="F180" t="s">
        <v>269</v>
      </c>
      <c r="G180" s="5">
        <v>25758</v>
      </c>
      <c r="H180">
        <v>108712560</v>
      </c>
      <c r="I180">
        <v>7490</v>
      </c>
    </row>
    <row r="181" spans="1:9" x14ac:dyDescent="0.25">
      <c r="A181">
        <v>800007813</v>
      </c>
      <c r="B181" t="str">
        <f>[2]!dv(A181)</f>
        <v>5</v>
      </c>
      <c r="C181" t="s">
        <v>134</v>
      </c>
      <c r="D181">
        <v>3485500</v>
      </c>
      <c r="E181" t="s">
        <v>309</v>
      </c>
      <c r="F181" t="s">
        <v>310</v>
      </c>
      <c r="G181" s="5">
        <v>25758</v>
      </c>
      <c r="H181">
        <v>44748970</v>
      </c>
      <c r="I181">
        <v>7490</v>
      </c>
    </row>
    <row r="182" spans="1:9" x14ac:dyDescent="0.25">
      <c r="A182">
        <v>900063262</v>
      </c>
      <c r="B182" t="str">
        <f>[2]!dv(A182)</f>
        <v>8</v>
      </c>
      <c r="C182" t="s">
        <v>194</v>
      </c>
      <c r="D182">
        <v>6016971200</v>
      </c>
      <c r="E182" t="s">
        <v>369</v>
      </c>
      <c r="F182" t="s">
        <v>370</v>
      </c>
      <c r="G182" s="5">
        <v>68780</v>
      </c>
      <c r="H182">
        <v>273498363</v>
      </c>
      <c r="I182">
        <v>7490</v>
      </c>
    </row>
    <row r="183" spans="1:9" x14ac:dyDescent="0.25">
      <c r="A183">
        <v>899999082</v>
      </c>
      <c r="B183" t="str">
        <f>[2]!dv(A183)</f>
        <v>3</v>
      </c>
      <c r="C183" t="s">
        <v>175</v>
      </c>
      <c r="D183">
        <v>6013268000</v>
      </c>
      <c r="E183" t="s">
        <v>318</v>
      </c>
      <c r="F183" t="s">
        <v>319</v>
      </c>
      <c r="G183" s="4">
        <v>25779</v>
      </c>
      <c r="H183">
        <v>3699680</v>
      </c>
      <c r="I183">
        <v>7490</v>
      </c>
    </row>
    <row r="184" spans="1:9" x14ac:dyDescent="0.25">
      <c r="A184">
        <v>800243991</v>
      </c>
      <c r="B184" t="str">
        <f>[2]!dv(A184)</f>
        <v>9</v>
      </c>
      <c r="C184" t="s">
        <v>29</v>
      </c>
      <c r="D184">
        <v>6012362600</v>
      </c>
      <c r="E184" t="s">
        <v>439</v>
      </c>
      <c r="F184" t="s">
        <v>440</v>
      </c>
      <c r="G184" s="4">
        <v>25785</v>
      </c>
      <c r="H184">
        <v>97599960</v>
      </c>
      <c r="I184">
        <v>7490</v>
      </c>
    </row>
    <row r="185" spans="1:9" x14ac:dyDescent="0.25">
      <c r="A185">
        <v>900329780</v>
      </c>
      <c r="B185" t="str">
        <f>[2]!dv(A185)</f>
        <v>5</v>
      </c>
      <c r="C185" t="s">
        <v>192</v>
      </c>
      <c r="D185">
        <v>6016258282</v>
      </c>
      <c r="E185" t="s">
        <v>361</v>
      </c>
      <c r="F185" t="s">
        <v>362</v>
      </c>
      <c r="G185" s="4">
        <v>85410</v>
      </c>
      <c r="H185">
        <v>2325000</v>
      </c>
      <c r="I185">
        <v>7490</v>
      </c>
    </row>
    <row r="186" spans="1:9" x14ac:dyDescent="0.25">
      <c r="A186">
        <v>800007813</v>
      </c>
      <c r="B186" t="str">
        <f>[2]!dv(A186)</f>
        <v>5</v>
      </c>
      <c r="C186" t="s">
        <v>134</v>
      </c>
      <c r="D186">
        <v>3485500</v>
      </c>
      <c r="E186" t="s">
        <v>309</v>
      </c>
      <c r="F186" t="s">
        <v>310</v>
      </c>
      <c r="G186" s="4">
        <v>25799</v>
      </c>
      <c r="H186">
        <v>7715339</v>
      </c>
      <c r="I186">
        <v>7490</v>
      </c>
    </row>
    <row r="187" spans="1:9" x14ac:dyDescent="0.25">
      <c r="A187">
        <v>860063875</v>
      </c>
      <c r="B187" t="str">
        <f>[2]!dv(A187)</f>
        <v>8</v>
      </c>
      <c r="C187" t="s">
        <v>164</v>
      </c>
      <c r="D187" t="s">
        <v>290</v>
      </c>
      <c r="E187" t="s">
        <v>291</v>
      </c>
      <c r="F187" t="s">
        <v>292</v>
      </c>
      <c r="G187" s="4">
        <v>25817</v>
      </c>
      <c r="H187">
        <v>1936294528</v>
      </c>
      <c r="I187">
        <v>7490</v>
      </c>
    </row>
    <row r="188" spans="1:9" x14ac:dyDescent="0.25">
      <c r="A188">
        <v>860051534</v>
      </c>
      <c r="B188" t="str">
        <f>[2]!dv(A188)</f>
        <v>1</v>
      </c>
      <c r="C188" t="s">
        <v>41</v>
      </c>
      <c r="D188">
        <v>6515760</v>
      </c>
      <c r="E188" t="s">
        <v>352</v>
      </c>
      <c r="F188" t="s">
        <v>353</v>
      </c>
      <c r="G188" s="4">
        <v>52835</v>
      </c>
      <c r="H188">
        <v>23100000</v>
      </c>
      <c r="I188">
        <v>7490</v>
      </c>
    </row>
    <row r="189" spans="1:9" x14ac:dyDescent="0.25">
      <c r="A189">
        <v>900329780</v>
      </c>
      <c r="B189" t="str">
        <f>[2]!dv(A189)</f>
        <v>5</v>
      </c>
      <c r="C189" t="s">
        <v>192</v>
      </c>
      <c r="D189">
        <v>6016258282</v>
      </c>
      <c r="E189" t="s">
        <v>361</v>
      </c>
      <c r="F189" t="s">
        <v>362</v>
      </c>
      <c r="G189" s="4">
        <v>85440</v>
      </c>
      <c r="H189">
        <v>2325000</v>
      </c>
      <c r="I189">
        <v>7490</v>
      </c>
    </row>
    <row r="190" spans="1:9" x14ac:dyDescent="0.25">
      <c r="A190">
        <v>901283882</v>
      </c>
      <c r="B190" t="str">
        <f>[2]!dv(A190)</f>
        <v>1</v>
      </c>
      <c r="C190" t="s">
        <v>10</v>
      </c>
      <c r="D190">
        <v>4178000</v>
      </c>
      <c r="E190" t="s">
        <v>221</v>
      </c>
      <c r="F190" t="s">
        <v>222</v>
      </c>
      <c r="G190" s="4">
        <v>50001</v>
      </c>
      <c r="H190">
        <v>1447950</v>
      </c>
      <c r="I190">
        <v>7490</v>
      </c>
    </row>
    <row r="191" spans="1:9" x14ac:dyDescent="0.25">
      <c r="A191">
        <v>901283882</v>
      </c>
      <c r="B191" t="str">
        <f>[2]!dv(A191)</f>
        <v>1</v>
      </c>
      <c r="C191" t="s">
        <v>10</v>
      </c>
      <c r="D191">
        <v>4178000</v>
      </c>
      <c r="E191" t="s">
        <v>221</v>
      </c>
      <c r="F191" t="s">
        <v>222</v>
      </c>
      <c r="G191" s="4">
        <v>25875</v>
      </c>
      <c r="H191">
        <v>341825</v>
      </c>
      <c r="I191">
        <v>7490</v>
      </c>
    </row>
    <row r="192" spans="1:9" x14ac:dyDescent="0.25">
      <c r="A192">
        <v>890205952</v>
      </c>
      <c r="B192" t="str">
        <f>[2]!dv(A192)</f>
        <v>7</v>
      </c>
      <c r="C192" t="s">
        <v>172</v>
      </c>
      <c r="D192">
        <v>6833300</v>
      </c>
      <c r="E192" t="s">
        <v>307</v>
      </c>
      <c r="F192" t="s">
        <v>308</v>
      </c>
      <c r="G192" s="12" t="s">
        <v>438</v>
      </c>
      <c r="H192">
        <v>2395575</v>
      </c>
      <c r="I192">
        <v>7490</v>
      </c>
    </row>
    <row r="193" spans="1:9" x14ac:dyDescent="0.25">
      <c r="A193">
        <v>800007813</v>
      </c>
      <c r="B193" t="str">
        <f>[2]!dv(A193)</f>
        <v>5</v>
      </c>
      <c r="C193" t="s">
        <v>134</v>
      </c>
      <c r="D193">
        <v>3485500</v>
      </c>
      <c r="E193" t="s">
        <v>309</v>
      </c>
      <c r="F193" t="s">
        <v>310</v>
      </c>
      <c r="G193" s="4">
        <v>25898</v>
      </c>
      <c r="H193">
        <v>6172272</v>
      </c>
      <c r="I193">
        <v>7490</v>
      </c>
    </row>
    <row r="194" spans="1:9" x14ac:dyDescent="0.25">
      <c r="A194">
        <v>899999082</v>
      </c>
      <c r="B194" t="str">
        <f>[2]!dv(A194)</f>
        <v>3</v>
      </c>
      <c r="C194" t="s">
        <v>175</v>
      </c>
      <c r="D194">
        <v>6013268000</v>
      </c>
      <c r="E194" t="s">
        <v>318</v>
      </c>
      <c r="F194" t="s">
        <v>319</v>
      </c>
      <c r="G194" s="4">
        <v>25898</v>
      </c>
      <c r="H194">
        <v>1850000</v>
      </c>
      <c r="I194">
        <v>7490</v>
      </c>
    </row>
    <row r="195" spans="1:9" x14ac:dyDescent="0.25">
      <c r="A195">
        <v>800007813</v>
      </c>
      <c r="B195" t="str">
        <f>[2]!dv(A195)</f>
        <v>5</v>
      </c>
      <c r="C195" t="s">
        <v>134</v>
      </c>
      <c r="D195">
        <v>3485500</v>
      </c>
      <c r="E195" t="s">
        <v>309</v>
      </c>
      <c r="F195" t="s">
        <v>310</v>
      </c>
      <c r="G195" s="4">
        <v>25899</v>
      </c>
      <c r="H195">
        <v>40119769</v>
      </c>
      <c r="I195">
        <v>7490</v>
      </c>
    </row>
    <row r="196" spans="1:9" x14ac:dyDescent="0.25">
      <c r="A196">
        <v>899999318</v>
      </c>
      <c r="B196" t="str">
        <f>[2]!dv(A196)</f>
        <v>6</v>
      </c>
      <c r="C196" t="s">
        <v>55</v>
      </c>
      <c r="D196">
        <v>6012362600</v>
      </c>
      <c r="E196" t="s">
        <v>439</v>
      </c>
      <c r="F196" t="s">
        <v>440</v>
      </c>
      <c r="G196" s="4">
        <v>25899</v>
      </c>
      <c r="H196">
        <v>23000</v>
      </c>
      <c r="I196">
        <v>7490</v>
      </c>
    </row>
    <row r="197" spans="1:9" x14ac:dyDescent="0.25">
      <c r="A197">
        <v>800138188</v>
      </c>
      <c r="B197" t="str">
        <f>[2]!dv(A197)</f>
        <v>1</v>
      </c>
      <c r="C197" t="s">
        <v>427</v>
      </c>
      <c r="D197">
        <v>6012362600</v>
      </c>
      <c r="E197" t="s">
        <v>439</v>
      </c>
      <c r="F197" t="s">
        <v>440</v>
      </c>
      <c r="G197" s="5">
        <v>11001</v>
      </c>
      <c r="H197">
        <v>223515</v>
      </c>
      <c r="I197">
        <v>7490</v>
      </c>
    </row>
    <row r="198" spans="1:9" x14ac:dyDescent="0.25">
      <c r="A198">
        <v>901283882</v>
      </c>
      <c r="B198" t="str">
        <f>[2]!dv(A198)</f>
        <v>1</v>
      </c>
      <c r="C198" t="s">
        <v>10</v>
      </c>
      <c r="D198">
        <v>4178000</v>
      </c>
      <c r="E198" t="s">
        <v>221</v>
      </c>
      <c r="F198" t="s">
        <v>222</v>
      </c>
      <c r="G198" s="5">
        <v>11001</v>
      </c>
      <c r="H198">
        <v>4</v>
      </c>
      <c r="I198">
        <v>7490</v>
      </c>
    </row>
    <row r="199" spans="1:9" x14ac:dyDescent="0.25">
      <c r="A199">
        <v>222222222</v>
      </c>
      <c r="B199" t="str">
        <f>[2]!dv(A199)</f>
        <v>7</v>
      </c>
      <c r="C199" t="s">
        <v>56</v>
      </c>
      <c r="D199">
        <v>6012362600</v>
      </c>
      <c r="E199" t="s">
        <v>439</v>
      </c>
      <c r="F199" t="s">
        <v>440</v>
      </c>
      <c r="G199" s="5">
        <v>11001</v>
      </c>
      <c r="H199">
        <v>59050</v>
      </c>
      <c r="I199">
        <v>7490</v>
      </c>
    </row>
    <row r="200" spans="1:9" x14ac:dyDescent="0.25">
      <c r="A200">
        <v>890100577</v>
      </c>
      <c r="B200" t="str">
        <f>[2]!dv(A200)</f>
        <v>6</v>
      </c>
      <c r="C200" t="s">
        <v>210</v>
      </c>
      <c r="D200">
        <v>6053534691</v>
      </c>
      <c r="E200" t="s">
        <v>410</v>
      </c>
      <c r="F200" t="s">
        <v>411</v>
      </c>
      <c r="G200" s="5">
        <v>11001</v>
      </c>
      <c r="H200">
        <v>12</v>
      </c>
      <c r="I200">
        <v>7490</v>
      </c>
    </row>
    <row r="201" spans="1:9" x14ac:dyDescent="0.25">
      <c r="A201">
        <v>900631874</v>
      </c>
      <c r="B201" t="str">
        <f>[2]!dv(A201)</f>
        <v>2</v>
      </c>
      <c r="C201" t="s">
        <v>57</v>
      </c>
      <c r="D201">
        <v>6012362600</v>
      </c>
      <c r="E201" t="s">
        <v>439</v>
      </c>
      <c r="F201" t="s">
        <v>440</v>
      </c>
      <c r="G201" s="5">
        <v>11001</v>
      </c>
      <c r="H201">
        <v>2</v>
      </c>
      <c r="I201">
        <v>7490</v>
      </c>
    </row>
    <row r="202" spans="1:9" x14ac:dyDescent="0.25">
      <c r="A202">
        <v>800094844</v>
      </c>
      <c r="B202" t="str">
        <f>[2]!dv(A202)</f>
        <v>4</v>
      </c>
      <c r="C202" t="s">
        <v>58</v>
      </c>
      <c r="D202">
        <v>6012362600</v>
      </c>
      <c r="E202" t="s">
        <v>439</v>
      </c>
      <c r="F202" t="s">
        <v>440</v>
      </c>
      <c r="G202" s="5">
        <v>11001</v>
      </c>
      <c r="H202">
        <v>258</v>
      </c>
      <c r="I202">
        <v>7490</v>
      </c>
    </row>
    <row r="203" spans="1:9" x14ac:dyDescent="0.25">
      <c r="A203">
        <v>1122401872</v>
      </c>
      <c r="B203" t="str">
        <f>[2]!dv(A203)</f>
        <v>0</v>
      </c>
      <c r="C203" t="s">
        <v>59</v>
      </c>
      <c r="D203">
        <v>6012362600</v>
      </c>
      <c r="E203" t="s">
        <v>439</v>
      </c>
      <c r="F203" t="s">
        <v>440</v>
      </c>
      <c r="G203" s="5">
        <v>11001</v>
      </c>
      <c r="H203">
        <v>99</v>
      </c>
      <c r="I203">
        <v>7490</v>
      </c>
    </row>
    <row r="204" spans="1:9" x14ac:dyDescent="0.25">
      <c r="A204">
        <v>1001798449</v>
      </c>
      <c r="B204" t="str">
        <f>[2]!dv(A204)</f>
        <v>2</v>
      </c>
      <c r="C204" t="s">
        <v>60</v>
      </c>
      <c r="D204">
        <v>6012362600</v>
      </c>
      <c r="E204" t="s">
        <v>439</v>
      </c>
      <c r="F204" t="s">
        <v>440</v>
      </c>
      <c r="G204" s="5">
        <v>11001</v>
      </c>
      <c r="H204">
        <v>452</v>
      </c>
      <c r="I204">
        <v>7490</v>
      </c>
    </row>
    <row r="205" spans="1:9" x14ac:dyDescent="0.25">
      <c r="A205">
        <v>806008394</v>
      </c>
      <c r="B205" t="str">
        <f>[2]!dv(A205)</f>
        <v>7</v>
      </c>
      <c r="C205" t="s">
        <v>61</v>
      </c>
      <c r="D205">
        <v>6012362600</v>
      </c>
      <c r="E205" t="s">
        <v>439</v>
      </c>
      <c r="F205" t="s">
        <v>440</v>
      </c>
      <c r="G205" s="5">
        <v>11001</v>
      </c>
      <c r="H205">
        <v>103000</v>
      </c>
      <c r="I205">
        <v>7490</v>
      </c>
    </row>
    <row r="206" spans="1:9" x14ac:dyDescent="0.25">
      <c r="A206">
        <v>1018452842</v>
      </c>
      <c r="B206" t="str">
        <f>[2]!dv(A206)</f>
        <v>0</v>
      </c>
      <c r="C206" t="s">
        <v>62</v>
      </c>
      <c r="D206">
        <v>6012362600</v>
      </c>
      <c r="E206" t="s">
        <v>439</v>
      </c>
      <c r="F206" t="s">
        <v>440</v>
      </c>
      <c r="G206" s="5">
        <v>11001</v>
      </c>
      <c r="H206">
        <v>23</v>
      </c>
      <c r="I206">
        <v>7490</v>
      </c>
    </row>
    <row r="207" spans="1:9" x14ac:dyDescent="0.25">
      <c r="A207">
        <v>860007335</v>
      </c>
      <c r="B207" t="str">
        <f>[2]!dv(A207)</f>
        <v>4</v>
      </c>
      <c r="C207" t="s">
        <v>63</v>
      </c>
      <c r="D207">
        <v>6012362600</v>
      </c>
      <c r="E207" t="s">
        <v>439</v>
      </c>
      <c r="F207" t="s">
        <v>440</v>
      </c>
      <c r="G207" s="5">
        <v>11001</v>
      </c>
      <c r="H207">
        <v>67972</v>
      </c>
      <c r="I207">
        <v>7490</v>
      </c>
    </row>
    <row r="208" spans="1:9" x14ac:dyDescent="0.25">
      <c r="A208">
        <v>860002964</v>
      </c>
      <c r="B208" t="str">
        <f>[2]!dv(A208)</f>
        <v>4</v>
      </c>
      <c r="C208" t="s">
        <v>64</v>
      </c>
      <c r="D208">
        <v>6012362600</v>
      </c>
      <c r="E208" t="s">
        <v>439</v>
      </c>
      <c r="F208" t="s">
        <v>440</v>
      </c>
      <c r="G208" s="5">
        <v>11001</v>
      </c>
      <c r="H208">
        <v>2631785</v>
      </c>
      <c r="I208">
        <v>7490</v>
      </c>
    </row>
    <row r="209" spans="1:9" x14ac:dyDescent="0.25">
      <c r="A209">
        <v>800091029</v>
      </c>
      <c r="B209" t="str">
        <f>[2]!dv(A209)</f>
        <v>4</v>
      </c>
      <c r="C209" t="s">
        <v>14</v>
      </c>
      <c r="D209">
        <v>3263600</v>
      </c>
      <c r="E209" t="s">
        <v>235</v>
      </c>
      <c r="F209" t="s">
        <v>236</v>
      </c>
      <c r="G209" s="5">
        <v>11001</v>
      </c>
      <c r="H209">
        <v>1970368</v>
      </c>
      <c r="I209">
        <v>7490</v>
      </c>
    </row>
    <row r="210" spans="1:9" x14ac:dyDescent="0.25">
      <c r="A210">
        <v>890903938</v>
      </c>
      <c r="B210" t="str">
        <f>[2]!dv(A210)</f>
        <v>8</v>
      </c>
      <c r="C210" t="s">
        <v>65</v>
      </c>
      <c r="D210">
        <v>3902241</v>
      </c>
      <c r="E210" t="e">
        <v>#N/A</v>
      </c>
      <c r="F210" t="s">
        <v>412</v>
      </c>
      <c r="G210" s="5">
        <v>11001</v>
      </c>
      <c r="H210">
        <v>253636</v>
      </c>
      <c r="I210">
        <v>7490</v>
      </c>
    </row>
    <row r="211" spans="1:9" x14ac:dyDescent="0.25">
      <c r="A211">
        <v>860005224</v>
      </c>
      <c r="B211" t="str">
        <f>[2]!dv(A211)</f>
        <v>6</v>
      </c>
      <c r="C211" t="s">
        <v>15</v>
      </c>
      <c r="D211">
        <v>63890000</v>
      </c>
      <c r="E211" t="s">
        <v>239</v>
      </c>
      <c r="F211" t="s">
        <v>240</v>
      </c>
      <c r="G211" s="5">
        <v>11001</v>
      </c>
      <c r="H211">
        <v>2</v>
      </c>
      <c r="I211">
        <v>7490</v>
      </c>
    </row>
    <row r="212" spans="1:9" x14ac:dyDescent="0.25">
      <c r="A212">
        <v>52214347</v>
      </c>
      <c r="C212" t="s">
        <v>66</v>
      </c>
      <c r="D212">
        <v>6012362600</v>
      </c>
      <c r="E212" t="s">
        <v>439</v>
      </c>
      <c r="F212" t="s">
        <v>440</v>
      </c>
      <c r="G212" s="5">
        <v>11001</v>
      </c>
      <c r="H212">
        <v>15849</v>
      </c>
      <c r="I212">
        <v>7490</v>
      </c>
    </row>
    <row r="213" spans="1:9" x14ac:dyDescent="0.25">
      <c r="A213">
        <v>899999061</v>
      </c>
      <c r="B213" t="str">
        <f>[2]!dv(A213)</f>
        <v>9</v>
      </c>
      <c r="C213" t="s">
        <v>67</v>
      </c>
      <c r="D213">
        <v>6012362600</v>
      </c>
      <c r="E213" t="s">
        <v>439</v>
      </c>
      <c r="F213" t="s">
        <v>440</v>
      </c>
      <c r="G213" s="5">
        <v>11001</v>
      </c>
      <c r="H213">
        <v>2568</v>
      </c>
      <c r="I213">
        <v>7490</v>
      </c>
    </row>
    <row r="214" spans="1:9" x14ac:dyDescent="0.25">
      <c r="A214">
        <v>860007336</v>
      </c>
      <c r="B214" t="str">
        <f>[2]!dv(A214)</f>
        <v>1</v>
      </c>
      <c r="C214" t="s">
        <v>211</v>
      </c>
      <c r="D214">
        <v>7420100</v>
      </c>
      <c r="E214" t="s">
        <v>413</v>
      </c>
      <c r="F214" t="s">
        <v>414</v>
      </c>
      <c r="G214" s="5">
        <v>11001</v>
      </c>
      <c r="H214">
        <v>400</v>
      </c>
      <c r="I214">
        <v>7490</v>
      </c>
    </row>
    <row r="215" spans="1:9" x14ac:dyDescent="0.25">
      <c r="A215">
        <v>860066942</v>
      </c>
      <c r="B215" t="str">
        <f>[2]!dv(A215)</f>
        <v>7</v>
      </c>
      <c r="C215" t="s">
        <v>68</v>
      </c>
      <c r="D215">
        <v>6012362600</v>
      </c>
      <c r="E215" t="s">
        <v>439</v>
      </c>
      <c r="F215" t="s">
        <v>440</v>
      </c>
      <c r="G215" s="5">
        <v>11001</v>
      </c>
      <c r="H215">
        <v>186689</v>
      </c>
      <c r="I215">
        <v>7490</v>
      </c>
    </row>
    <row r="216" spans="1:9" x14ac:dyDescent="0.25">
      <c r="A216">
        <v>890200106</v>
      </c>
      <c r="B216" t="str">
        <f>[2]!dv(A216)</f>
        <v>1</v>
      </c>
      <c r="C216" t="s">
        <v>69</v>
      </c>
      <c r="D216">
        <v>6012362600</v>
      </c>
      <c r="E216" t="s">
        <v>439</v>
      </c>
      <c r="F216" t="s">
        <v>440</v>
      </c>
      <c r="G216" s="5">
        <v>11001</v>
      </c>
      <c r="H216">
        <v>51500</v>
      </c>
      <c r="I216">
        <v>7490</v>
      </c>
    </row>
    <row r="217" spans="1:9" x14ac:dyDescent="0.25">
      <c r="A217">
        <v>891780093</v>
      </c>
      <c r="B217" t="str">
        <f>[2]!dv(A217)</f>
        <v>3</v>
      </c>
      <c r="C217" t="s">
        <v>70</v>
      </c>
      <c r="D217">
        <v>6012362600</v>
      </c>
      <c r="E217" t="s">
        <v>439</v>
      </c>
      <c r="F217" t="s">
        <v>440</v>
      </c>
      <c r="G217" s="5">
        <v>11001</v>
      </c>
      <c r="H217">
        <v>257500</v>
      </c>
      <c r="I217">
        <v>7490</v>
      </c>
    </row>
    <row r="218" spans="1:9" x14ac:dyDescent="0.25">
      <c r="A218">
        <v>860079706</v>
      </c>
      <c r="B218" t="str">
        <f>[2]!dv(A218)</f>
        <v>1</v>
      </c>
      <c r="C218" t="s">
        <v>18</v>
      </c>
      <c r="D218">
        <v>3013793310</v>
      </c>
      <c r="E218" t="s">
        <v>249</v>
      </c>
      <c r="F218" t="s">
        <v>250</v>
      </c>
      <c r="G218" s="5">
        <v>11001</v>
      </c>
      <c r="H218">
        <v>1</v>
      </c>
      <c r="I218">
        <v>7490</v>
      </c>
    </row>
    <row r="219" spans="1:9" x14ac:dyDescent="0.25">
      <c r="A219">
        <v>860069804</v>
      </c>
      <c r="B219" t="str">
        <f>[2]!dv(A219)</f>
        <v>2</v>
      </c>
      <c r="C219" t="s">
        <v>141</v>
      </c>
      <c r="D219">
        <v>5955555</v>
      </c>
      <c r="E219" t="s">
        <v>223</v>
      </c>
      <c r="F219" t="s">
        <v>224</v>
      </c>
      <c r="G219" s="5">
        <v>11001</v>
      </c>
      <c r="H219">
        <v>1</v>
      </c>
      <c r="I219">
        <v>7490</v>
      </c>
    </row>
    <row r="220" spans="1:9" x14ac:dyDescent="0.25">
      <c r="A220">
        <v>860069378</v>
      </c>
      <c r="B220" t="str">
        <f>[2]!dv(A220)</f>
        <v>6</v>
      </c>
      <c r="C220" t="s">
        <v>19</v>
      </c>
      <c r="D220">
        <v>7723697</v>
      </c>
      <c r="E220" t="s">
        <v>254</v>
      </c>
      <c r="F220" t="s">
        <v>255</v>
      </c>
      <c r="G220" s="5">
        <v>11001</v>
      </c>
      <c r="H220">
        <v>1</v>
      </c>
      <c r="I220">
        <v>7490</v>
      </c>
    </row>
    <row r="221" spans="1:9" x14ac:dyDescent="0.25">
      <c r="A221">
        <v>900268901</v>
      </c>
      <c r="B221" t="str">
        <f>[2]!dv(A221)</f>
        <v>7</v>
      </c>
      <c r="C221" t="s">
        <v>151</v>
      </c>
      <c r="D221">
        <v>3268600</v>
      </c>
      <c r="E221" t="s">
        <v>258</v>
      </c>
      <c r="F221" t="s">
        <v>259</v>
      </c>
      <c r="G221" s="5">
        <v>11001</v>
      </c>
      <c r="H221">
        <v>1</v>
      </c>
      <c r="I221">
        <v>7490</v>
      </c>
    </row>
    <row r="222" spans="1:9" x14ac:dyDescent="0.25">
      <c r="A222">
        <v>800227940</v>
      </c>
      <c r="B222" t="str">
        <f>[2]!dv(A222)</f>
        <v>6</v>
      </c>
      <c r="C222" t="s">
        <v>71</v>
      </c>
      <c r="D222">
        <v>6012362600</v>
      </c>
      <c r="E222" t="s">
        <v>439</v>
      </c>
      <c r="F222" t="s">
        <v>440</v>
      </c>
      <c r="G222" s="5">
        <v>11001</v>
      </c>
      <c r="H222">
        <v>219254</v>
      </c>
      <c r="I222">
        <v>7490</v>
      </c>
    </row>
    <row r="223" spans="1:9" x14ac:dyDescent="0.25">
      <c r="A223">
        <v>900078103</v>
      </c>
      <c r="B223" t="str">
        <f>[2]!dv(A223)</f>
        <v>0</v>
      </c>
      <c r="C223" t="s">
        <v>212</v>
      </c>
      <c r="D223">
        <v>2131786</v>
      </c>
      <c r="E223" t="s">
        <v>415</v>
      </c>
      <c r="F223" t="s">
        <v>416</v>
      </c>
      <c r="G223" s="5">
        <v>11001</v>
      </c>
      <c r="H223">
        <v>2</v>
      </c>
      <c r="I223">
        <v>7490</v>
      </c>
    </row>
    <row r="224" spans="1:9" x14ac:dyDescent="0.25">
      <c r="A224">
        <v>800226175</v>
      </c>
      <c r="B224" t="str">
        <f>[2]!dv(A224)</f>
        <v>3</v>
      </c>
      <c r="C224" t="s">
        <v>152</v>
      </c>
      <c r="D224">
        <v>3241111</v>
      </c>
      <c r="E224" t="e">
        <v>#N/A</v>
      </c>
      <c r="F224" t="s">
        <v>262</v>
      </c>
      <c r="G224" s="5">
        <v>11001</v>
      </c>
      <c r="H224">
        <v>13764470</v>
      </c>
      <c r="I224">
        <v>7490</v>
      </c>
    </row>
    <row r="225" spans="1:9" x14ac:dyDescent="0.25">
      <c r="A225">
        <v>890929877</v>
      </c>
      <c r="B225" t="str">
        <f>[2]!dv(A225)</f>
        <v>1</v>
      </c>
      <c r="C225" t="s">
        <v>72</v>
      </c>
      <c r="D225">
        <v>6012362600</v>
      </c>
      <c r="E225" t="s">
        <v>439</v>
      </c>
      <c r="F225" t="s">
        <v>440</v>
      </c>
      <c r="G225" s="5">
        <v>11001</v>
      </c>
      <c r="H225">
        <v>1</v>
      </c>
      <c r="I225">
        <v>7490</v>
      </c>
    </row>
    <row r="226" spans="1:9" x14ac:dyDescent="0.25">
      <c r="A226">
        <v>890929951</v>
      </c>
      <c r="B226" t="str">
        <f>[2]!dv(A226)</f>
        <v>7</v>
      </c>
      <c r="C226" t="s">
        <v>213</v>
      </c>
      <c r="D226">
        <v>4000000</v>
      </c>
      <c r="E226" t="s">
        <v>417</v>
      </c>
      <c r="F226" t="s">
        <v>418</v>
      </c>
      <c r="G226" s="5">
        <v>11001</v>
      </c>
      <c r="H226">
        <v>13779966</v>
      </c>
      <c r="I226">
        <v>7490</v>
      </c>
    </row>
    <row r="227" spans="1:9" x14ac:dyDescent="0.25">
      <c r="A227">
        <v>901460709</v>
      </c>
      <c r="B227" t="str">
        <f>[2]!dv(A227)</f>
        <v>4</v>
      </c>
      <c r="C227" t="s">
        <v>214</v>
      </c>
      <c r="D227">
        <v>2362600</v>
      </c>
      <c r="E227" t="s">
        <v>419</v>
      </c>
      <c r="F227" t="s">
        <v>420</v>
      </c>
      <c r="G227" s="5">
        <v>11001</v>
      </c>
      <c r="H227">
        <v>4667</v>
      </c>
      <c r="I227">
        <v>7490</v>
      </c>
    </row>
    <row r="228" spans="1:9" x14ac:dyDescent="0.25">
      <c r="A228">
        <v>900806990</v>
      </c>
      <c r="B228" t="str">
        <f>[2]!dv(A228)</f>
        <v>1</v>
      </c>
      <c r="C228" t="s">
        <v>215</v>
      </c>
      <c r="D228">
        <v>2886355</v>
      </c>
      <c r="E228" t="s">
        <v>421</v>
      </c>
      <c r="F228" t="s">
        <v>422</v>
      </c>
      <c r="G228" s="5">
        <v>11001</v>
      </c>
      <c r="H228">
        <v>4638319</v>
      </c>
      <c r="I228">
        <v>7490</v>
      </c>
    </row>
    <row r="229" spans="1:9" x14ac:dyDescent="0.25">
      <c r="A229">
        <v>860028712</v>
      </c>
      <c r="B229" t="str">
        <f>[2]!dv(A229)</f>
        <v>8</v>
      </c>
      <c r="C229" t="s">
        <v>216</v>
      </c>
      <c r="D229">
        <v>3905600</v>
      </c>
      <c r="E229" t="s">
        <v>423</v>
      </c>
      <c r="F229" t="s">
        <v>424</v>
      </c>
      <c r="G229" s="5">
        <v>11001</v>
      </c>
      <c r="H229">
        <v>1</v>
      </c>
      <c r="I229">
        <v>7490</v>
      </c>
    </row>
    <row r="230" spans="1:9" x14ac:dyDescent="0.25">
      <c r="A230">
        <v>901429091</v>
      </c>
      <c r="B230" t="str">
        <f>[2]!dv(A230)</f>
        <v>1</v>
      </c>
      <c r="C230" t="s">
        <v>73</v>
      </c>
      <c r="D230">
        <v>6012362600</v>
      </c>
      <c r="E230" t="s">
        <v>439</v>
      </c>
      <c r="F230" t="s">
        <v>440</v>
      </c>
      <c r="G230" s="5">
        <v>11001</v>
      </c>
      <c r="H230">
        <v>180</v>
      </c>
      <c r="I230">
        <v>7490</v>
      </c>
    </row>
    <row r="231" spans="1:9" x14ac:dyDescent="0.25">
      <c r="A231">
        <v>890900118</v>
      </c>
      <c r="B231" t="str">
        <f>[2]!dv(A231)</f>
        <v>1</v>
      </c>
      <c r="C231" t="s">
        <v>217</v>
      </c>
      <c r="D231">
        <v>3788061</v>
      </c>
      <c r="E231" t="s">
        <v>425</v>
      </c>
      <c r="F231" t="s">
        <v>426</v>
      </c>
      <c r="G231" s="5">
        <v>11001</v>
      </c>
      <c r="H231">
        <v>1</v>
      </c>
      <c r="I231">
        <v>7490</v>
      </c>
    </row>
    <row r="232" spans="1:9" x14ac:dyDescent="0.25">
      <c r="A232">
        <v>800197268</v>
      </c>
      <c r="B232" t="str">
        <f>[2]!dv(A232)</f>
        <v>4</v>
      </c>
      <c r="C232" t="s">
        <v>74</v>
      </c>
      <c r="D232">
        <v>6012362600</v>
      </c>
      <c r="E232" t="s">
        <v>439</v>
      </c>
      <c r="F232" t="s">
        <v>440</v>
      </c>
      <c r="G232" s="5">
        <v>11001</v>
      </c>
      <c r="H232">
        <v>780409</v>
      </c>
      <c r="I232">
        <v>7490</v>
      </c>
    </row>
    <row r="233" spans="1:9" x14ac:dyDescent="0.25">
      <c r="A233">
        <v>890480184</v>
      </c>
      <c r="B233" t="str">
        <f>[2]!dv(A233)</f>
        <v>4</v>
      </c>
      <c r="C233" t="s">
        <v>75</v>
      </c>
      <c r="D233">
        <v>6012362600</v>
      </c>
      <c r="E233" t="s">
        <v>439</v>
      </c>
      <c r="F233" t="s">
        <v>440</v>
      </c>
      <c r="G233" s="5">
        <v>11001</v>
      </c>
      <c r="H233">
        <v>480</v>
      </c>
      <c r="I233">
        <v>7490</v>
      </c>
    </row>
    <row r="234" spans="1:9" x14ac:dyDescent="0.25">
      <c r="A234">
        <v>800021308</v>
      </c>
      <c r="B234" t="str">
        <f>[2]!dv(A234)</f>
        <v>5</v>
      </c>
      <c r="C234" t="s">
        <v>21</v>
      </c>
      <c r="D234">
        <v>6015871000</v>
      </c>
      <c r="E234" t="s">
        <v>280</v>
      </c>
      <c r="F234" t="s">
        <v>281</v>
      </c>
      <c r="G234" s="5">
        <v>11001</v>
      </c>
      <c r="H234">
        <v>1</v>
      </c>
      <c r="I234">
        <v>7490</v>
      </c>
    </row>
    <row r="235" spans="1:9" x14ac:dyDescent="0.25">
      <c r="A235">
        <v>901130146</v>
      </c>
      <c r="B235" t="str">
        <f>[2]!dv(A235)</f>
        <v>2</v>
      </c>
      <c r="C235" t="s">
        <v>24</v>
      </c>
      <c r="D235">
        <v>6018233925</v>
      </c>
      <c r="E235" t="s">
        <v>286</v>
      </c>
      <c r="F235" t="s">
        <v>287</v>
      </c>
      <c r="G235" s="5">
        <v>11001</v>
      </c>
      <c r="H235">
        <v>1</v>
      </c>
      <c r="I235">
        <v>7490</v>
      </c>
    </row>
    <row r="236" spans="1:9" x14ac:dyDescent="0.25">
      <c r="A236">
        <v>899999115</v>
      </c>
      <c r="B236" t="str">
        <f>[2]!dv(A236)</f>
        <v>8</v>
      </c>
      <c r="C236" t="s">
        <v>76</v>
      </c>
      <c r="D236">
        <v>6012362600</v>
      </c>
      <c r="E236" t="s">
        <v>439</v>
      </c>
      <c r="F236" t="s">
        <v>440</v>
      </c>
      <c r="G236" s="5">
        <v>11001</v>
      </c>
      <c r="H236">
        <v>15</v>
      </c>
      <c r="I236">
        <v>7490</v>
      </c>
    </row>
    <row r="237" spans="1:9" x14ac:dyDescent="0.25">
      <c r="A237">
        <v>860063875</v>
      </c>
      <c r="B237" t="str">
        <f>[2]!dv(A237)</f>
        <v>8</v>
      </c>
      <c r="C237" t="s">
        <v>164</v>
      </c>
      <c r="D237" t="s">
        <v>290</v>
      </c>
      <c r="E237" t="s">
        <v>291</v>
      </c>
      <c r="F237" t="s">
        <v>292</v>
      </c>
      <c r="G237" s="5">
        <v>11001</v>
      </c>
      <c r="H237">
        <v>797</v>
      </c>
      <c r="I237">
        <v>7490</v>
      </c>
    </row>
    <row r="238" spans="1:9" x14ac:dyDescent="0.25">
      <c r="A238">
        <v>800251440</v>
      </c>
      <c r="B238" t="str">
        <f>[2]!dv(A238)</f>
        <v>6</v>
      </c>
      <c r="C238" t="s">
        <v>77</v>
      </c>
      <c r="D238">
        <v>6012362600</v>
      </c>
      <c r="E238" t="s">
        <v>439</v>
      </c>
      <c r="F238" t="s">
        <v>440</v>
      </c>
      <c r="G238" s="5">
        <v>11001</v>
      </c>
      <c r="H238">
        <v>2404466</v>
      </c>
      <c r="I238">
        <v>7490</v>
      </c>
    </row>
    <row r="239" spans="1:9" x14ac:dyDescent="0.25">
      <c r="A239">
        <v>830003564</v>
      </c>
      <c r="B239" t="str">
        <f>[2]!dv(A239)</f>
        <v>7</v>
      </c>
      <c r="C239" t="s">
        <v>428</v>
      </c>
      <c r="D239">
        <v>6012362600</v>
      </c>
      <c r="E239" t="s">
        <v>439</v>
      </c>
      <c r="F239" t="s">
        <v>440</v>
      </c>
      <c r="G239" s="5">
        <v>11001</v>
      </c>
      <c r="H239">
        <v>497102</v>
      </c>
      <c r="I239">
        <v>7490</v>
      </c>
    </row>
    <row r="240" spans="1:9" x14ac:dyDescent="0.25">
      <c r="A240">
        <v>14878782</v>
      </c>
      <c r="B240" t="str">
        <f>[2]!dv(A240)</f>
        <v>0</v>
      </c>
      <c r="C240" t="s">
        <v>78</v>
      </c>
      <c r="D240">
        <v>6012362600</v>
      </c>
      <c r="E240" t="s">
        <v>439</v>
      </c>
      <c r="F240" t="s">
        <v>440</v>
      </c>
      <c r="G240" s="5">
        <v>11001</v>
      </c>
      <c r="H240">
        <v>1419</v>
      </c>
      <c r="I240">
        <v>7490</v>
      </c>
    </row>
    <row r="241" spans="1:9" x14ac:dyDescent="0.25">
      <c r="A241">
        <v>87289539</v>
      </c>
      <c r="B241" t="str">
        <f>[2]!dv(A241)</f>
        <v>5</v>
      </c>
      <c r="C241" t="s">
        <v>79</v>
      </c>
      <c r="D241">
        <v>6012362600</v>
      </c>
      <c r="E241" t="s">
        <v>439</v>
      </c>
      <c r="F241" t="s">
        <v>440</v>
      </c>
      <c r="G241" s="5">
        <v>11001</v>
      </c>
      <c r="H241">
        <v>7073218</v>
      </c>
      <c r="I241">
        <v>7490</v>
      </c>
    </row>
    <row r="242" spans="1:9" x14ac:dyDescent="0.25">
      <c r="A242">
        <v>800125813</v>
      </c>
      <c r="B242" t="str">
        <f>[2]!dv(A242)</f>
        <v>0</v>
      </c>
      <c r="C242" t="s">
        <v>80</v>
      </c>
      <c r="D242">
        <v>6012362600</v>
      </c>
      <c r="E242" t="s">
        <v>439</v>
      </c>
      <c r="F242" t="s">
        <v>440</v>
      </c>
      <c r="G242" s="5">
        <v>11001</v>
      </c>
      <c r="H242">
        <v>16893179</v>
      </c>
      <c r="I242">
        <v>7490</v>
      </c>
    </row>
    <row r="243" spans="1:9" x14ac:dyDescent="0.25">
      <c r="A243">
        <v>800180687</v>
      </c>
      <c r="B243" t="str">
        <f>[2]!dv(A243)</f>
        <v>2</v>
      </c>
      <c r="C243" t="s">
        <v>429</v>
      </c>
      <c r="D243">
        <v>6012362600</v>
      </c>
      <c r="E243" t="s">
        <v>439</v>
      </c>
      <c r="F243" t="s">
        <v>440</v>
      </c>
      <c r="G243" s="5">
        <v>11001</v>
      </c>
      <c r="H243">
        <v>73752528</v>
      </c>
      <c r="I243">
        <v>7490</v>
      </c>
    </row>
    <row r="244" spans="1:9" x14ac:dyDescent="0.25">
      <c r="A244">
        <v>98157748</v>
      </c>
      <c r="B244" t="str">
        <f>[2]!dv(A244)</f>
        <v>1</v>
      </c>
      <c r="C244" t="s">
        <v>26</v>
      </c>
      <c r="D244">
        <v>6012362600</v>
      </c>
      <c r="E244" t="s">
        <v>439</v>
      </c>
      <c r="F244" t="s">
        <v>440</v>
      </c>
      <c r="G244" s="5">
        <v>11001</v>
      </c>
      <c r="H244">
        <v>384422</v>
      </c>
      <c r="I244">
        <v>7490</v>
      </c>
    </row>
    <row r="245" spans="1:9" x14ac:dyDescent="0.25">
      <c r="A245">
        <v>1001798444</v>
      </c>
      <c r="B245" t="str">
        <f>[2]!dv(A245)</f>
        <v>6</v>
      </c>
      <c r="C245" t="s">
        <v>81</v>
      </c>
      <c r="D245">
        <v>6012362600</v>
      </c>
      <c r="E245" t="s">
        <v>439</v>
      </c>
      <c r="F245" t="s">
        <v>440</v>
      </c>
      <c r="G245" s="5">
        <v>11001</v>
      </c>
      <c r="H245">
        <v>1</v>
      </c>
      <c r="I245">
        <v>7490</v>
      </c>
    </row>
    <row r="246" spans="1:9" x14ac:dyDescent="0.25">
      <c r="A246">
        <v>1043849833</v>
      </c>
      <c r="B246" t="str">
        <f>[2]!dv(A246)</f>
        <v>0</v>
      </c>
      <c r="C246" t="s">
        <v>82</v>
      </c>
      <c r="D246">
        <v>6012362600</v>
      </c>
      <c r="E246" t="s">
        <v>439</v>
      </c>
      <c r="F246" t="s">
        <v>440</v>
      </c>
      <c r="G246" s="5">
        <v>11001</v>
      </c>
      <c r="H246">
        <v>1</v>
      </c>
      <c r="I246">
        <v>7490</v>
      </c>
    </row>
    <row r="247" spans="1:9" x14ac:dyDescent="0.25">
      <c r="A247">
        <v>900335237</v>
      </c>
      <c r="B247" t="str">
        <f>[2]!dv(A247)</f>
        <v>1</v>
      </c>
      <c r="C247" t="s">
        <v>174</v>
      </c>
      <c r="D247">
        <f>VLOOKUP(A247,[1]!Tabla1[[Conc.búsq.]:[Teléfono 2]],12,0)</f>
        <v>6585757</v>
      </c>
      <c r="E247" t="str">
        <f>VLOOKUP(A247,[1]!Tabla1[#Data],15,0)</f>
        <v>JIMMYGUAVITA@GRANTIERRA.COM</v>
      </c>
      <c r="F247" t="str">
        <f>VLOOKUP(A247,[1]!Tabla1[#Data],10,0)</f>
        <v>CL 113 7 80 P 17</v>
      </c>
      <c r="G247" s="5">
        <v>11001</v>
      </c>
      <c r="H247">
        <v>3</v>
      </c>
      <c r="I247">
        <v>7490</v>
      </c>
    </row>
    <row r="248" spans="1:9" x14ac:dyDescent="0.25">
      <c r="A248">
        <v>2053866441</v>
      </c>
      <c r="B248" t="str">
        <f>[2]!dv(A248)</f>
        <v>6</v>
      </c>
      <c r="C248" t="s">
        <v>176</v>
      </c>
      <c r="D248">
        <f>VLOOKUP(A248,[1]!Tabla1[[Conc.búsq.]:[Teléfono 2]],12,0)</f>
        <v>2154130</v>
      </c>
      <c r="E248" t="str">
        <f>VLOOKUP(A248,[1]!Tabla1[#Data],15,0)</f>
        <v>vconcepcionu@excellia.com.pe</v>
      </c>
      <c r="F248" t="str">
        <f>VLOOKUP(A248,[1]!Tabla1[#Data],10,0)</f>
        <v>AV CIRCUNVALACION CLUB GOLF 134</v>
      </c>
      <c r="G248" s="5">
        <v>11001</v>
      </c>
      <c r="H248">
        <v>4783920</v>
      </c>
      <c r="I248">
        <v>7490</v>
      </c>
    </row>
    <row r="249" spans="1:9" x14ac:dyDescent="0.25">
      <c r="A249">
        <v>1020787480</v>
      </c>
      <c r="B249" t="str">
        <f>[2]!dv(A249)</f>
        <v>3</v>
      </c>
      <c r="C249" t="s">
        <v>83</v>
      </c>
      <c r="D249">
        <v>6012362600</v>
      </c>
      <c r="E249" t="s">
        <v>439</v>
      </c>
      <c r="F249" t="s">
        <v>440</v>
      </c>
      <c r="G249" s="5">
        <v>11001</v>
      </c>
      <c r="H249">
        <v>360</v>
      </c>
      <c r="I249">
        <v>7490</v>
      </c>
    </row>
    <row r="250" spans="1:9" x14ac:dyDescent="0.25">
      <c r="A250">
        <v>1003099772</v>
      </c>
      <c r="B250" t="str">
        <f>[2]!dv(A250)</f>
        <v>5</v>
      </c>
      <c r="C250" t="s">
        <v>84</v>
      </c>
      <c r="D250">
        <v>6012362600</v>
      </c>
      <c r="E250" t="s">
        <v>439</v>
      </c>
      <c r="F250" t="s">
        <v>440</v>
      </c>
      <c r="G250" s="5">
        <v>11001</v>
      </c>
      <c r="H250">
        <v>140974</v>
      </c>
      <c r="I250">
        <v>7490</v>
      </c>
    </row>
    <row r="251" spans="1:9" x14ac:dyDescent="0.25">
      <c r="A251">
        <v>1003099772</v>
      </c>
      <c r="B251" t="str">
        <f>[2]!dv(A251)</f>
        <v>5</v>
      </c>
      <c r="C251" t="s">
        <v>85</v>
      </c>
      <c r="D251">
        <v>6012362600</v>
      </c>
      <c r="E251" t="s">
        <v>439</v>
      </c>
      <c r="F251" t="s">
        <v>440</v>
      </c>
      <c r="G251" s="5">
        <v>11001</v>
      </c>
      <c r="H251">
        <v>2700000</v>
      </c>
      <c r="I251">
        <v>7490</v>
      </c>
    </row>
    <row r="252" spans="1:9" x14ac:dyDescent="0.25">
      <c r="A252">
        <v>1193088091</v>
      </c>
      <c r="B252" t="str">
        <f>[2]!dv(A252)</f>
        <v>0</v>
      </c>
      <c r="C252" t="s">
        <v>86</v>
      </c>
      <c r="D252">
        <v>6012362600</v>
      </c>
      <c r="E252" t="s">
        <v>439</v>
      </c>
      <c r="F252" t="s">
        <v>440</v>
      </c>
      <c r="G252" s="5">
        <v>11001</v>
      </c>
      <c r="H252">
        <v>1</v>
      </c>
      <c r="I252">
        <v>7490</v>
      </c>
    </row>
    <row r="253" spans="1:9" x14ac:dyDescent="0.25">
      <c r="A253">
        <v>1126002834</v>
      </c>
      <c r="B253" t="str">
        <f>[2]!dv(A253)</f>
        <v>3</v>
      </c>
      <c r="C253" t="s">
        <v>87</v>
      </c>
      <c r="D253">
        <v>6012362600</v>
      </c>
      <c r="E253" t="s">
        <v>439</v>
      </c>
      <c r="F253" t="s">
        <v>440</v>
      </c>
      <c r="G253" s="5">
        <v>11001</v>
      </c>
      <c r="H253">
        <v>96665</v>
      </c>
      <c r="I253">
        <v>7490</v>
      </c>
    </row>
    <row r="254" spans="1:9" x14ac:dyDescent="0.25">
      <c r="A254">
        <v>1126002834</v>
      </c>
      <c r="B254" t="str">
        <f>[2]!dv(A254)</f>
        <v>3</v>
      </c>
      <c r="C254" t="s">
        <v>88</v>
      </c>
      <c r="D254">
        <v>6012362600</v>
      </c>
      <c r="E254" t="s">
        <v>439</v>
      </c>
      <c r="F254" t="s">
        <v>440</v>
      </c>
      <c r="G254" s="5">
        <v>11001</v>
      </c>
      <c r="H254">
        <v>90</v>
      </c>
      <c r="I254">
        <v>7490</v>
      </c>
    </row>
    <row r="255" spans="1:9" x14ac:dyDescent="0.25">
      <c r="A255">
        <v>52165871</v>
      </c>
      <c r="B255" t="str">
        <f>[2]!dv(A255)</f>
        <v>6</v>
      </c>
      <c r="C255" t="s">
        <v>89</v>
      </c>
      <c r="D255">
        <v>6012362600</v>
      </c>
      <c r="E255" t="s">
        <v>439</v>
      </c>
      <c r="F255" t="s">
        <v>440</v>
      </c>
      <c r="G255" s="5">
        <v>11001</v>
      </c>
      <c r="H255">
        <v>198</v>
      </c>
      <c r="I255">
        <v>7490</v>
      </c>
    </row>
    <row r="256" spans="1:9" x14ac:dyDescent="0.25">
      <c r="A256">
        <v>93336633</v>
      </c>
      <c r="B256" t="str">
        <f>[2]!dv(A256)</f>
        <v>3</v>
      </c>
      <c r="C256" t="s">
        <v>90</v>
      </c>
      <c r="D256">
        <v>6012362600</v>
      </c>
      <c r="E256" t="s">
        <v>439</v>
      </c>
      <c r="F256" t="s">
        <v>440</v>
      </c>
      <c r="G256" s="5">
        <v>11001</v>
      </c>
      <c r="H256">
        <v>30</v>
      </c>
      <c r="I256">
        <v>7490</v>
      </c>
    </row>
    <row r="257" spans="1:9" x14ac:dyDescent="0.25">
      <c r="A257">
        <v>890908901</v>
      </c>
      <c r="B257" t="str">
        <f>[2]!dv(A257)</f>
        <v>9</v>
      </c>
      <c r="C257" t="s">
        <v>178</v>
      </c>
      <c r="D257">
        <f>VLOOKUP(A257,[1]!Tabla1[[Conc.búsq.]:[Teléfono 2]],12,0)</f>
        <v>2890060</v>
      </c>
      <c r="E257" t="str">
        <f>VLOOKUP(A257,[1]!Tabla1[#Data],15,0)</f>
        <v>info@industrialcc.co</v>
      </c>
      <c r="F257" t="str">
        <f>VLOOKUP(A257,[1]!Tabla1[#Data],10,0)</f>
        <v>CL 5 B 21 24</v>
      </c>
      <c r="G257" s="5">
        <v>11001</v>
      </c>
      <c r="H257">
        <v>3</v>
      </c>
      <c r="I257">
        <v>7490</v>
      </c>
    </row>
    <row r="258" spans="1:9" x14ac:dyDescent="0.25">
      <c r="A258">
        <v>90058561</v>
      </c>
      <c r="B258" t="str">
        <f>[2]!dv(A258)</f>
        <v>8</v>
      </c>
      <c r="C258" t="s">
        <v>91</v>
      </c>
      <c r="D258">
        <v>6012362600</v>
      </c>
      <c r="E258" t="s">
        <v>439</v>
      </c>
      <c r="F258" t="s">
        <v>440</v>
      </c>
      <c r="G258" s="5">
        <v>11001</v>
      </c>
      <c r="H258">
        <v>1884808</v>
      </c>
      <c r="I258">
        <v>7490</v>
      </c>
    </row>
    <row r="259" spans="1:9" x14ac:dyDescent="0.25">
      <c r="A259">
        <v>800247308</v>
      </c>
      <c r="B259" t="str">
        <f>[2]!dv(A259)</f>
        <v>6</v>
      </c>
      <c r="C259" t="s">
        <v>92</v>
      </c>
      <c r="D259">
        <v>6012362600</v>
      </c>
      <c r="E259" t="s">
        <v>439</v>
      </c>
      <c r="F259" t="s">
        <v>440</v>
      </c>
      <c r="G259" s="5">
        <v>11001</v>
      </c>
      <c r="H259">
        <v>140963</v>
      </c>
      <c r="I259">
        <v>7490</v>
      </c>
    </row>
    <row r="260" spans="1:9" x14ac:dyDescent="0.25">
      <c r="A260" t="s">
        <v>137</v>
      </c>
      <c r="C260" t="s">
        <v>31</v>
      </c>
      <c r="D260">
        <v>6012362600</v>
      </c>
      <c r="E260" t="s">
        <v>439</v>
      </c>
      <c r="F260" t="s">
        <v>440</v>
      </c>
      <c r="G260" s="5">
        <v>11001</v>
      </c>
      <c r="H260">
        <v>2436672</v>
      </c>
      <c r="I260">
        <v>7490</v>
      </c>
    </row>
    <row r="261" spans="1:9" x14ac:dyDescent="0.25">
      <c r="A261">
        <v>20509921441</v>
      </c>
      <c r="B261" t="str">
        <f>[2]!dv(A261)</f>
        <v>8</v>
      </c>
      <c r="C261" t="s">
        <v>93</v>
      </c>
      <c r="D261">
        <v>6012362600</v>
      </c>
      <c r="E261" t="s">
        <v>439</v>
      </c>
      <c r="F261" t="s">
        <v>440</v>
      </c>
      <c r="G261" s="5">
        <v>11001</v>
      </c>
      <c r="H261">
        <v>8167523</v>
      </c>
      <c r="I261">
        <v>7490</v>
      </c>
    </row>
    <row r="262" spans="1:9" x14ac:dyDescent="0.25">
      <c r="A262" t="s">
        <v>139</v>
      </c>
      <c r="C262" t="s">
        <v>218</v>
      </c>
      <c r="D262">
        <f>VLOOKUP(A262,[1]!Tabla1[[Conc.búsq.]:[Teléfono 2]],12,0)</f>
        <v>954468100</v>
      </c>
      <c r="E262" t="str">
        <f>VLOOKUP(A262,[1]!Tabla1[#Data],15,0)</f>
        <v>info@inerco.es</v>
      </c>
      <c r="F262" t="str">
        <f>VLOOKUP(A262,[1]!Tabla1[#Data],10,0)</f>
        <v>P.T. ISLA DE LA CARTUJA. C/ TOMÁ</v>
      </c>
      <c r="G262" s="5">
        <v>11001</v>
      </c>
      <c r="H262">
        <v>925672</v>
      </c>
      <c r="I262">
        <v>7490</v>
      </c>
    </row>
    <row r="263" spans="1:9" x14ac:dyDescent="0.25">
      <c r="A263" t="s">
        <v>140</v>
      </c>
      <c r="C263" t="s">
        <v>219</v>
      </c>
      <c r="D263">
        <f>VLOOKUP(A263,[1]!Tabla1[[Conc.búsq.]:[Teléfono 2]],12,0)</f>
        <v>954468100</v>
      </c>
      <c r="E263" t="str">
        <f>VLOOKUP(A263,[1]!Tabla1[#Data],15,0)</f>
        <v>prevencion@inerco.com</v>
      </c>
      <c r="F263" t="str">
        <f>VLOOKUP(A263,[1]!Tabla1[#Data],10,0)</f>
        <v>C/TOMAS ALBA EDISON N 2 ED INERCO PARQUE TECNOLOGICO</v>
      </c>
      <c r="G263" s="5">
        <v>11001</v>
      </c>
      <c r="H263">
        <v>1710965</v>
      </c>
      <c r="I263">
        <v>7490</v>
      </c>
    </row>
    <row r="264" spans="1:9" x14ac:dyDescent="0.25">
      <c r="A264" t="s">
        <v>140</v>
      </c>
      <c r="C264" t="s">
        <v>219</v>
      </c>
      <c r="D264">
        <f>VLOOKUP(A264,[1]!Tabla1[[Conc.búsq.]:[Teléfono 2]],12,0)</f>
        <v>954468100</v>
      </c>
      <c r="E264" t="str">
        <f>VLOOKUP(A264,[1]!Tabla1[#Data],15,0)</f>
        <v>prevencion@inerco.com</v>
      </c>
      <c r="F264" t="str">
        <f>VLOOKUP(A264,[1]!Tabla1[#Data],10,0)</f>
        <v>C/TOMAS ALBA EDISON N 2 ED INERCO PARQUE TECNOLOGICO</v>
      </c>
      <c r="G264" s="5">
        <v>11001</v>
      </c>
      <c r="H264">
        <v>297</v>
      </c>
      <c r="I264">
        <v>7490</v>
      </c>
    </row>
    <row r="265" spans="1:9" x14ac:dyDescent="0.25">
      <c r="A265">
        <v>65061829</v>
      </c>
      <c r="B265" t="str">
        <f>[2]!dv(A265)</f>
        <v>6</v>
      </c>
      <c r="C265" t="s">
        <v>32</v>
      </c>
      <c r="D265">
        <v>6012362600</v>
      </c>
      <c r="E265" t="s">
        <v>439</v>
      </c>
      <c r="F265" t="s">
        <v>440</v>
      </c>
      <c r="G265" s="5">
        <v>11001</v>
      </c>
      <c r="H265">
        <v>103402</v>
      </c>
      <c r="I265">
        <v>7490</v>
      </c>
    </row>
    <row r="266" spans="1:9" x14ac:dyDescent="0.25">
      <c r="A266">
        <v>526040854</v>
      </c>
      <c r="B266" t="str">
        <f>[2]!dv(A266)</f>
        <v>2</v>
      </c>
      <c r="C266" t="s">
        <v>180</v>
      </c>
      <c r="D266" t="str">
        <f>VLOOKUP(A266,[1]!Tabla1[[Conc.búsq.]:[Teléfono 2]],12,0)</f>
        <v>(202)3124158</v>
      </c>
      <c r="E266" t="str">
        <f>VLOOKUP(A266,[1]!Tabla1[#Data],15,0)</f>
        <v>danielca@iadb.org</v>
      </c>
      <c r="F266" t="str">
        <f>VLOOKUP(A266,[1]!Tabla1[#Data],10,0)</f>
        <v>1300 NEW YORK AVENUE NW WASHINGTON 20577</v>
      </c>
      <c r="G266" s="5">
        <v>11001</v>
      </c>
      <c r="H266">
        <v>19767976</v>
      </c>
      <c r="I266">
        <v>7490</v>
      </c>
    </row>
    <row r="267" spans="1:9" x14ac:dyDescent="0.25">
      <c r="A267">
        <v>800069554</v>
      </c>
      <c r="B267" t="str">
        <f>[2]!dv(A267)</f>
        <v>8</v>
      </c>
      <c r="C267" t="s">
        <v>94</v>
      </c>
      <c r="D267">
        <v>6012362600</v>
      </c>
      <c r="E267" t="s">
        <v>439</v>
      </c>
      <c r="F267" t="s">
        <v>440</v>
      </c>
      <c r="G267" s="5">
        <v>11001</v>
      </c>
      <c r="H267">
        <v>90</v>
      </c>
      <c r="I267">
        <v>7490</v>
      </c>
    </row>
    <row r="268" spans="1:9" x14ac:dyDescent="0.25">
      <c r="A268">
        <v>1023960767</v>
      </c>
      <c r="B268" t="str">
        <f>[2]!dv(A268)</f>
        <v>3</v>
      </c>
      <c r="C268" t="s">
        <v>95</v>
      </c>
      <c r="D268">
        <v>6012362600</v>
      </c>
      <c r="E268" t="s">
        <v>439</v>
      </c>
      <c r="F268" t="s">
        <v>440</v>
      </c>
      <c r="G268" s="5">
        <v>11001</v>
      </c>
      <c r="H268">
        <v>274998</v>
      </c>
      <c r="I268">
        <v>7490</v>
      </c>
    </row>
    <row r="269" spans="1:9" x14ac:dyDescent="0.25">
      <c r="A269">
        <v>1023960767</v>
      </c>
      <c r="B269" t="str">
        <f>[2]!dv(A269)</f>
        <v>3</v>
      </c>
      <c r="C269" t="s">
        <v>96</v>
      </c>
      <c r="D269">
        <v>6012362600</v>
      </c>
      <c r="E269" t="s">
        <v>439</v>
      </c>
      <c r="F269" t="s">
        <v>440</v>
      </c>
      <c r="G269" s="5">
        <v>11001</v>
      </c>
      <c r="H269">
        <v>275017</v>
      </c>
      <c r="I269">
        <v>7490</v>
      </c>
    </row>
    <row r="270" spans="1:9" x14ac:dyDescent="0.25">
      <c r="A270">
        <v>860026428</v>
      </c>
      <c r="B270" t="str">
        <f>[2]!dv(A270)</f>
        <v>1</v>
      </c>
      <c r="C270" t="s">
        <v>97</v>
      </c>
      <c r="D270">
        <v>6012362600</v>
      </c>
      <c r="E270" t="s">
        <v>439</v>
      </c>
      <c r="F270" t="s">
        <v>440</v>
      </c>
      <c r="G270" s="5">
        <v>11001</v>
      </c>
      <c r="H270">
        <v>7</v>
      </c>
      <c r="I270">
        <v>7490</v>
      </c>
    </row>
    <row r="271" spans="1:9" x14ac:dyDescent="0.25">
      <c r="A271">
        <v>900089276</v>
      </c>
      <c r="B271" t="str">
        <f>[2]!dv(A271)</f>
        <v>3</v>
      </c>
      <c r="C271" t="s">
        <v>34</v>
      </c>
      <c r="D271">
        <v>6012362600</v>
      </c>
      <c r="E271" t="s">
        <v>439</v>
      </c>
      <c r="F271" t="s">
        <v>440</v>
      </c>
      <c r="G271" s="5">
        <v>11001</v>
      </c>
      <c r="H271">
        <v>92974975</v>
      </c>
      <c r="I271">
        <v>7490</v>
      </c>
    </row>
    <row r="272" spans="1:9" x14ac:dyDescent="0.25">
      <c r="A272">
        <v>860039988</v>
      </c>
      <c r="B272" t="str">
        <f>[2]!dv(A272)</f>
        <v>0</v>
      </c>
      <c r="C272" t="s">
        <v>98</v>
      </c>
      <c r="D272">
        <f>VLOOKUP(A272,[1]!Tabla1[[Conc.búsq.]:[Teléfono 2]],12,0)</f>
        <v>3103300</v>
      </c>
      <c r="E272" t="e">
        <f>VLOOKUP(A272,[1]!Tabla1[#Data],15,0)</f>
        <v>#N/A</v>
      </c>
      <c r="F272" t="str">
        <f>VLOOKUP(A272,[1]!Tabla1[#Data],10,0)</f>
        <v>CL 72  10 07</v>
      </c>
      <c r="G272" s="5">
        <v>11001</v>
      </c>
      <c r="H272">
        <v>2485788</v>
      </c>
      <c r="I272">
        <v>7490</v>
      </c>
    </row>
    <row r="273" spans="1:9" x14ac:dyDescent="0.25">
      <c r="A273">
        <v>900588186</v>
      </c>
      <c r="B273" t="str">
        <f>[2]!dv(A273)</f>
        <v>1</v>
      </c>
      <c r="C273" t="s">
        <v>99</v>
      </c>
      <c r="D273">
        <v>6012362600</v>
      </c>
      <c r="E273" t="s">
        <v>439</v>
      </c>
      <c r="F273" t="s">
        <v>440</v>
      </c>
      <c r="G273" s="5">
        <v>11001</v>
      </c>
      <c r="H273">
        <v>1</v>
      </c>
      <c r="I273">
        <v>7490</v>
      </c>
    </row>
    <row r="274" spans="1:9" x14ac:dyDescent="0.25">
      <c r="A274">
        <v>901261340</v>
      </c>
      <c r="B274" t="str">
        <f>[2]!dv(A274)</f>
        <v>7</v>
      </c>
      <c r="C274" t="s">
        <v>184</v>
      </c>
      <c r="D274">
        <f>VLOOKUP(A274,[1]!Tabla1[[Conc.búsq.]:[Teléfono 2]],12,0)</f>
        <v>7053457</v>
      </c>
      <c r="E274" t="str">
        <f>VLOOKUP(A274,[1]!Tabla1[#Data],15,0)</f>
        <v>nick.nisbet@mainstreamrp.com</v>
      </c>
      <c r="F274" t="str">
        <f>VLOOKUP(A274,[1]!Tabla1[#Data],10,0)</f>
        <v>CL 98 10 32 OF 302</v>
      </c>
      <c r="G274" s="5">
        <v>11001</v>
      </c>
      <c r="H274">
        <v>1</v>
      </c>
      <c r="I274">
        <v>7490</v>
      </c>
    </row>
    <row r="275" spans="1:9" x14ac:dyDescent="0.25">
      <c r="A275">
        <v>1041901095</v>
      </c>
      <c r="B275" t="str">
        <f>[2]!dv(A275)</f>
        <v>6</v>
      </c>
      <c r="C275" t="s">
        <v>100</v>
      </c>
      <c r="D275">
        <v>6012362600</v>
      </c>
      <c r="E275" t="s">
        <v>439</v>
      </c>
      <c r="F275" t="s">
        <v>440</v>
      </c>
      <c r="G275" s="5">
        <v>11001</v>
      </c>
      <c r="H275">
        <v>1</v>
      </c>
      <c r="I275">
        <v>7490</v>
      </c>
    </row>
    <row r="276" spans="1:9" x14ac:dyDescent="0.25">
      <c r="A276">
        <v>53107837</v>
      </c>
      <c r="B276" t="str">
        <f>[2]!dv(A276)</f>
        <v>1</v>
      </c>
      <c r="C276" t="s">
        <v>101</v>
      </c>
      <c r="D276">
        <v>6012362600</v>
      </c>
      <c r="E276" t="s">
        <v>439</v>
      </c>
      <c r="F276" t="s">
        <v>440</v>
      </c>
      <c r="G276" s="5">
        <v>11001</v>
      </c>
      <c r="H276">
        <v>43839</v>
      </c>
      <c r="I276">
        <v>7490</v>
      </c>
    </row>
    <row r="277" spans="1:9" x14ac:dyDescent="0.25">
      <c r="A277">
        <v>8649539</v>
      </c>
      <c r="B277" t="str">
        <f>[2]!dv(A277)</f>
        <v>3</v>
      </c>
      <c r="C277" t="s">
        <v>102</v>
      </c>
      <c r="D277">
        <v>6012362600</v>
      </c>
      <c r="E277" t="s">
        <v>439</v>
      </c>
      <c r="F277" t="s">
        <v>440</v>
      </c>
      <c r="G277" s="5">
        <v>11001</v>
      </c>
      <c r="H277">
        <v>1</v>
      </c>
      <c r="I277">
        <v>7490</v>
      </c>
    </row>
    <row r="278" spans="1:9" x14ac:dyDescent="0.25">
      <c r="A278">
        <v>1041892255</v>
      </c>
      <c r="B278" t="str">
        <f>[2]!dv(A278)</f>
        <v>8</v>
      </c>
      <c r="C278" t="s">
        <v>103</v>
      </c>
      <c r="D278">
        <v>6012362600</v>
      </c>
      <c r="E278" t="s">
        <v>439</v>
      </c>
      <c r="F278" t="s">
        <v>440</v>
      </c>
      <c r="G278" s="5">
        <v>11001</v>
      </c>
      <c r="H278">
        <v>1</v>
      </c>
      <c r="I278">
        <v>7490</v>
      </c>
    </row>
    <row r="279" spans="1:9" x14ac:dyDescent="0.25">
      <c r="A279">
        <v>8572733</v>
      </c>
      <c r="B279" t="str">
        <f>[2]!dv(A279)</f>
        <v>3</v>
      </c>
      <c r="C279" t="s">
        <v>104</v>
      </c>
      <c r="D279">
        <v>6012362600</v>
      </c>
      <c r="E279" t="s">
        <v>439</v>
      </c>
      <c r="F279" t="s">
        <v>440</v>
      </c>
      <c r="G279" s="5">
        <v>11001</v>
      </c>
      <c r="H279">
        <v>1</v>
      </c>
      <c r="I279">
        <v>7490</v>
      </c>
    </row>
    <row r="280" spans="1:9" x14ac:dyDescent="0.25">
      <c r="A280">
        <v>839000360</v>
      </c>
      <c r="B280" t="str">
        <f>[2]!dv(A280)</f>
        <v>0</v>
      </c>
      <c r="C280" t="s">
        <v>105</v>
      </c>
      <c r="D280">
        <v>6012362600</v>
      </c>
      <c r="E280" t="s">
        <v>439</v>
      </c>
      <c r="F280" t="s">
        <v>440</v>
      </c>
      <c r="G280" s="5">
        <v>11001</v>
      </c>
      <c r="H280">
        <v>108</v>
      </c>
      <c r="I280">
        <v>7490</v>
      </c>
    </row>
    <row r="281" spans="1:9" x14ac:dyDescent="0.25">
      <c r="A281">
        <v>800094622</v>
      </c>
      <c r="B281" t="str">
        <f>[2]!dv(A281)</f>
        <v>6</v>
      </c>
      <c r="C281" t="s">
        <v>106</v>
      </c>
      <c r="D281">
        <f>VLOOKUP(A281,[1]!Tabla1[[Conc.búsq.]:[Teléfono 2]],12,0)</f>
        <v>8243140</v>
      </c>
      <c r="E281" t="str">
        <f>VLOOKUP(A281,[1]!Tabla1[#Data],15,0)</f>
        <v>alcaldia.bojaca@gmail.com</v>
      </c>
      <c r="F281" t="str">
        <f>VLOOKUP(A281,[1]!Tabla1[#Data],10,0)</f>
        <v>PALACIO MUNICIPAL PAR PRINCIPAL</v>
      </c>
      <c r="G281" s="5">
        <v>11001</v>
      </c>
      <c r="H281">
        <v>11</v>
      </c>
      <c r="I281">
        <v>7490</v>
      </c>
    </row>
    <row r="282" spans="1:9" x14ac:dyDescent="0.25">
      <c r="A282">
        <v>890201222</v>
      </c>
      <c r="B282" t="str">
        <f>[2]!dv(A282)</f>
        <v>0</v>
      </c>
      <c r="C282" t="s">
        <v>107</v>
      </c>
      <c r="D282">
        <v>6012362600</v>
      </c>
      <c r="E282" t="s">
        <v>439</v>
      </c>
      <c r="F282" t="s">
        <v>440</v>
      </c>
      <c r="G282" s="5">
        <v>11001</v>
      </c>
      <c r="H282">
        <v>498</v>
      </c>
      <c r="I282">
        <v>7490</v>
      </c>
    </row>
    <row r="283" spans="1:9" x14ac:dyDescent="0.25">
      <c r="A283">
        <v>899999172</v>
      </c>
      <c r="B283" t="str">
        <f>[2]!dv(A283)</f>
        <v>8</v>
      </c>
      <c r="C283" t="s">
        <v>50</v>
      </c>
      <c r="D283">
        <v>6012362600</v>
      </c>
      <c r="E283" t="s">
        <v>439</v>
      </c>
      <c r="F283" t="s">
        <v>440</v>
      </c>
      <c r="G283" s="5">
        <v>11001</v>
      </c>
      <c r="H283">
        <v>47</v>
      </c>
      <c r="I283">
        <v>7490</v>
      </c>
    </row>
    <row r="284" spans="1:9" x14ac:dyDescent="0.25">
      <c r="A284">
        <v>891780043</v>
      </c>
      <c r="B284" t="str">
        <f>[2]!dv(A284)</f>
        <v>5</v>
      </c>
      <c r="C284" t="s">
        <v>108</v>
      </c>
      <c r="D284">
        <v>6012362600</v>
      </c>
      <c r="E284" t="s">
        <v>439</v>
      </c>
      <c r="F284" t="s">
        <v>440</v>
      </c>
      <c r="G284" s="5">
        <v>11001</v>
      </c>
      <c r="H284">
        <v>114</v>
      </c>
      <c r="I284">
        <v>7490</v>
      </c>
    </row>
    <row r="285" spans="1:9" x14ac:dyDescent="0.25">
      <c r="A285">
        <v>899999705</v>
      </c>
      <c r="B285" t="str">
        <f>[2]!dv(A285)</f>
        <v>3</v>
      </c>
      <c r="C285" t="s">
        <v>109</v>
      </c>
      <c r="D285">
        <v>6012362600</v>
      </c>
      <c r="E285" t="s">
        <v>439</v>
      </c>
      <c r="F285" t="s">
        <v>440</v>
      </c>
      <c r="G285" s="5">
        <v>11001</v>
      </c>
      <c r="H285">
        <v>168</v>
      </c>
      <c r="I285">
        <v>7490</v>
      </c>
    </row>
    <row r="286" spans="1:9" x14ac:dyDescent="0.25">
      <c r="A286">
        <v>800096592</v>
      </c>
      <c r="B286" t="str">
        <f>[2]!dv(A286)</f>
        <v>2</v>
      </c>
      <c r="C286" t="s">
        <v>51</v>
      </c>
      <c r="D286">
        <v>6012362600</v>
      </c>
      <c r="E286" t="s">
        <v>439</v>
      </c>
      <c r="F286" t="s">
        <v>440</v>
      </c>
      <c r="G286" s="5">
        <v>11001</v>
      </c>
      <c r="H286">
        <v>125</v>
      </c>
      <c r="I286">
        <v>7490</v>
      </c>
    </row>
    <row r="287" spans="1:9" x14ac:dyDescent="0.25">
      <c r="A287">
        <v>899999325</v>
      </c>
      <c r="B287" t="str">
        <f>[2]!dv(A287)</f>
        <v>8</v>
      </c>
      <c r="C287" t="s">
        <v>110</v>
      </c>
      <c r="D287">
        <v>6012362600</v>
      </c>
      <c r="E287" t="s">
        <v>439</v>
      </c>
      <c r="F287" t="s">
        <v>440</v>
      </c>
      <c r="G287" s="5">
        <v>11001</v>
      </c>
      <c r="H287">
        <v>427</v>
      </c>
      <c r="I287">
        <v>7490</v>
      </c>
    </row>
    <row r="288" spans="1:9" x14ac:dyDescent="0.25">
      <c r="A288">
        <v>891800466</v>
      </c>
      <c r="B288" t="str">
        <f>[2]!dv(A288)</f>
        <v>4</v>
      </c>
      <c r="C288" t="s">
        <v>39</v>
      </c>
      <c r="D288">
        <v>6012362600</v>
      </c>
      <c r="E288" t="s">
        <v>439</v>
      </c>
      <c r="F288" t="s">
        <v>440</v>
      </c>
      <c r="G288" s="5">
        <v>11001</v>
      </c>
      <c r="H288">
        <v>357</v>
      </c>
      <c r="I288">
        <v>7490</v>
      </c>
    </row>
    <row r="289" spans="1:9" x14ac:dyDescent="0.25">
      <c r="A289">
        <v>892099325</v>
      </c>
      <c r="B289" t="str">
        <f>[2]!dv(A289)</f>
        <v>0</v>
      </c>
      <c r="C289" t="s">
        <v>430</v>
      </c>
      <c r="D289">
        <v>6012362600</v>
      </c>
      <c r="E289" t="s">
        <v>439</v>
      </c>
      <c r="F289" t="s">
        <v>440</v>
      </c>
      <c r="G289" s="5">
        <v>11001</v>
      </c>
      <c r="H289">
        <v>253</v>
      </c>
      <c r="I289">
        <v>7490</v>
      </c>
    </row>
    <row r="290" spans="1:9" x14ac:dyDescent="0.25">
      <c r="A290">
        <v>800094755</v>
      </c>
      <c r="B290" t="str">
        <f>[2]!dv(A290)</f>
        <v>7</v>
      </c>
      <c r="C290" t="s">
        <v>111</v>
      </c>
      <c r="D290">
        <v>6012362600</v>
      </c>
      <c r="E290" t="s">
        <v>439</v>
      </c>
      <c r="F290" t="s">
        <v>440</v>
      </c>
      <c r="G290" s="5">
        <v>11001</v>
      </c>
      <c r="H290">
        <v>1345</v>
      </c>
      <c r="I290">
        <v>7490</v>
      </c>
    </row>
    <row r="291" spans="1:9" x14ac:dyDescent="0.25">
      <c r="A291">
        <v>899999468</v>
      </c>
      <c r="B291" t="str">
        <f>[2]!dv(A291)</f>
        <v>2</v>
      </c>
      <c r="C291" t="s">
        <v>112</v>
      </c>
      <c r="D291">
        <v>6012362600</v>
      </c>
      <c r="E291" t="s">
        <v>439</v>
      </c>
      <c r="F291" t="s">
        <v>440</v>
      </c>
      <c r="G291" s="5">
        <v>11001</v>
      </c>
      <c r="H291">
        <v>221</v>
      </c>
      <c r="I291">
        <v>7490</v>
      </c>
    </row>
    <row r="292" spans="1:9" x14ac:dyDescent="0.25">
      <c r="A292">
        <v>899999428</v>
      </c>
      <c r="B292" t="str">
        <f>[2]!dv(A292)</f>
        <v>8</v>
      </c>
      <c r="C292" t="s">
        <v>113</v>
      </c>
      <c r="D292">
        <v>6012362600</v>
      </c>
      <c r="E292" t="s">
        <v>439</v>
      </c>
      <c r="F292" t="s">
        <v>440</v>
      </c>
      <c r="G292" s="5">
        <v>11001</v>
      </c>
      <c r="H292">
        <v>187</v>
      </c>
      <c r="I292">
        <v>7490</v>
      </c>
    </row>
    <row r="293" spans="1:9" x14ac:dyDescent="0.25">
      <c r="A293">
        <v>892099324</v>
      </c>
      <c r="B293" t="str">
        <f>[2]!dv(A293)</f>
        <v>3</v>
      </c>
      <c r="C293" t="s">
        <v>114</v>
      </c>
      <c r="D293">
        <v>6012362600</v>
      </c>
      <c r="E293" t="s">
        <v>439</v>
      </c>
      <c r="F293" t="s">
        <v>440</v>
      </c>
      <c r="G293" s="5">
        <v>11001</v>
      </c>
      <c r="H293">
        <v>400</v>
      </c>
      <c r="I293">
        <v>7490</v>
      </c>
    </row>
    <row r="294" spans="1:9" x14ac:dyDescent="0.25">
      <c r="A294">
        <v>800096772</v>
      </c>
      <c r="B294" t="str">
        <f>[2]!dv(A294)</f>
        <v>1</v>
      </c>
      <c r="C294" t="s">
        <v>115</v>
      </c>
      <c r="D294">
        <v>6012362600</v>
      </c>
      <c r="E294" t="s">
        <v>439</v>
      </c>
      <c r="F294" t="s">
        <v>440</v>
      </c>
      <c r="G294" s="5">
        <v>11001</v>
      </c>
      <c r="H294">
        <v>208</v>
      </c>
      <c r="I294">
        <v>7490</v>
      </c>
    </row>
    <row r="295" spans="1:9" x14ac:dyDescent="0.25">
      <c r="A295">
        <v>1015423040</v>
      </c>
      <c r="B295" t="str">
        <f>[2]!dv(A295)</f>
        <v>6</v>
      </c>
      <c r="C295" t="s">
        <v>116</v>
      </c>
      <c r="D295">
        <v>6012362600</v>
      </c>
      <c r="E295" t="s">
        <v>439</v>
      </c>
      <c r="F295" t="s">
        <v>440</v>
      </c>
      <c r="G295" s="5">
        <v>11001</v>
      </c>
      <c r="H295">
        <v>1000000</v>
      </c>
      <c r="I295">
        <v>7490</v>
      </c>
    </row>
    <row r="296" spans="1:9" x14ac:dyDescent="0.25">
      <c r="A296">
        <v>900156264</v>
      </c>
      <c r="B296" t="str">
        <f>[2]!dv(A296)</f>
        <v>2</v>
      </c>
      <c r="C296" t="s">
        <v>117</v>
      </c>
      <c r="D296">
        <v>6012362600</v>
      </c>
      <c r="E296" t="s">
        <v>439</v>
      </c>
      <c r="F296" t="s">
        <v>440</v>
      </c>
      <c r="G296" s="5">
        <v>11001</v>
      </c>
      <c r="H296">
        <v>62692</v>
      </c>
      <c r="I296">
        <v>7490</v>
      </c>
    </row>
    <row r="297" spans="1:9" x14ac:dyDescent="0.25">
      <c r="A297">
        <v>900196778</v>
      </c>
      <c r="B297" t="str">
        <f>[2]!dv(A297)</f>
        <v>7</v>
      </c>
      <c r="C297" t="s">
        <v>118</v>
      </c>
      <c r="D297">
        <f>VLOOKUP(A297,[1]!Tabla1[[Conc.búsq.]:[Teléfono 2]],12,0)</f>
        <v>2159655</v>
      </c>
      <c r="E297" t="str">
        <f>VLOOKUP(A297,[1]!Tabla1[#Data],15,0)</f>
        <v>sudhir_sharma@ongcvidesh.in</v>
      </c>
      <c r="F297" t="str">
        <f>VLOOKUP(A297,[1]!Tabla1[#Data],10,0)</f>
        <v>CL 100 13 - 76 PISO 8</v>
      </c>
      <c r="G297" s="5">
        <v>11001</v>
      </c>
      <c r="H297">
        <v>1</v>
      </c>
      <c r="I297">
        <v>7490</v>
      </c>
    </row>
    <row r="298" spans="1:9" x14ac:dyDescent="0.25">
      <c r="A298">
        <v>830054539</v>
      </c>
      <c r="B298" t="str">
        <f>[2]!dv(A298)</f>
        <v>0</v>
      </c>
      <c r="C298" t="s">
        <v>220</v>
      </c>
      <c r="D298">
        <f>VLOOKUP(A298,[1]!Tabla1[[Conc.búsq.]:[Teléfono 2]],12,0)</f>
        <v>4042408</v>
      </c>
      <c r="E298" t="str">
        <f>VLOOKUP(A298,[1]!Tabla1[#Data],15,0)</f>
        <v>impuestosproductosfb@bancolombia.com.co</v>
      </c>
      <c r="F298" t="str">
        <f>VLOOKUP(A298,[1]!Tabla1[#Data],10,0)</f>
        <v>CR 48 26 85 TO NORTE P 1</v>
      </c>
      <c r="G298" s="5">
        <v>11001</v>
      </c>
      <c r="H298">
        <v>93</v>
      </c>
      <c r="I298">
        <v>7490</v>
      </c>
    </row>
    <row r="299" spans="1:9" x14ac:dyDescent="0.25">
      <c r="A299">
        <v>1018406821</v>
      </c>
      <c r="B299" t="str">
        <f>[2]!dv(A299)</f>
        <v>0</v>
      </c>
      <c r="C299" t="s">
        <v>168</v>
      </c>
      <c r="D299">
        <v>6012362600</v>
      </c>
      <c r="E299" t="s">
        <v>439</v>
      </c>
      <c r="F299" t="s">
        <v>440</v>
      </c>
      <c r="G299" s="5">
        <v>11001</v>
      </c>
      <c r="H299">
        <v>76157</v>
      </c>
      <c r="I299">
        <v>7490</v>
      </c>
    </row>
    <row r="300" spans="1:9" x14ac:dyDescent="0.25">
      <c r="A300">
        <v>1013605048</v>
      </c>
      <c r="B300" t="str">
        <f>[2]!dv(A300)</f>
        <v>9</v>
      </c>
      <c r="C300" t="s">
        <v>119</v>
      </c>
      <c r="D300">
        <v>6012362600</v>
      </c>
      <c r="E300" t="s">
        <v>439</v>
      </c>
      <c r="F300" t="s">
        <v>440</v>
      </c>
      <c r="G300" s="5">
        <v>11001</v>
      </c>
      <c r="H300">
        <v>900</v>
      </c>
      <c r="I300">
        <v>7490</v>
      </c>
    </row>
    <row r="301" spans="1:9" x14ac:dyDescent="0.25">
      <c r="A301">
        <v>1057488287</v>
      </c>
      <c r="B301" t="str">
        <f>[2]!dv(A301)</f>
        <v>1</v>
      </c>
      <c r="C301" t="s">
        <v>120</v>
      </c>
      <c r="D301">
        <v>6012362600</v>
      </c>
      <c r="E301" t="s">
        <v>439</v>
      </c>
      <c r="F301" t="s">
        <v>440</v>
      </c>
      <c r="G301" s="5">
        <v>11001</v>
      </c>
      <c r="H301">
        <v>698</v>
      </c>
      <c r="I301">
        <v>7490</v>
      </c>
    </row>
    <row r="302" spans="1:9" x14ac:dyDescent="0.25">
      <c r="A302">
        <v>672732</v>
      </c>
      <c r="B302" t="str">
        <f>[2]!dv(A302)</f>
        <v>6</v>
      </c>
      <c r="C302" t="s">
        <v>121</v>
      </c>
      <c r="D302">
        <v>6012362600</v>
      </c>
      <c r="E302" t="s">
        <v>439</v>
      </c>
      <c r="F302" t="s">
        <v>440</v>
      </c>
      <c r="G302" s="5">
        <v>11001</v>
      </c>
      <c r="H302">
        <v>650</v>
      </c>
      <c r="I302">
        <v>7490</v>
      </c>
    </row>
    <row r="303" spans="1:9" x14ac:dyDescent="0.25">
      <c r="A303">
        <v>800224808</v>
      </c>
      <c r="B303" t="str">
        <f>[2]!dv(A303)</f>
        <v>8</v>
      </c>
      <c r="C303" t="s">
        <v>122</v>
      </c>
      <c r="D303">
        <v>6012362600</v>
      </c>
      <c r="E303" t="s">
        <v>439</v>
      </c>
      <c r="F303" t="s">
        <v>440</v>
      </c>
      <c r="G303" s="5">
        <v>11001</v>
      </c>
      <c r="H303">
        <v>194</v>
      </c>
      <c r="I303">
        <v>7490</v>
      </c>
    </row>
    <row r="304" spans="1:9" x14ac:dyDescent="0.25">
      <c r="A304">
        <v>900063262</v>
      </c>
      <c r="B304" t="str">
        <f>[2]!dv(A304)</f>
        <v>8</v>
      </c>
      <c r="C304" t="s">
        <v>194</v>
      </c>
      <c r="D304">
        <f>VLOOKUP(A304,[1]!Tabla1[[Conc.búsq.]:[Teléfono 2]],12,0)</f>
        <v>6016971200</v>
      </c>
      <c r="E304" t="str">
        <f>VLOOKUP(A304,[1]!Tabla1[#Data],15,0)</f>
        <v>notificaciones@psn.com.co</v>
      </c>
      <c r="F304" t="str">
        <f>VLOOKUP(A304,[1]!Tabla1[#Data],10,0)</f>
        <v>CR 7 71 52 TO A P 5</v>
      </c>
      <c r="G304" s="5">
        <v>11001</v>
      </c>
      <c r="H304">
        <v>7</v>
      </c>
      <c r="I304">
        <v>7490</v>
      </c>
    </row>
    <row r="305" spans="1:9" x14ac:dyDescent="0.25">
      <c r="A305">
        <v>1012380585</v>
      </c>
      <c r="B305" t="str">
        <f>[2]!dv(A305)</f>
        <v>0</v>
      </c>
      <c r="C305" t="s">
        <v>123</v>
      </c>
      <c r="D305">
        <v>6012362600</v>
      </c>
      <c r="E305" t="s">
        <v>439</v>
      </c>
      <c r="F305" t="s">
        <v>440</v>
      </c>
      <c r="G305" s="5">
        <v>11001</v>
      </c>
      <c r="H305">
        <v>229</v>
      </c>
      <c r="I305">
        <v>7490</v>
      </c>
    </row>
    <row r="306" spans="1:9" x14ac:dyDescent="0.25">
      <c r="A306">
        <v>800137357</v>
      </c>
      <c r="B306" t="str">
        <f>[2]!dv(A306)</f>
        <v>5</v>
      </c>
      <c r="C306" t="s">
        <v>124</v>
      </c>
      <c r="D306">
        <v>6012362600</v>
      </c>
      <c r="E306" t="s">
        <v>439</v>
      </c>
      <c r="F306" t="s">
        <v>440</v>
      </c>
      <c r="G306" s="5">
        <v>11001</v>
      </c>
      <c r="H306">
        <v>10126369</v>
      </c>
      <c r="I306">
        <v>7490</v>
      </c>
    </row>
    <row r="307" spans="1:9" x14ac:dyDescent="0.25">
      <c r="A307">
        <v>2051901983</v>
      </c>
      <c r="B307" t="str">
        <f>[2]!dv(A307)</f>
        <v>9</v>
      </c>
      <c r="C307" t="s">
        <v>125</v>
      </c>
      <c r="D307">
        <v>6012362600</v>
      </c>
      <c r="E307" t="s">
        <v>439</v>
      </c>
      <c r="F307" t="s">
        <v>440</v>
      </c>
      <c r="G307" s="5">
        <v>11001</v>
      </c>
      <c r="H307">
        <v>196518</v>
      </c>
      <c r="I307">
        <v>7490</v>
      </c>
    </row>
    <row r="308" spans="1:9" x14ac:dyDescent="0.25">
      <c r="A308">
        <v>800130907</v>
      </c>
      <c r="B308" t="str">
        <f>[2]!dv(A308)</f>
        <v>4</v>
      </c>
      <c r="C308" t="s">
        <v>126</v>
      </c>
      <c r="D308">
        <v>6012362600</v>
      </c>
      <c r="E308" t="s">
        <v>439</v>
      </c>
      <c r="F308" t="s">
        <v>440</v>
      </c>
      <c r="G308" s="5">
        <v>11001</v>
      </c>
      <c r="H308">
        <v>51500</v>
      </c>
      <c r="I308">
        <v>7490</v>
      </c>
    </row>
    <row r="309" spans="1:9" x14ac:dyDescent="0.25">
      <c r="A309">
        <v>800255754</v>
      </c>
      <c r="B309" t="str">
        <f>[2]!dv(A309)</f>
        <v>1</v>
      </c>
      <c r="C309" t="s">
        <v>146</v>
      </c>
      <c r="D309">
        <f>VLOOKUP(A309,[1]!Tabla1[[Conc.búsq.]:[Teléfono 2]],12,0)</f>
        <v>6292240</v>
      </c>
      <c r="E309" t="str">
        <f>VLOOKUP(A309,[1]!Tabla1[#Data],15,0)</f>
        <v>maria.diaz@sencinet.com</v>
      </c>
      <c r="F309" t="str">
        <f>VLOOKUP(A309,[1]!Tabla1[#Data],10,0)</f>
        <v>CL 113 7 21 TO A OF 1112</v>
      </c>
      <c r="G309" s="5">
        <v>11001</v>
      </c>
      <c r="H309">
        <v>3</v>
      </c>
      <c r="I309">
        <v>7490</v>
      </c>
    </row>
    <row r="310" spans="1:9" x14ac:dyDescent="0.25">
      <c r="A310">
        <v>900347102</v>
      </c>
      <c r="B310" t="str">
        <f>[2]!dv(A310)</f>
        <v>8</v>
      </c>
      <c r="C310" t="s">
        <v>127</v>
      </c>
      <c r="D310">
        <v>6012362600</v>
      </c>
      <c r="E310" t="s">
        <v>439</v>
      </c>
      <c r="F310" t="s">
        <v>440</v>
      </c>
      <c r="G310" s="5">
        <v>11001</v>
      </c>
      <c r="H310">
        <v>821</v>
      </c>
      <c r="I310">
        <v>7490</v>
      </c>
    </row>
    <row r="311" spans="1:9" x14ac:dyDescent="0.25">
      <c r="A311">
        <v>39749451</v>
      </c>
      <c r="B311" t="str">
        <f>[2]!dv(A311)</f>
        <v>6</v>
      </c>
      <c r="C311" t="s">
        <v>128</v>
      </c>
      <c r="D311">
        <v>6012362600</v>
      </c>
      <c r="E311" t="s">
        <v>439</v>
      </c>
      <c r="F311" t="s">
        <v>440</v>
      </c>
      <c r="G311" s="5">
        <v>11001</v>
      </c>
      <c r="H311">
        <v>505</v>
      </c>
      <c r="I311">
        <v>7490</v>
      </c>
    </row>
    <row r="312" spans="1:9" x14ac:dyDescent="0.25">
      <c r="A312">
        <v>830054097</v>
      </c>
      <c r="B312" t="str">
        <f>[2]!dv(A312)</f>
        <v>7</v>
      </c>
      <c r="C312" t="s">
        <v>199</v>
      </c>
      <c r="D312">
        <f>VLOOKUP(A312,[1]!Tabla1[[Conc.búsq.]:[Teléfono 2]],12,0)</f>
        <v>3221470</v>
      </c>
      <c r="E312" t="e">
        <f>VLOOKUP(A312,[1]!Tabla1[#Data],15,0)</f>
        <v>#N/A</v>
      </c>
      <c r="F312" t="str">
        <f>VLOOKUP(A312,[1]!Tabla1[#Data],10,0)</f>
        <v>CR 7 71 52 TO A OF 904</v>
      </c>
      <c r="G312" s="5">
        <v>11001</v>
      </c>
      <c r="H312">
        <v>1</v>
      </c>
      <c r="I312">
        <v>7490</v>
      </c>
    </row>
    <row r="313" spans="1:9" x14ac:dyDescent="0.25">
      <c r="A313">
        <v>900162209</v>
      </c>
      <c r="B313" t="str">
        <f>[2]!dv(A313)</f>
        <v>1</v>
      </c>
      <c r="C313" t="s">
        <v>129</v>
      </c>
      <c r="D313">
        <v>6012362600</v>
      </c>
      <c r="E313" t="s">
        <v>439</v>
      </c>
      <c r="F313" t="s">
        <v>440</v>
      </c>
      <c r="G313" s="5">
        <v>11001</v>
      </c>
      <c r="H313">
        <v>19920</v>
      </c>
      <c r="I313">
        <v>7490</v>
      </c>
    </row>
    <row r="314" spans="1:9" x14ac:dyDescent="0.25">
      <c r="A314">
        <v>900966401</v>
      </c>
      <c r="B314" t="str">
        <f>[2]!dv(A314)</f>
        <v>0</v>
      </c>
      <c r="C314" t="s">
        <v>201</v>
      </c>
      <c r="D314">
        <f>VLOOKUP(A314,[1]!Tabla1[[Conc.búsq.]:[Teléfono 2]],12,0)</f>
        <v>3223448471</v>
      </c>
      <c r="E314" t="str">
        <f>VLOOKUP(A314,[1]!Tabla1[#Data],15,0)</f>
        <v>contabilidadcolombia@teixeraduarte.pt</v>
      </c>
      <c r="F314" t="str">
        <f>VLOOKUP(A314,[1]!Tabla1[#Data],10,0)</f>
        <v>CR 11 94 02 OF 201</v>
      </c>
      <c r="G314" s="5">
        <v>11001</v>
      </c>
      <c r="H314">
        <v>7500000</v>
      </c>
      <c r="I314">
        <v>7490</v>
      </c>
    </row>
    <row r="315" spans="1:9" x14ac:dyDescent="0.25">
      <c r="A315">
        <v>800014875</v>
      </c>
      <c r="B315" t="str">
        <f>[2]!dv(A315)</f>
        <v>0</v>
      </c>
      <c r="C315" t="s">
        <v>130</v>
      </c>
      <c r="D315">
        <v>6012362600</v>
      </c>
      <c r="E315" t="s">
        <v>439</v>
      </c>
      <c r="F315" t="s">
        <v>440</v>
      </c>
      <c r="G315" s="5">
        <v>11001</v>
      </c>
      <c r="H315">
        <v>1</v>
      </c>
      <c r="I315">
        <v>7490</v>
      </c>
    </row>
    <row r="316" spans="1:9" x14ac:dyDescent="0.25">
      <c r="A316">
        <v>805029498</v>
      </c>
      <c r="B316" t="str">
        <f>[2]!dv(A316)</f>
        <v>0</v>
      </c>
      <c r="C316" t="s">
        <v>131</v>
      </c>
      <c r="D316">
        <v>6012362600</v>
      </c>
      <c r="E316" t="s">
        <v>439</v>
      </c>
      <c r="F316" t="s">
        <v>440</v>
      </c>
      <c r="G316" s="5">
        <v>11001</v>
      </c>
      <c r="H316">
        <v>8</v>
      </c>
      <c r="I316">
        <v>7490</v>
      </c>
    </row>
    <row r="317" spans="1:9" x14ac:dyDescent="0.25">
      <c r="A317">
        <v>900536556</v>
      </c>
      <c r="B317" t="str">
        <f>[2]!dv(A317)</f>
        <v>9</v>
      </c>
      <c r="C317" t="s">
        <v>132</v>
      </c>
      <c r="D317">
        <v>6012362600</v>
      </c>
      <c r="E317" t="s">
        <v>439</v>
      </c>
      <c r="F317" t="s">
        <v>440</v>
      </c>
      <c r="G317" s="5">
        <v>11001</v>
      </c>
      <c r="H317">
        <v>11</v>
      </c>
      <c r="I317">
        <v>7490</v>
      </c>
    </row>
    <row r="318" spans="1:9" x14ac:dyDescent="0.25">
      <c r="A318">
        <v>1082985982</v>
      </c>
      <c r="B318" t="str">
        <f>[2]!dv(A318)</f>
        <v>3</v>
      </c>
      <c r="C318" t="s">
        <v>133</v>
      </c>
      <c r="D318">
        <v>6012362600</v>
      </c>
      <c r="E318" t="s">
        <v>439</v>
      </c>
      <c r="F318" t="s">
        <v>440</v>
      </c>
      <c r="G318" s="5">
        <v>11001</v>
      </c>
      <c r="H318">
        <v>33</v>
      </c>
      <c r="I318">
        <v>7490</v>
      </c>
    </row>
    <row r="319" spans="1:9" x14ac:dyDescent="0.25">
      <c r="A319">
        <v>800007813</v>
      </c>
      <c r="B319" t="str">
        <f>[2]!dv(A319)</f>
        <v>5</v>
      </c>
      <c r="C319" t="s">
        <v>134</v>
      </c>
      <c r="D319">
        <f>VLOOKUP(A319,[1]!Tabla1[[Conc.búsq.]:[Teléfono 2]],12,0)</f>
        <v>3485500</v>
      </c>
      <c r="E319" t="str">
        <f>VLOOKUP(A319,[1]!Tabla1[#Data],15,0)</f>
        <v>scastriillon@grupovanti.com</v>
      </c>
      <c r="F319" t="str">
        <f>VLOOKUP(A319,[1]!Tabla1[#Data],10,0)</f>
        <v>CL 71 A 5 38</v>
      </c>
      <c r="G319" s="5">
        <v>11001</v>
      </c>
      <c r="H319">
        <v>6</v>
      </c>
      <c r="I319">
        <v>7490</v>
      </c>
    </row>
    <row r="320" spans="1:9" x14ac:dyDescent="0.25">
      <c r="A320">
        <v>830020109</v>
      </c>
      <c r="B320" t="str">
        <f>[2]!dv(A320)</f>
        <v>0</v>
      </c>
      <c r="C320" t="s">
        <v>204</v>
      </c>
      <c r="D320">
        <f>VLOOKUP(A320,[1]!Tabla1[[Conc.búsq.]:[Teléfono 2]],12,0)</f>
        <v>7868666</v>
      </c>
      <c r="E320" t="str">
        <f>VLOOKUP(A320,[1]!Tabla1[#Data],15,0)</f>
        <v>notificaciones@varichem.com</v>
      </c>
      <c r="F320" t="str">
        <f>VLOOKUP(A320,[1]!Tabla1[#Data],10,0)</f>
        <v>CR 18 84 84 OF 601</v>
      </c>
      <c r="G320" s="5">
        <v>11001</v>
      </c>
      <c r="H320">
        <v>2766160</v>
      </c>
      <c r="I320">
        <v>7490</v>
      </c>
    </row>
    <row r="321" spans="1:9" x14ac:dyDescent="0.25">
      <c r="A321">
        <v>1056780112</v>
      </c>
      <c r="B321" t="str">
        <f>[2]!dv(A321)</f>
        <v>7</v>
      </c>
      <c r="C321" t="s">
        <v>135</v>
      </c>
      <c r="D321">
        <v>6012362600</v>
      </c>
      <c r="E321" t="s">
        <v>439</v>
      </c>
      <c r="F321" t="s">
        <v>440</v>
      </c>
      <c r="G321" s="5">
        <v>11001</v>
      </c>
      <c r="H321">
        <v>810</v>
      </c>
      <c r="I321">
        <v>7490</v>
      </c>
    </row>
    <row r="322" spans="1:9" x14ac:dyDescent="0.25">
      <c r="A322">
        <v>900323811</v>
      </c>
      <c r="B322" t="str">
        <f>[2]!dv(A322)</f>
        <v>8</v>
      </c>
      <c r="C322" t="s">
        <v>48</v>
      </c>
      <c r="D322">
        <f>VLOOKUP(A322,[1]!Tabla1[[Conc.búsq.]:[Teléfono 2]],12,0)</f>
        <v>7941793</v>
      </c>
      <c r="E322" t="str">
        <f>VLOOKUP(A322,[1]!Tabla1[#Data],15,0)</f>
        <v>german.castano@worley.com</v>
      </c>
      <c r="F322" t="str">
        <f>VLOOKUP(A322,[1]!Tabla1[#Data],10,0)</f>
        <v>CR 12 A 78 40 P 10</v>
      </c>
      <c r="G322" s="5">
        <v>11001</v>
      </c>
      <c r="H322">
        <v>4</v>
      </c>
      <c r="I322">
        <v>7490</v>
      </c>
    </row>
    <row r="323" spans="1:9" x14ac:dyDescent="0.25">
      <c r="A323">
        <v>9070018</v>
      </c>
      <c r="B323" t="str">
        <f>[2]!dv(A323)</f>
        <v>4</v>
      </c>
      <c r="C323" t="s">
        <v>136</v>
      </c>
      <c r="D323">
        <v>6012362600</v>
      </c>
      <c r="E323" t="s">
        <v>439</v>
      </c>
      <c r="F323" t="s">
        <v>440</v>
      </c>
      <c r="G323" s="5">
        <v>11001</v>
      </c>
      <c r="H323">
        <v>328843</v>
      </c>
      <c r="I323">
        <v>7490</v>
      </c>
    </row>
  </sheetData>
  <autoFilter ref="A11:I323" xr:uid="{24DC293C-0E0D-4971-81BF-213D63408A54}"/>
  <mergeCells count="1">
    <mergeCell ref="A8:I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Valles Romero - INERCO</dc:creator>
  <cp:lastModifiedBy>Sandra Milena Valles Romero - INERCO</cp:lastModifiedBy>
  <dcterms:created xsi:type="dcterms:W3CDTF">2025-07-02T20:09:52Z</dcterms:created>
  <dcterms:modified xsi:type="dcterms:W3CDTF">2025-07-02T21:06:29Z</dcterms:modified>
</cp:coreProperties>
</file>