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Gerente\e\disco c\IVA 2024\LANCEROS SAS\"/>
    </mc:Choice>
  </mc:AlternateContent>
  <xr:revisionPtr revIDLastSave="0" documentId="8_{563F8BB7-77AC-4CBB-96A6-6EF9787642C9}" xr6:coauthVersionLast="45" xr6:coauthVersionMax="45" xr10:uidLastSave="{00000000-0000-0000-0000-000000000000}"/>
  <bookViews>
    <workbookView xWindow="-120" yWindow="-120" windowWidth="20730" windowHeight="11160" xr2:uid="{FFFB2BD5-7800-4B4D-8CA6-AFFF0BAFC7D7}"/>
  </bookViews>
  <sheets>
    <sheet name="PFE5" sheetId="1" r:id="rId1"/>
  </sheets>
  <externalReferences>
    <externalReference r:id="rId2"/>
  </externalReferences>
  <definedNames>
    <definedName name="MiLista" localSheetId="0">#REF!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0" i="1" l="1"/>
  <c r="I10" i="1"/>
  <c r="J9" i="1"/>
  <c r="I9" i="1"/>
  <c r="J7" i="1"/>
  <c r="I7" i="1"/>
</calcChain>
</file>

<file path=xl/sharedStrings.xml><?xml version="1.0" encoding="utf-8"?>
<sst xmlns="http://schemas.openxmlformats.org/spreadsheetml/2006/main" count="53" uniqueCount="49">
  <si>
    <t>NIT O CÉDULA DEL  INFORMANTE</t>
  </si>
  <si>
    <t>RAZÓN SOCIAL O NOMBRE DEL INFORMANTE</t>
  </si>
  <si>
    <t>EMPRESA DE TRANSPORTE LANCEROS SAS</t>
  </si>
  <si>
    <t>VIGENCIA A REPORTAR</t>
  </si>
  <si>
    <t>FECHA DE ENVÍO</t>
  </si>
  <si>
    <t>24 DE JUNIO 2025</t>
  </si>
  <si>
    <t>NIT / CC DEL PROVEEDOR</t>
  </si>
  <si>
    <t>DV</t>
  </si>
  <si>
    <t xml:space="preserve">NOMBRE O RAZON SOCIAL DEL PROVEEDOR </t>
  </si>
  <si>
    <t xml:space="preserve">CORREO ELECTRÓNICO </t>
  </si>
  <si>
    <t xml:space="preserve">TELÉFONO </t>
  </si>
  <si>
    <t>DIRECCIÓN DOMICILIO FISCAL</t>
  </si>
  <si>
    <t>CÓDIGO DEL MUNICIPIO</t>
  </si>
  <si>
    <t>CÓDIGO ACTIVIDAD DEL BIEN O SERVICIO ADQUIRIDO</t>
  </si>
  <si>
    <t xml:space="preserve">VALOR FACTURADO CONSOLIDADO POR ACTIVIDAD ECONÓMICA </t>
  </si>
  <si>
    <t>RETENCIÓN PRACTICADA</t>
  </si>
  <si>
    <t>DEVOLUCIONES REBAJAS Y DESCUENTOS</t>
  </si>
  <si>
    <t>826000697</t>
  </si>
  <si>
    <t>CENTRALCO SAS</t>
  </si>
  <si>
    <t>mateusgladys@hotmail.com</t>
  </si>
  <si>
    <t>AUT NORTE SALIDA PAIPA TUNJA</t>
  </si>
  <si>
    <t>900040852</t>
  </si>
  <si>
    <t>FANINE &amp; RPA LIMITADA</t>
  </si>
  <si>
    <t>hotelfaninepaipa@hotmail.com</t>
  </si>
  <si>
    <t>CL 25 5 18</t>
  </si>
  <si>
    <t>900513538</t>
  </si>
  <si>
    <t>C.I. TECA PETROLEUM COMPANY SAS</t>
  </si>
  <si>
    <t>contabilidad1@tecatransportes.com</t>
  </si>
  <si>
    <t>DG 16 112 15 I N 2</t>
  </si>
  <si>
    <t>901138291</t>
  </si>
  <si>
    <t>EDS ESTACION LA TURISTICA DE PAIPA SAS</t>
  </si>
  <si>
    <t>TURISTICA@OUTLOOK.COM</t>
  </si>
  <si>
    <t>CR 19 26 45</t>
  </si>
  <si>
    <t>901145641</t>
  </si>
  <si>
    <t>CDA LANCEROS S.AS</t>
  </si>
  <si>
    <t>cdaloslanceros@hotmail.com</t>
  </si>
  <si>
    <t>AV LIBERTADORES 10C 45</t>
  </si>
  <si>
    <t>CI TECA PETROLEUM COMPANY SAS</t>
  </si>
  <si>
    <t>admonedscarboneros@gmail.com</t>
  </si>
  <si>
    <t>KM 4 VIA PAIPA TUNJA</t>
  </si>
  <si>
    <t>891855859</t>
  </si>
  <si>
    <t>INVERSIONES Y PROMOCIONES SAS</t>
  </si>
  <si>
    <t>jefe.patio@inprosas.co</t>
  </si>
  <si>
    <t>CR 18 10 21</t>
  </si>
  <si>
    <t>KM 4 VIA PAIPA TUNJ</t>
  </si>
  <si>
    <t>901212557</t>
  </si>
  <si>
    <t>OIL Y SERVICES SAS</t>
  </si>
  <si>
    <t>granviapaipa@gmail.com</t>
  </si>
  <si>
    <t>AV LIBERTADORES 23 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</si>
</sst>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Protection="1">
      <protection locked="0"/>
    </xf>
    <xf numFmtId="0" fontId="1" fillId="3" borderId="0" xfId="0" applyFont="1" applyFill="1"/>
    <xf numFmtId="0" fontId="0" fillId="3" borderId="1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1" fillId="0" borderId="0" xfId="0" applyFont="1"/>
    <xf numFmtId="0" fontId="0" fillId="0" borderId="1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1" fillId="2" borderId="0" xfId="0" applyFont="1" applyFill="1"/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1" fontId="1" fillId="4" borderId="5" xfId="0" applyNumberFormat="1" applyFont="1" applyFill="1" applyBorder="1" applyAlignment="1">
      <alignment horizontal="center" vertical="center" wrapText="1"/>
    </xf>
    <xf numFmtId="1" fontId="1" fillId="4" borderId="5" xfId="0" applyNumberFormat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/>
    </xf>
    <xf numFmtId="38" fontId="2" fillId="0" borderId="5" xfId="0" applyNumberFormat="1" applyFont="1" applyBorder="1" applyProtection="1">
      <protection locked="0"/>
    </xf>
    <xf numFmtId="0" fontId="0" fillId="0" borderId="5" xfId="0" applyBorder="1" applyProtection="1">
      <protection locked="0"/>
    </xf>
    <xf numFmtId="0" fontId="3" fillId="0" borderId="5" xfId="1" applyFill="1" applyBorder="1" applyProtection="1">
      <protection locked="0"/>
    </xf>
    <xf numFmtId="0" fontId="0" fillId="0" borderId="0" xfId="0" applyProtection="1">
      <protection locked="0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84F8CEA-6E99-4ADB-9760-F7D7F42A7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2116922" cy="15912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FE1%20PFE5%20EXOGENA%20PAIPA%20LANCEROS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FE1"/>
      <sheetName val="PFE5"/>
      <sheetName val="Actividades"/>
      <sheetName val="Municipios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71408-A5B2-4569-98BF-4E05E848FDC3}">
  <dimension ref="A1:EP15"/>
  <sheetViews>
    <sheetView tabSelected="1" zoomScale="85" zoomScaleNormal="85" workbookViewId="0">
      <pane ySplit="6" topLeftCell="A7" activePane="bottomLeft" state="frozen"/>
      <selection pane="bottomLeft" activeCell="D5" sqref="D5:F5"/>
    </sheetView>
  </sheetViews>
  <sheetFormatPr baseColWidth="10" defaultColWidth="8.85546875" defaultRowHeight="15" x14ac:dyDescent="0.25"/>
  <cols>
    <col min="1" max="1" width="13.7109375" style="19" customWidth="1"/>
    <col min="2" max="2" width="8.85546875" style="19"/>
    <col min="3" max="3" width="17" style="19" bestFit="1" customWidth="1"/>
    <col min="4" max="4" width="20.7109375" style="19" bestFit="1" customWidth="1"/>
    <col min="5" max="5" width="11.28515625" style="19" customWidth="1"/>
    <col min="6" max="6" width="19.42578125" style="19" customWidth="1"/>
    <col min="7" max="7" width="22.42578125" style="19" bestFit="1" customWidth="1"/>
    <col min="8" max="8" width="21.28515625" style="19" bestFit="1" customWidth="1"/>
    <col min="9" max="9" width="21.7109375" style="19" customWidth="1"/>
    <col min="10" max="10" width="11.85546875" style="19" bestFit="1" customWidth="1"/>
    <col min="11" max="11" width="14" style="19" customWidth="1"/>
    <col min="12" max="12" width="19.28515625" style="2" customWidth="1"/>
    <col min="13" max="13" width="19.5703125" style="2" customWidth="1"/>
    <col min="14" max="146" width="8.85546875" style="2"/>
    <col min="147" max="16384" width="8.85546875" style="19"/>
  </cols>
  <sheetData>
    <row r="1" spans="1:11" ht="137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3" t="s">
        <v>0</v>
      </c>
      <c r="B2" s="3"/>
      <c r="C2" s="3"/>
      <c r="D2" s="4">
        <v>901101928</v>
      </c>
      <c r="E2" s="5"/>
      <c r="F2" s="5"/>
      <c r="G2" s="2"/>
      <c r="H2" s="2"/>
      <c r="I2" s="2"/>
      <c r="J2" s="2"/>
      <c r="K2" s="2"/>
    </row>
    <row r="3" spans="1:11" x14ac:dyDescent="0.25">
      <c r="A3" s="6" t="s">
        <v>1</v>
      </c>
      <c r="B3" s="6"/>
      <c r="C3" s="6"/>
      <c r="D3" s="7" t="s">
        <v>2</v>
      </c>
      <c r="E3" s="8"/>
      <c r="F3" s="8"/>
      <c r="G3" s="2"/>
      <c r="H3" s="2"/>
      <c r="I3" s="2"/>
      <c r="J3" s="2"/>
      <c r="K3" s="2"/>
    </row>
    <row r="4" spans="1:11" x14ac:dyDescent="0.25">
      <c r="A4" s="3" t="s">
        <v>3</v>
      </c>
      <c r="B4" s="3"/>
      <c r="C4" s="3"/>
      <c r="D4" s="4">
        <v>2024</v>
      </c>
      <c r="E4" s="5"/>
      <c r="F4" s="5"/>
      <c r="G4" s="2"/>
      <c r="H4" s="2"/>
      <c r="I4" s="2"/>
      <c r="J4" s="2"/>
      <c r="K4" s="2"/>
    </row>
    <row r="5" spans="1:11" x14ac:dyDescent="0.25">
      <c r="A5" s="9" t="s">
        <v>4</v>
      </c>
      <c r="B5" s="9"/>
      <c r="C5" s="9"/>
      <c r="D5" s="10" t="s">
        <v>5</v>
      </c>
      <c r="E5" s="11"/>
      <c r="F5" s="11"/>
      <c r="G5" s="2"/>
      <c r="H5" s="2"/>
      <c r="I5" s="2"/>
      <c r="J5" s="2"/>
      <c r="K5" s="2"/>
    </row>
    <row r="6" spans="1:11" ht="60" x14ac:dyDescent="0.25">
      <c r="A6" s="12" t="s">
        <v>6</v>
      </c>
      <c r="B6" s="13" t="s">
        <v>7</v>
      </c>
      <c r="C6" s="14" t="s">
        <v>8</v>
      </c>
      <c r="D6" s="15" t="s">
        <v>9</v>
      </c>
      <c r="E6" s="13" t="s">
        <v>10</v>
      </c>
      <c r="F6" s="14" t="s">
        <v>11</v>
      </c>
      <c r="G6" s="13" t="s">
        <v>12</v>
      </c>
      <c r="H6" s="12" t="s">
        <v>13</v>
      </c>
      <c r="I6" s="12" t="s">
        <v>14</v>
      </c>
      <c r="J6" s="12" t="s">
        <v>15</v>
      </c>
      <c r="K6" s="12" t="s">
        <v>16</v>
      </c>
    </row>
    <row r="7" spans="1:11" x14ac:dyDescent="0.25">
      <c r="A7" s="16" t="s">
        <v>17</v>
      </c>
      <c r="B7" s="17">
        <v>1</v>
      </c>
      <c r="C7" s="16" t="s">
        <v>18</v>
      </c>
      <c r="D7" s="18" t="s">
        <v>19</v>
      </c>
      <c r="E7" s="17">
        <v>7850266</v>
      </c>
      <c r="F7" s="17" t="s">
        <v>20</v>
      </c>
      <c r="G7" s="17">
        <v>15516</v>
      </c>
      <c r="H7" s="17">
        <v>4731</v>
      </c>
      <c r="I7" s="17">
        <f>205290+100000+140000+388007</f>
        <v>833297</v>
      </c>
      <c r="J7" s="17">
        <f>1848+900+1260+3492</f>
        <v>7500</v>
      </c>
      <c r="K7" s="19">
        <v>0</v>
      </c>
    </row>
    <row r="8" spans="1:11" x14ac:dyDescent="0.25">
      <c r="A8" s="16" t="s">
        <v>21</v>
      </c>
      <c r="B8" s="17">
        <v>4</v>
      </c>
      <c r="C8" s="17" t="s">
        <v>22</v>
      </c>
      <c r="D8" s="18" t="s">
        <v>23</v>
      </c>
      <c r="E8" s="17">
        <v>7850519</v>
      </c>
      <c r="F8" s="17" t="s">
        <v>24</v>
      </c>
      <c r="G8" s="17">
        <v>15516</v>
      </c>
      <c r="H8" s="17">
        <v>5611</v>
      </c>
      <c r="I8" s="17">
        <v>20000</v>
      </c>
      <c r="J8" s="17">
        <v>140</v>
      </c>
      <c r="K8" s="19">
        <v>0</v>
      </c>
    </row>
    <row r="9" spans="1:11" x14ac:dyDescent="0.25">
      <c r="A9" s="16" t="s">
        <v>25</v>
      </c>
      <c r="B9" s="17">
        <v>7</v>
      </c>
      <c r="C9" s="16" t="s">
        <v>26</v>
      </c>
      <c r="D9" s="18" t="s">
        <v>27</v>
      </c>
      <c r="E9" s="17">
        <v>2677633</v>
      </c>
      <c r="F9" s="17" t="s">
        <v>28</v>
      </c>
      <c r="G9" s="17">
        <v>15516</v>
      </c>
      <c r="H9" s="17">
        <v>4731</v>
      </c>
      <c r="I9" s="17">
        <f>1349340+1008280+326885+1321064</f>
        <v>4005569</v>
      </c>
      <c r="J9" s="17">
        <f>12144+9075+2942+11890</f>
        <v>36051</v>
      </c>
      <c r="K9" s="19">
        <v>0</v>
      </c>
    </row>
    <row r="10" spans="1:11" x14ac:dyDescent="0.25">
      <c r="A10" s="16" t="s">
        <v>29</v>
      </c>
      <c r="B10" s="17">
        <v>9</v>
      </c>
      <c r="C10" s="16" t="s">
        <v>30</v>
      </c>
      <c r="D10" s="18" t="s">
        <v>31</v>
      </c>
      <c r="E10" s="17">
        <v>3124989156</v>
      </c>
      <c r="F10" s="17" t="s">
        <v>32</v>
      </c>
      <c r="G10" s="17">
        <v>15516</v>
      </c>
      <c r="H10" s="17">
        <v>4731</v>
      </c>
      <c r="I10" s="17">
        <f>130000+139045+164909+100000+100000+50000</f>
        <v>683954</v>
      </c>
      <c r="J10" s="17">
        <f>1170+1251+1484+900+900+450</f>
        <v>6155</v>
      </c>
      <c r="K10" s="19">
        <v>0</v>
      </c>
    </row>
    <row r="11" spans="1:11" x14ac:dyDescent="0.25">
      <c r="A11" s="16" t="s">
        <v>33</v>
      </c>
      <c r="B11" s="17">
        <v>2</v>
      </c>
      <c r="C11" s="16" t="s">
        <v>34</v>
      </c>
      <c r="D11" s="18" t="s">
        <v>35</v>
      </c>
      <c r="E11" s="17"/>
      <c r="F11" s="17" t="s">
        <v>36</v>
      </c>
      <c r="G11" s="17">
        <v>15516</v>
      </c>
      <c r="H11" s="17">
        <v>4520</v>
      </c>
      <c r="I11" s="17">
        <v>246425</v>
      </c>
      <c r="J11" s="17">
        <v>1725</v>
      </c>
      <c r="K11" s="19">
        <v>0</v>
      </c>
    </row>
    <row r="12" spans="1:11" x14ac:dyDescent="0.25">
      <c r="A12" s="16" t="s">
        <v>25</v>
      </c>
      <c r="B12" s="17">
        <v>7</v>
      </c>
      <c r="C12" s="16" t="s">
        <v>37</v>
      </c>
      <c r="D12" s="18" t="s">
        <v>38</v>
      </c>
      <c r="E12" s="17">
        <v>3102970314</v>
      </c>
      <c r="F12" s="17" t="s">
        <v>39</v>
      </c>
      <c r="G12" s="17">
        <v>15516</v>
      </c>
      <c r="H12" s="17">
        <v>4731</v>
      </c>
      <c r="I12" s="17">
        <v>560993</v>
      </c>
      <c r="J12" s="17">
        <v>5049</v>
      </c>
      <c r="K12" s="19">
        <v>0</v>
      </c>
    </row>
    <row r="13" spans="1:11" x14ac:dyDescent="0.25">
      <c r="A13" s="16" t="s">
        <v>40</v>
      </c>
      <c r="B13" s="17">
        <v>1</v>
      </c>
      <c r="C13" s="16" t="s">
        <v>41</v>
      </c>
      <c r="D13" s="18" t="s">
        <v>42</v>
      </c>
      <c r="E13" s="17"/>
      <c r="F13" s="17" t="s">
        <v>43</v>
      </c>
      <c r="G13" s="17">
        <v>15516</v>
      </c>
      <c r="H13" s="17">
        <v>4520</v>
      </c>
      <c r="I13" s="17">
        <v>36975</v>
      </c>
      <c r="J13" s="17">
        <v>259</v>
      </c>
      <c r="K13" s="19">
        <v>0</v>
      </c>
    </row>
    <row r="14" spans="1:11" x14ac:dyDescent="0.25">
      <c r="A14" s="16" t="s">
        <v>25</v>
      </c>
      <c r="B14" s="17">
        <v>7</v>
      </c>
      <c r="C14" s="16" t="s">
        <v>37</v>
      </c>
      <c r="D14" s="18" t="s">
        <v>38</v>
      </c>
      <c r="E14" s="17">
        <v>3102970314</v>
      </c>
      <c r="F14" s="17" t="s">
        <v>44</v>
      </c>
      <c r="G14" s="17">
        <v>15516</v>
      </c>
      <c r="H14" s="17">
        <v>4731</v>
      </c>
      <c r="I14" s="17">
        <v>1298455</v>
      </c>
      <c r="J14" s="17">
        <v>11686</v>
      </c>
      <c r="K14" s="19">
        <v>0</v>
      </c>
    </row>
    <row r="15" spans="1:11" x14ac:dyDescent="0.25">
      <c r="A15" s="16" t="s">
        <v>45</v>
      </c>
      <c r="B15" s="17">
        <v>9</v>
      </c>
      <c r="C15" s="16" t="s">
        <v>46</v>
      </c>
      <c r="D15" s="18" t="s">
        <v>47</v>
      </c>
      <c r="E15" s="17">
        <v>3162581953</v>
      </c>
      <c r="F15" s="17" t="s">
        <v>48</v>
      </c>
      <c r="G15" s="17">
        <v>15516</v>
      </c>
      <c r="H15" s="17">
        <v>4731</v>
      </c>
      <c r="I15" s="17">
        <v>120000</v>
      </c>
      <c r="J15" s="17">
        <v>1080</v>
      </c>
      <c r="K15" s="1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A1:K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PFE5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2025-06-24T19:26:31Z</dcterms:created>
  <dcterms:modified xsi:type="dcterms:W3CDTF">2025-06-24T19:27:10Z</dcterms:modified>
</cp:coreProperties>
</file>