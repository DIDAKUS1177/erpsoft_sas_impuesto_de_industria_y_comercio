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640" windowHeight="1116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1" i="1" l="1"/>
  <c r="I330" i="1"/>
  <c r="I299" i="1"/>
  <c r="I208" i="1"/>
  <c r="I124" i="1"/>
  <c r="I93" i="1"/>
  <c r="I88" i="1"/>
</calcChain>
</file>

<file path=xl/sharedStrings.xml><?xml version="1.0" encoding="utf-8"?>
<sst xmlns="http://schemas.openxmlformats.org/spreadsheetml/2006/main" count="3460" uniqueCount="3279">
  <si>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</si>
  <si>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</si>
  <si>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</si>
  <si>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</si>
  <si>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</si>
  <si>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</si>
  <si>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</si>
  <si>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</si>
  <si>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</si>
  <si>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</si>
  <si>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</si>
  <si>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</si>
  <si>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</si>
  <si>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</si>
  <si>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</si>
  <si>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</si>
  <si>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</si>
  <si>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</si>
  <si>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</si>
  <si>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</si>
  <si>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</si>
  <si>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</si>
  <si>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</si>
  <si>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</si>
  <si>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</si>
  <si>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</si>
  <si>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</si>
  <si>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</si>
  <si>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</si>
  <si>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</si>
  <si>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</si>
  <si>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</si>
  <si>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</si>
  <si>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</si>
  <si>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</si>
  <si>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</si>
  <si>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</si>
  <si>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</si>
  <si>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</si>
  <si>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</si>
  <si>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</si>
  <si>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</si>
  <si>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</si>
  <si>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</si>
  <si>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</si>
  <si>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</si>
  <si>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</si>
  <si>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</si>
  <si>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</si>
  <si>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</si>
  <si>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</si>
  <si>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</si>
  <si>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</si>
  <si>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</si>
  <si>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</si>
  <si>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</si>
  <si>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</si>
  <si>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</si>
  <si>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</si>
  <si>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</si>
  <si>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</si>
  <si>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</si>
  <si>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</si>
  <si>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</si>
  <si>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</si>
  <si>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</si>
  <si>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</si>
  <si>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</si>
  <si>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</si>
  <si>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</si>
  <si>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</si>
  <si>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</si>
  <si>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</si>
  <si>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</si>
  <si>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</si>
  <si>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</si>
  <si>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</si>
  <si>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</si>
  <si>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</si>
  <si>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</si>
  <si>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</si>
  <si>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</si>
  <si>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</si>
  <si>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</si>
  <si>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</si>
  <si>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</si>
  <si>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</si>
  <si>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</si>
  <si>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</si>
  <si>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</si>
  <si>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</si>
  <si>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</si>
  <si>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</si>
  <si>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</si>
  <si>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</si>
  <si>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</si>
  <si>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</si>
  <si>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</si>
  <si>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</si>
  <si>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</si>
  <si>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</si>
  <si>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</si>
  <si>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</si>
  <si>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</si>
  <si>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</si>
  <si>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</si>
  <si>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</si>
  <si>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</si>
  <si>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</si>
  <si>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</si>
  <si>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</si>
  <si>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</si>
  <si>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</si>
  <si>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</si>
  <si>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</si>
  <si>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</si>
  <si>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</si>
  <si>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</si>
  <si>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</si>
  <si>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</si>
  <si>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</si>
  <si>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</si>
  <si>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</si>
  <si>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</si>
  <si>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</si>
  <si>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</si>
  <si>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</si>
  <si>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</si>
  <si>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</si>
  <si>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</si>
  <si>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</si>
  <si>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</si>
  <si>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</si>
  <si>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</si>
  <si>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</si>
  <si>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</si>
  <si>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</si>
  <si>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</si>
  <si>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</si>
  <si>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</si>
  <si>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</si>
  <si>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</si>
  <si>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</si>
  <si>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</si>
  <si>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</si>
  <si>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</si>
  <si>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</si>
  <si>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</si>
  <si>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</si>
  <si>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</si>
  <si>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</si>
  <si>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</si>
  <si>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</si>
  <si>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</si>
  <si>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</si>
  <si>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</si>
  <si>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</si>
  <si>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</si>
  <si>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</si>
  <si>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</si>
  <si>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</si>
  <si>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</si>
  <si>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</si>
  <si>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</si>
  <si>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</si>
  <si>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</si>
  <si>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</si>
  <si>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</si>
  <si>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</si>
  <si>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</si>
  <si>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</si>
  <si>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</si>
  <si>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</si>
  <si>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</si>
  <si>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</si>
  <si>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</si>
  <si>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</si>
  <si>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</si>
  <si>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</si>
  <si>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</si>
  <si>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</si>
  <si>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</si>
  <si>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</si>
  <si>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</si>
  <si>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</si>
  <si>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</si>
  <si>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</si>
  <si>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</si>
  <si>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</si>
  <si>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</si>
  <si>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</si>
  <si>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</si>
  <si>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</si>
  <si>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</si>
  <si>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</si>
  <si>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</si>
  <si>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</si>
  <si>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</si>
  <si>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</si>
  <si>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</si>
  <si>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</si>
  <si>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</si>
  <si>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</si>
  <si>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</si>
  <si>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</si>
  <si>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</si>
  <si>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</si>
  <si>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</si>
  <si>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</si>
  <si>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</si>
  <si>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</si>
  <si>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</si>
  <si>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</si>
  <si>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</si>
  <si>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</si>
  <si>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</si>
  <si>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</si>
  <si>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</si>
  <si>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</si>
  <si>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</si>
  <si>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</si>
  <si>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</si>
  <si>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</si>
  <si>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</si>
  <si>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</si>
  <si>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</si>
  <si>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</si>
  <si>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</si>
  <si>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</si>
  <si>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</si>
  <si>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</si>
  <si>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</si>
  <si>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</si>
  <si>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</si>
  <si>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</si>
  <si>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</si>
  <si>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</si>
  <si>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</si>
  <si>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</si>
  <si>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</si>
  <si>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</si>
  <si>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</si>
  <si>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</si>
  <si>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</si>
  <si>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</si>
  <si>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</si>
  <si>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</si>
  <si>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</si>
  <si>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</si>
  <si>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</si>
  <si>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</si>
  <si>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</si>
  <si>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</si>
  <si>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</si>
  <si>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</si>
  <si>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</si>
  <si>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</si>
  <si>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</si>
  <si>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</si>
  <si>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</si>
  <si>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</si>
  <si>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</si>
  <si>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</si>
  <si>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</si>
  <si>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</si>
  <si>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</si>
  <si>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</si>
  <si>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</si>
  <si>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</si>
  <si>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</si>
  <si>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</si>
  <si>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</si>
  <si>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</si>
  <si>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</si>
  <si>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</si>
  <si>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</si>
  <si>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</si>
  <si>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</si>
  <si>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</si>
  <si>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</si>
  <si>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</si>
  <si>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</si>
  <si>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</si>
  <si>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</si>
  <si>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</si>
  <si>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</si>
  <si>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</si>
  <si>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</si>
  <si>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</si>
  <si>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</si>
  <si>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</si>
  <si>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</si>
  <si>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</si>
  <si>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</si>
  <si>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</si>
  <si>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</si>
  <si>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</si>
  <si>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</si>
  <si>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</si>
  <si>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</si>
  <si>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</si>
  <si>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</si>
  <si>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</si>
  <si>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</si>
  <si>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</si>
  <si>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</si>
  <si>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</si>
  <si>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</si>
  <si>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</si>
  <si>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</si>
  <si>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</si>
  <si>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</si>
  <si>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</si>
  <si>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</si>
  <si>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</si>
  <si>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</si>
  <si>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</si>
  <si>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</si>
  <si>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</si>
  <si>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</si>
  <si>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</si>
  <si>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</si>
  <si>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</si>
  <si>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</si>
  <si>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</si>
  <si>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</si>
  <si>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</si>
  <si>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</si>
  <si>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</si>
  <si>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</si>
  <si>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</si>
  <si>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</si>
  <si>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</si>
  <si>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</si>
  <si>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</si>
  <si>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</si>
  <si>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</si>
  <si>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</si>
  <si>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</si>
  <si>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</si>
  <si>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</si>
  <si>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</si>
  <si>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</si>
  <si>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</si>
  <si>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</si>
  <si>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</si>
  <si>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</si>
  <si>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</si>
  <si>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</si>
  <si>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</si>
  <si>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</si>
  <si>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</si>
  <si>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</si>
  <si>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</si>
  <si>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</si>
  <si>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</si>
  <si>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</si>
  <si>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</si>
  <si>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</si>
  <si>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</si>
  <si>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</si>
  <si>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</si>
  <si>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</si>
  <si>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</si>
  <si>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</si>
  <si>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</si>
  <si>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</si>
  <si>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</si>
  <si>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</si>
  <si>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</si>
  <si>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</si>
  <si>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</si>
  <si>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</si>
  <si>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</si>
  <si>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</si>
  <si>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</si>
  <si>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</si>
  <si>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</si>
  <si>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</si>
  <si>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</si>
  <si>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</si>
  <si>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</si>
  <si>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</si>
  <si>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</si>
  <si>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</si>
  <si>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</si>
  <si>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</si>
  <si>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</si>
  <si>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</si>
  <si>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</si>
  <si>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</si>
  <si>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</si>
  <si>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</si>
  <si>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</si>
  <si>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</si>
  <si>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</si>
  <si>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</si>
  <si>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</si>
  <si>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</si>
  <si>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</si>
  <si>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</si>
  <si>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</si>
  <si>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</si>
  <si>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</si>
  <si>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</si>
  <si>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</si>
  <si>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</si>
  <si>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</si>
  <si>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</si>
  <si>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</si>
  <si>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</si>
  <si>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</si>
  <si>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</si>
  <si>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</si>
  <si>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</si>
  <si>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</si>
  <si>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</si>
  <si>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</si>
  <si>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</si>
  <si>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</si>
  <si>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</si>
  <si>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</si>
  <si>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</si>
  <si>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</si>
  <si>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</si>
  <si>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</si>
  <si>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</si>
  <si>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</si>
  <si>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</si>
  <si>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</si>
  <si>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</si>
  <si>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</si>
  <si>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</si>
  <si>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</si>
  <si>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</si>
  <si>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</si>
  <si>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</si>
  <si>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</si>
  <si>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</si>
  <si>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</si>
  <si>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</si>
  <si>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</si>
  <si>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</si>
  <si>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</si>
  <si>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</si>
  <si>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</si>
  <si>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</si>
  <si>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</si>
  <si>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</si>
  <si>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</si>
  <si>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</si>
  <si>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</si>
  <si>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</si>
  <si>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</si>
  <si>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</si>
  <si>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</si>
  <si>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</si>
  <si>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</si>
  <si>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</si>
  <si>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</si>
  <si>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</si>
  <si>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</si>
  <si>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</si>
  <si>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</si>
  <si>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</si>
  <si>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</si>
  <si>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</si>
  <si>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</si>
  <si>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</si>
  <si>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</si>
  <si>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</si>
  <si>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</si>
  <si>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</si>
  <si>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</si>
  <si>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</si>
  <si>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</si>
  <si>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</si>
  <si>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</si>
  <si>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</si>
  <si>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</si>
  <si>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</si>
  <si>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</si>
  <si>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</si>
  <si>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</si>
  <si>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</si>
  <si>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</si>
  <si>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</si>
  <si>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</si>
  <si>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</si>
  <si>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</si>
  <si>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</si>
  <si>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</si>
  <si>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</si>
  <si>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</si>
  <si>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</si>
  <si>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</si>
  <si>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</si>
  <si>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</si>
  <si>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</si>
  <si>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</si>
  <si>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</si>
  <si>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</si>
  <si>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</si>
  <si>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</si>
  <si>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</si>
  <si>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</si>
  <si>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</si>
  <si>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</si>
  <si>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</si>
  <si>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</si>
  <si>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</si>
  <si>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</si>
  <si>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</si>
  <si>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</si>
  <si>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</si>
  <si>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</si>
  <si>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</si>
  <si>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</si>
  <si>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</si>
  <si>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</si>
  <si>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</si>
  <si>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</si>
  <si>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</si>
  <si>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</si>
  <si>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</si>
  <si>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</si>
  <si>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</si>
  <si>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</si>
  <si>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</si>
  <si>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</si>
  <si>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</si>
  <si>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</si>
  <si>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</si>
  <si>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</si>
  <si>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</si>
  <si>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</si>
  <si>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</si>
  <si>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</si>
  <si>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</si>
  <si>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</si>
  <si>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</si>
  <si>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</si>
  <si>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</si>
  <si>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</si>
  <si>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</si>
  <si>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</si>
  <si>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</si>
  <si>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</si>
  <si>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</si>
  <si>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</si>
  <si>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</si>
  <si>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</si>
  <si>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</si>
  <si>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</si>
  <si>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</si>
  <si>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</si>
  <si>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</si>
  <si>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</si>
  <si>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</si>
  <si>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</si>
  <si>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</si>
  <si>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</si>
  <si>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</si>
  <si>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</si>
  <si>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</si>
  <si>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</si>
  <si>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</si>
  <si>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</si>
  <si>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</si>
  <si>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</si>
  <si>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</si>
  <si>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</si>
  <si>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</si>
  <si>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</si>
  <si>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</si>
  <si>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</si>
  <si>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</si>
  <si>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</si>
  <si>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</si>
  <si>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</si>
  <si>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</si>
  <si>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</si>
  <si>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</si>
  <si>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</si>
  <si>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</si>
  <si>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</si>
  <si>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</si>
  <si>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</si>
  <si>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</si>
  <si>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</si>
  <si>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</si>
  <si>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</si>
  <si>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</si>
  <si>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</si>
  <si>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</si>
  <si>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</si>
  <si>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</si>
  <si>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</si>
  <si>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</si>
  <si>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</si>
  <si>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</si>
  <si>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</si>
  <si>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</si>
  <si>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</si>
  <si>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</si>
  <si>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</si>
  <si>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</si>
  <si>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</si>
  <si>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</si>
  <si>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</si>
  <si>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</si>
  <si>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</si>
  <si>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</si>
  <si>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</si>
  <si>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</si>
  <si>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</si>
  <si>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</si>
  <si>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</si>
  <si>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</si>
  <si>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</si>
  <si>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</si>
  <si>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</si>
  <si>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</si>
  <si>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</si>
  <si>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</si>
  <si>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</si>
  <si>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</si>
  <si>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</si>
  <si>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</si>
  <si>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</si>
  <si>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</si>
  <si>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</si>
  <si>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</si>
  <si>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</si>
  <si>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</si>
  <si>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</si>
  <si>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</si>
  <si>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</si>
  <si>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</si>
  <si>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</si>
  <si>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</si>
  <si>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</si>
  <si>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</si>
  <si>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</si>
  <si>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</si>
  <si>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</si>
  <si>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</si>
  <si>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</si>
  <si>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</si>
  <si>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</si>
  <si>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</si>
  <si>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</si>
  <si>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</si>
  <si>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</si>
  <si>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</si>
  <si>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</si>
  <si>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</si>
  <si>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</si>
  <si>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</si>
  <si>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</si>
  <si>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</si>
  <si>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</si>
  <si>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</si>
  <si>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</si>
  <si>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</si>
  <si>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</si>
  <si>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</si>
  <si>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</si>
  <si>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</si>
  <si>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</si>
  <si>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</si>
  <si>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</si>
  <si>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</si>
  <si>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</si>
  <si>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</si>
  <si>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</si>
  <si>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</si>
  <si>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</si>
  <si>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</si>
  <si>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</si>
  <si>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</si>
  <si>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</si>
  <si>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</si>
  <si>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</si>
  <si>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</si>
  <si>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</si>
  <si>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</si>
  <si>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</si>
  <si>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</si>
  <si>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</si>
  <si>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</si>
  <si>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</si>
  <si>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</si>
  <si>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</si>
  <si>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</si>
  <si>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</si>
  <si>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</si>
  <si>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</si>
  <si>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</si>
  <si>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</si>
  <si>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</si>
  <si>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</si>
  <si>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</si>
  <si>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</si>
  <si>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</si>
  <si>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</si>
  <si>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</si>
  <si>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</si>
  <si>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</si>
  <si>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</si>
  <si>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</si>
  <si>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</si>
  <si>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</si>
  <si>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</si>
  <si>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</si>
  <si>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</si>
  <si>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</si>
  <si>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</si>
  <si>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</si>
  <si>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</si>
  <si>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</si>
  <si>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</si>
  <si>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</si>
  <si>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</si>
  <si>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</si>
  <si>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</si>
  <si>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</si>
  <si>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</si>
  <si>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</si>
  <si>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</si>
  <si>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</si>
  <si>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</si>
  <si>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</si>
  <si>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</si>
  <si>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</si>
  <si>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</si>
  <si>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</si>
  <si>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</si>
  <si>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</si>
  <si>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</si>
  <si>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</si>
  <si>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</si>
  <si>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</si>
  <si>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</si>
  <si>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</si>
  <si>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</si>
  <si>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</si>
  <si>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</si>
  <si>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</si>
  <si>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</si>
  <si>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</si>
  <si>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</si>
  <si>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</si>
  <si>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</si>
  <si>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</si>
  <si>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</si>
  <si>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</si>
  <si>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</si>
  <si>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</si>
  <si>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</si>
  <si>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</si>
  <si>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</si>
  <si>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</si>
  <si>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</si>
  <si>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</si>
  <si>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</si>
  <si>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</si>
  <si>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</si>
  <si>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</si>
  <si>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</si>
  <si>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</si>
  <si>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</si>
  <si>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</si>
  <si>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</si>
  <si>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</si>
  <si>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</si>
  <si>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</si>
  <si>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</si>
  <si>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</si>
  <si>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</si>
  <si>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</si>
  <si>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</si>
  <si>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</si>
  <si>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</si>
  <si>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</si>
  <si>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</si>
  <si>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</si>
  <si>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</si>
  <si>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</si>
  <si>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</si>
  <si>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</si>
  <si>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</si>
  <si>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</si>
  <si>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</si>
  <si>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</si>
  <si>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</si>
  <si>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</si>
  <si>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</si>
  <si>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</si>
  <si>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</si>
  <si>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</si>
  <si>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</si>
  <si>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</si>
  <si>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</si>
  <si>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</si>
  <si>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</si>
  <si>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</si>
  <si>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</si>
  <si>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</si>
  <si>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</si>
  <si>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</si>
  <si>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</si>
  <si>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</si>
  <si>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</si>
  <si>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</si>
  <si>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</si>
  <si>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</si>
  <si>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</si>
  <si>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</si>
  <si>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</si>
  <si>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</si>
  <si>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</si>
  <si>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</si>
  <si>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</si>
  <si>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</si>
  <si>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</si>
  <si>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</si>
  <si>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</si>
  <si>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</si>
  <si>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</si>
  <si>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</si>
  <si>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</si>
  <si>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</si>
  <si>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</si>
  <si>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</si>
  <si>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</si>
  <si>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</si>
  <si>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</si>
  <si>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</si>
  <si>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</si>
  <si>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</si>
  <si>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</si>
  <si>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</si>
  <si>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</si>
  <si>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</si>
  <si>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</si>
  <si>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</si>
  <si>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</si>
  <si>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</si>
  <si>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</si>
  <si>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</si>
  <si>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</si>
  <si>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</si>
  <si>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</si>
  <si>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</si>
  <si>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</si>
  <si>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</si>
  <si>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</si>
  <si>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</si>
  <si>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</si>
  <si>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</si>
  <si>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</si>
  <si>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</si>
  <si>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</si>
  <si>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</si>
  <si>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</si>
  <si>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</si>
  <si>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</si>
  <si>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</si>
  <si>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</si>
  <si>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</si>
  <si>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</si>
  <si>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</si>
  <si>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</si>
  <si>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</si>
  <si>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</si>
  <si>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</si>
  <si>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</si>
  <si>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</si>
  <si>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</si>
  <si>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</si>
  <si>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</si>
  <si>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</si>
  <si>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</si>
  <si>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</si>
  <si>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</si>
  <si>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</si>
  <si>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</si>
  <si>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</si>
  <si>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</si>
  <si>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</si>
  <si>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</si>
  <si>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</si>
  <si>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</si>
  <si>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</si>
  <si>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</si>
  <si>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</si>
  <si>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</si>
  <si>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</si>
  <si>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</si>
  <si>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</si>
  <si>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</si>
  <si>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</si>
  <si>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</si>
  <si>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</si>
  <si>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</si>
  <si>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</si>
  <si>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</si>
  <si>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</si>
  <si>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</si>
  <si>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</si>
  <si>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</si>
  <si>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</si>
  <si>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</si>
  <si>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</si>
  <si>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</si>
  <si>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</si>
  <si>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</si>
  <si>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</si>
  <si>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</si>
  <si>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</si>
  <si>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</si>
  <si>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</si>
  <si>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</si>
  <si>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</si>
  <si>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</si>
  <si>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</si>
  <si>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</si>
  <si>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</si>
  <si>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</si>
  <si>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</si>
  <si>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</si>
  <si>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</si>
  <si>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</si>
  <si>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</si>
  <si>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</si>
  <si>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</si>
  <si>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</si>
  <si>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</si>
  <si>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</si>
  <si>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</si>
  <si>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</si>
  <si>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</si>
  <si>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</si>
  <si>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</si>
  <si>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</si>
  <si>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</si>
  <si>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</si>
  <si>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</si>
  <si>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</si>
  <si>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</si>
  <si>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</si>
  <si>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</si>
  <si>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</si>
  <si>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</si>
  <si>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</si>
  <si>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</si>
  <si>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</si>
  <si>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</si>
  <si>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</si>
  <si>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</si>
  <si>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</si>
  <si>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</si>
  <si>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</si>
  <si>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</si>
  <si>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</si>
  <si>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</si>
  <si>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</si>
  <si>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</si>
  <si>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</si>
  <si>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</si>
  <si>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</si>
  <si>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</si>
  <si>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</si>
  <si>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</si>
  <si>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</si>
  <si>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</si>
  <si>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</si>
  <si>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</si>
  <si>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</si>
  <si>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</si>
  <si>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</si>
  <si>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</si>
  <si>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</si>
  <si>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</si>
  <si>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</si>
  <si>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</si>
  <si>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</si>
  <si>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</si>
  <si>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</si>
  <si>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</si>
  <si>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</si>
  <si>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</si>
  <si>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</si>
  <si>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</si>
  <si>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</si>
  <si>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</si>
  <si>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</si>
  <si>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</si>
  <si>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</si>
  <si>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</si>
  <si>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</si>
  <si>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</si>
  <si>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</si>
  <si>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</si>
  <si>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</si>
  <si>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</si>
  <si>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</si>
  <si>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</si>
  <si>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</si>
  <si>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</si>
  <si>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</si>
  <si>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</si>
  <si>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</si>
  <si>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</si>
  <si>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</si>
  <si>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</si>
  <si>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</si>
  <si>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</si>
  <si>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</si>
  <si>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</si>
  <si>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</si>
  <si>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</si>
  <si>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</si>
  <si>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</si>
  <si>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</si>
  <si>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</si>
  <si>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</si>
  <si>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</si>
  <si>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</si>
  <si>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</si>
  <si>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</si>
  <si>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</si>
  <si>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</si>
  <si>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</si>
  <si>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</si>
  <si>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</si>
  <si>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</si>
  <si>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</si>
  <si>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</si>
  <si>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</si>
  <si>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</si>
  <si>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</si>
  <si>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</si>
  <si>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</si>
  <si>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</si>
  <si>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</si>
  <si>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</si>
  <si>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</si>
  <si>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</si>
  <si>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</si>
  <si>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</si>
  <si>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</si>
  <si>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</si>
  <si>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</si>
  <si>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</si>
  <si>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</si>
  <si>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</si>
  <si>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</si>
  <si>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</si>
  <si>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</si>
  <si>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</si>
  <si>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</si>
  <si>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</si>
  <si>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</si>
  <si>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</si>
  <si>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</si>
  <si>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</si>
  <si>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</si>
  <si>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</si>
  <si>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</si>
  <si>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</si>
  <si>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</si>
  <si>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</si>
  <si>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</si>
  <si>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</si>
  <si>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</si>
  <si>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</si>
  <si>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</si>
  <si>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</si>
  <si>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</si>
  <si>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</si>
  <si>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</si>
  <si>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</si>
  <si>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</si>
  <si>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</si>
  <si>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</si>
  <si>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</si>
  <si>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</si>
  <si>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</si>
  <si>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</si>
  <si>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</si>
  <si>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</si>
  <si>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</si>
  <si>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</si>
  <si>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</si>
  <si>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</si>
  <si>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</si>
  <si>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</si>
  <si>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</si>
  <si>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</si>
  <si>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</si>
  <si>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</si>
  <si>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</si>
  <si>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</si>
  <si>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</si>
  <si>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</si>
  <si>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</si>
  <si>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</si>
  <si>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</si>
  <si>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</si>
  <si>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</si>
  <si>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</si>
  <si>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</si>
  <si>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</si>
  <si>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</si>
  <si>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</si>
  <si>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</si>
  <si>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</si>
  <si>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</si>
  <si>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</si>
  <si>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</si>
  <si>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</si>
  <si>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</si>
  <si>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</si>
  <si>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</si>
  <si>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</si>
  <si>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</si>
  <si>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</si>
  <si>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</si>
  <si>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</si>
  <si>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</si>
  <si>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</si>
  <si>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</si>
  <si>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</si>
  <si>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</si>
  <si>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</si>
  <si>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</si>
  <si>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</si>
  <si>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</si>
  <si>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</si>
  <si>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</si>
  <si>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</si>
  <si>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</si>
  <si>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</si>
  <si>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</si>
  <si>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</si>
  <si>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</si>
  <si>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</si>
  <si>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</si>
  <si>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</si>
  <si>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</si>
  <si>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</si>
  <si>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</si>
  <si>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</si>
  <si>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</si>
  <si>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</si>
  <si>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</si>
  <si>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</si>
  <si>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</si>
  <si>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</si>
  <si>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</si>
  <si>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</si>
  <si>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</si>
  <si>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</si>
  <si>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</si>
  <si>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</si>
  <si>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</si>
  <si>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</si>
  <si>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</si>
  <si>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</si>
  <si>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</si>
  <si>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</si>
  <si>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</si>
  <si>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</si>
  <si>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</si>
  <si>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</si>
  <si>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</si>
  <si>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</si>
  <si>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</si>
  <si>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</si>
  <si>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</si>
  <si>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</si>
  <si>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</si>
  <si>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</si>
  <si>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</si>
  <si>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</si>
  <si>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</si>
  <si>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</si>
  <si>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</si>
  <si>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</si>
  <si>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</si>
  <si>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</si>
  <si>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</si>
  <si>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</si>
  <si>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</si>
  <si>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</si>
  <si>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</si>
  <si>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</si>
  <si>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</si>
  <si>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</si>
  <si>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</si>
  <si>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</si>
  <si>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</si>
  <si>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</si>
  <si>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</si>
  <si>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</si>
  <si>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</si>
  <si>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</si>
  <si>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</si>
  <si>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</si>
  <si>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</si>
  <si>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</si>
  <si>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</si>
  <si>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</si>
  <si>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</si>
  <si>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</si>
  <si>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</si>
  <si>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</si>
  <si>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</si>
  <si>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</si>
  <si>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</si>
  <si>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</si>
  <si>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</si>
  <si>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</si>
  <si>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</si>
  <si>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</si>
  <si>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</si>
  <si>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</si>
  <si>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</si>
  <si>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</si>
  <si>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</si>
  <si>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</si>
  <si>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</si>
  <si>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</si>
  <si>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</si>
  <si>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</si>
  <si>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</si>
  <si>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</si>
  <si>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</si>
  <si>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</si>
  <si>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</si>
  <si>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</si>
  <si>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</si>
  <si>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</si>
  <si>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</si>
  <si>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</si>
  <si>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</si>
  <si>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</si>
  <si>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</si>
  <si>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</si>
  <si>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</si>
  <si>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</si>
  <si>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</si>
  <si>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</si>
  <si>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</si>
  <si>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</si>
  <si>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</si>
  <si>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</si>
  <si>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</si>
  <si>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</si>
  <si>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</si>
  <si>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</si>
  <si>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</si>
  <si>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</si>
  <si>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</si>
  <si>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</si>
  <si>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</si>
  <si>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</si>
  <si>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</si>
  <si>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</si>
  <si>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</si>
  <si>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</si>
  <si>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</si>
  <si>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</si>
  <si>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</si>
  <si>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</si>
  <si>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</si>
  <si>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</si>
  <si>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</si>
  <si>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</si>
  <si>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</si>
  <si>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</si>
  <si>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</si>
  <si>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</si>
  <si>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</si>
  <si>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</si>
  <si>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</si>
  <si>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</si>
  <si>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</si>
  <si>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</si>
  <si>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</si>
  <si>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</si>
  <si>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</si>
  <si>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</si>
  <si>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</si>
  <si>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</si>
  <si>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</si>
  <si>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</si>
  <si>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</si>
  <si>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</si>
  <si>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</si>
  <si>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</si>
  <si>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</si>
  <si>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</si>
  <si>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</si>
  <si>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</si>
  <si>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</si>
  <si>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</si>
  <si>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</si>
  <si>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</si>
  <si>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</si>
  <si>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</si>
  <si>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</si>
  <si>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</si>
  <si>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</si>
  <si>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</si>
  <si>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</si>
  <si>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</si>
  <si>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</si>
  <si>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</si>
  <si>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</si>
  <si>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</si>
  <si>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</si>
  <si>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</si>
  <si>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</si>
  <si>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</si>
  <si>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</si>
  <si>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</si>
  <si>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</si>
  <si>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</si>
  <si>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</si>
  <si>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</si>
  <si>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</si>
  <si>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</si>
  <si>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</si>
  <si>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</si>
  <si>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</si>
  <si>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</si>
  <si>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</si>
  <si>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</si>
  <si>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</si>
  <si>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</si>
  <si>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</si>
  <si>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</si>
  <si>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</si>
  <si>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</si>
  <si>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</si>
  <si>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</si>
  <si>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</si>
  <si>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</si>
  <si>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</si>
  <si>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</si>
  <si>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</si>
  <si>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</si>
  <si>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</si>
  <si>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</si>
  <si>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</si>
  <si>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</si>
  <si>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</si>
  <si>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</si>
  <si>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</si>
  <si>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</si>
  <si>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</si>
  <si>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</si>
  <si>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</si>
  <si>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</si>
  <si>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</si>
  <si>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</si>
  <si>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</si>
  <si>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</si>
  <si>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</si>
  <si>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</si>
  <si>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</si>
  <si>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</si>
  <si>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</si>
  <si>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</si>
  <si>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</si>
  <si>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</si>
  <si>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</si>
  <si>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</si>
  <si>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</si>
  <si>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</si>
  <si>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</si>
  <si>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</si>
  <si>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</si>
  <si>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</si>
  <si>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</si>
  <si>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</si>
  <si>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</si>
  <si>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</si>
  <si>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</si>
  <si>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</si>
  <si>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</si>
  <si>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</si>
  <si>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</si>
  <si>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</si>
  <si>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</si>
  <si>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</si>
  <si>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</si>
  <si>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</si>
  <si>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</si>
  <si>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</si>
  <si>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</si>
  <si>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</si>
  <si>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</si>
  <si>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</si>
  <si>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</si>
  <si>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</si>
  <si>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</si>
  <si>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</si>
  <si>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</si>
  <si>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</si>
  <si>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</si>
  <si>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</si>
  <si>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</si>
  <si>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</si>
  <si>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</si>
  <si>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</si>
  <si>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</si>
  <si>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</si>
  <si>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</si>
  <si>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</si>
  <si>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</si>
  <si>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</si>
  <si>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</si>
  <si>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</si>
  <si>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</si>
  <si>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</si>
  <si>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</si>
  <si>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</si>
  <si>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</si>
  <si>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</si>
  <si>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</si>
  <si>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</si>
  <si>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</si>
  <si>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</si>
  <si>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</si>
  <si>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</si>
  <si>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</si>
  <si>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</si>
  <si>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</si>
  <si>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</si>
  <si>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</si>
  <si>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</si>
  <si>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</si>
  <si>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</si>
  <si>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</si>
  <si>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</si>
  <si>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</si>
  <si>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</si>
  <si>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</si>
  <si>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</si>
  <si>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</si>
  <si>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</si>
  <si>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</si>
  <si>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</si>
  <si>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</si>
  <si>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</si>
  <si>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</si>
  <si>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</si>
  <si>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</si>
  <si>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</si>
  <si>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</si>
  <si>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</si>
  <si>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</si>
  <si>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</si>
  <si>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</si>
  <si>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</si>
  <si>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</si>
  <si>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</si>
  <si>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</si>
  <si>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</si>
  <si>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</si>
  <si>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</si>
  <si>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</si>
  <si>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</si>
  <si>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</si>
  <si>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</si>
  <si>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</si>
  <si>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</si>
  <si>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</si>
  <si>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</si>
  <si>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</si>
  <si>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</si>
  <si>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</si>
  <si>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</si>
  <si>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</si>
  <si>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</si>
  <si>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</si>
  <si>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</si>
  <si>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</si>
  <si>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</si>
  <si>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</si>
  <si>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</si>
  <si>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</si>
  <si>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</si>
  <si>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</si>
  <si>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</si>
  <si>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</si>
  <si>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</si>
  <si>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</si>
  <si>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</si>
  <si>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</si>
  <si>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</si>
  <si>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</si>
  <si>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</si>
  <si>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</si>
  <si>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</si>
  <si>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</si>
  <si>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</si>
  <si>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</si>
  <si>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</si>
  <si>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</si>
  <si>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</si>
  <si>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</si>
  <si>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</si>
  <si>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</si>
  <si>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</si>
  <si>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</si>
  <si>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</si>
  <si>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</si>
  <si>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</si>
  <si>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</si>
  <si>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</si>
  <si>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</si>
  <si>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</si>
  <si>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</si>
  <si>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</si>
  <si>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</si>
  <si>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</si>
  <si>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</si>
  <si>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</si>
  <si>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</si>
  <si>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</si>
  <si>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</si>
  <si>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</si>
  <si>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</si>
  <si>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</si>
  <si>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</si>
  <si>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</si>
  <si>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</si>
  <si>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</si>
  <si>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</si>
  <si>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</si>
  <si>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</si>
  <si>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</si>
  <si>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</si>
  <si>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</si>
  <si>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</si>
  <si>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</si>
  <si>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</si>
  <si>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</si>
  <si>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</si>
  <si>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</si>
  <si>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</si>
  <si>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</si>
  <si>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</si>
  <si>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</si>
  <si>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</si>
  <si>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</si>
  <si>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</si>
  <si>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</si>
  <si>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</si>
  <si>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</si>
  <si>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</si>
  <si>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</si>
  <si>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</si>
  <si>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</si>
  <si>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</si>
  <si>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</si>
  <si>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</si>
  <si>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</si>
  <si>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</si>
  <si>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</si>
  <si>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</si>
  <si>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</si>
  <si>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</si>
  <si>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</si>
  <si>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</si>
  <si>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</si>
  <si>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</si>
  <si>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</si>
  <si>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</si>
  <si>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</si>
  <si>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</si>
  <si>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</si>
  <si>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</si>
  <si>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</si>
  <si>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</si>
  <si>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</si>
  <si>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</si>
  <si>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</si>
  <si>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</si>
  <si>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</si>
  <si>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</si>
  <si>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</si>
  <si>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</si>
  <si>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</si>
  <si>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</si>
  <si>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</si>
  <si>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</si>
  <si>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</si>
  <si>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</si>
  <si>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</si>
  <si>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</si>
  <si>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</si>
  <si>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</si>
  <si>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</si>
  <si>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</si>
  <si>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</si>
  <si>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</si>
  <si>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</si>
  <si>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</si>
  <si>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</si>
  <si>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</si>
  <si>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</si>
  <si>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</si>
  <si>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</si>
  <si>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</si>
  <si>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</si>
  <si>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</si>
  <si>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</si>
  <si>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</si>
  <si>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</si>
  <si>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</si>
  <si>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</si>
  <si>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</si>
  <si>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</si>
  <si>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</si>
  <si>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</si>
  <si>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</si>
  <si>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</si>
  <si>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</si>
  <si>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</si>
  <si>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</si>
  <si>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</si>
  <si>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</si>
  <si>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</si>
  <si>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</si>
  <si>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</si>
  <si>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</si>
  <si>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</si>
  <si>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</si>
  <si>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</si>
  <si>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</si>
  <si>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</si>
  <si>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</si>
  <si>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</si>
  <si>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</si>
  <si>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</si>
  <si>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</si>
  <si>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</si>
  <si>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</si>
  <si>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</si>
  <si>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</si>
  <si>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</si>
  <si>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</si>
  <si>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</si>
  <si>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</si>
  <si>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</si>
  <si>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</si>
  <si>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</si>
  <si>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</si>
  <si>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</si>
  <si>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</si>
  <si>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</si>
  <si>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</si>
  <si>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</si>
  <si>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</si>
  <si>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</si>
  <si>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</si>
  <si>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</si>
  <si>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</si>
  <si>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</si>
  <si>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</si>
  <si>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</si>
  <si>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</si>
  <si>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</si>
  <si>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</si>
  <si>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</si>
  <si>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</si>
  <si>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</si>
  <si>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</si>
  <si>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</si>
  <si>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</si>
  <si>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</si>
  <si>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</si>
  <si>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</si>
  <si>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</si>
  <si>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</si>
  <si>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</si>
  <si>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</si>
  <si>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</si>
  <si>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</si>
  <si>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</si>
  <si>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</si>
  <si>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</si>
  <si>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</si>
  <si>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</si>
  <si>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</si>
  <si>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</si>
  <si>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</si>
  <si>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</si>
  <si>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</si>
  <si>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</si>
  <si>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</si>
  <si>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</si>
  <si>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</si>
  <si>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</si>
  <si>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</si>
  <si>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</si>
  <si>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</si>
  <si>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</si>
  <si>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</si>
  <si>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</si>
  <si>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</si>
  <si>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</si>
  <si>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</si>
  <si>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</si>
  <si>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</si>
  <si>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</si>
  <si>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</si>
  <si>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</si>
  <si>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</si>
  <si>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</si>
  <si>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</si>
  <si>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</si>
  <si>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</si>
  <si>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</si>
  <si>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</si>
  <si>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</si>
  <si>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</si>
  <si>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</si>
  <si>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</si>
  <si>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</si>
  <si>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</si>
  <si>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</si>
  <si>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</si>
  <si>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</si>
  <si>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</si>
  <si>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</si>
  <si>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</si>
  <si>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</si>
  <si>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</si>
  <si>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</si>
  <si>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</si>
  <si>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</si>
  <si>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</si>
  <si>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</si>
  <si>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</si>
  <si>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</si>
  <si>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</si>
  <si>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</si>
  <si>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</si>
  <si>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</si>
  <si>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</si>
  <si>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</si>
  <si>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</si>
  <si>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</si>
  <si>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</si>
  <si>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</si>
  <si>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</si>
  <si>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</si>
  <si>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</si>
  <si>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</si>
  <si>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</si>
  <si>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</si>
  <si>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</si>
  <si>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</si>
  <si>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</si>
  <si>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</si>
  <si>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</si>
  <si>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</si>
  <si>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</si>
  <si>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</si>
  <si>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</si>
  <si>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</si>
  <si>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</si>
  <si>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</si>
  <si>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</si>
  <si>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</si>
  <si>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</si>
  <si>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</si>
  <si>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</si>
  <si>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</si>
  <si>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</si>
  <si>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</si>
  <si>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</si>
  <si>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</si>
  <si>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</si>
  <si>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</si>
  <si>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</si>
  <si>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</si>
  <si>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</si>
  <si>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</si>
  <si>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</si>
  <si>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</si>
  <si>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</si>
  <si>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</si>
  <si>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</si>
  <si>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</si>
  <si>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</si>
  <si>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</si>
  <si>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</si>
  <si>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</si>
  <si>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</si>
  <si>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</si>
  <si>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</si>
  <si>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</si>
  <si>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</si>
  <si>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</si>
  <si>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</si>
  <si>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</si>
  <si>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</si>
  <si>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</si>
  <si>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</si>
  <si>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</si>
  <si>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</si>
  <si>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</si>
  <si>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</si>
  <si>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</si>
  <si>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</si>
  <si>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</si>
  <si>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</si>
  <si>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</si>
  <si>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</si>
  <si>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</si>
  <si>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</si>
  <si>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</si>
  <si>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</si>
  <si>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</si>
  <si>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</si>
  <si>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</si>
  <si>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</si>
  <si>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</si>
  <si>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</si>
  <si>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</si>
  <si>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</si>
  <si>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</si>
  <si>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</si>
  <si>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</si>
  <si>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</si>
  <si>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</si>
  <si>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</si>
  <si>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</si>
  <si>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</si>
  <si>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</si>
  <si>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</si>
  <si>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</si>
  <si>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</si>
  <si>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</si>
  <si>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</si>
  <si>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</si>
  <si>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</si>
  <si>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</si>
  <si>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</si>
  <si>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</si>
  <si>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</si>
  <si>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</si>
  <si>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</si>
  <si>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</si>
  <si>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</si>
  <si>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</si>
  <si>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</si>
  <si>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</si>
  <si>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</si>
  <si>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</si>
  <si>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</si>
  <si>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</si>
  <si>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</si>
  <si>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</si>
  <si>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</si>
  <si>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</si>
  <si>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</si>
  <si>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</si>
  <si>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</si>
  <si>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</si>
  <si>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</si>
  <si>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</si>
  <si>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</si>
  <si>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</si>
  <si>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</si>
  <si>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</si>
  <si>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</si>
  <si>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</si>
  <si>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</si>
  <si>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</si>
  <si>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</si>
  <si>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</si>
  <si>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</si>
  <si>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</si>
  <si>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</si>
  <si>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</si>
  <si>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</si>
  <si>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</si>
  <si>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</si>
  <si>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</si>
  <si>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</si>
  <si>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</si>
  <si>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</si>
  <si>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</si>
  <si>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</si>
  <si>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</si>
  <si>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</si>
  <si>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</si>
  <si>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</si>
  <si>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</si>
  <si>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</si>
  <si>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</si>
  <si>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</si>
  <si>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</si>
  <si>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</si>
  <si>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</si>
  <si>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</si>
  <si>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</si>
  <si>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</si>
  <si>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</si>
  <si>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</si>
  <si>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</si>
  <si>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</si>
  <si>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</si>
  <si>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</si>
  <si>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</si>
  <si>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</si>
  <si>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</si>
  <si>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</si>
  <si>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</si>
  <si>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</si>
  <si>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</si>
  <si>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</si>
  <si>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</si>
  <si>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</si>
  <si>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</si>
  <si>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</si>
  <si>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</si>
  <si>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</si>
  <si>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</si>
  <si>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</si>
  <si>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</si>
  <si>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</si>
  <si>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</si>
  <si>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</si>
  <si>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</si>
  <si>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</si>
  <si>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</si>
  <si>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</si>
  <si>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</si>
  <si>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</si>
  <si>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</si>
  <si>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</si>
  <si>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</si>
  <si>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</si>
  <si>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</si>
  <si>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</si>
  <si>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</si>
  <si>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</si>
  <si>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</si>
  <si>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</si>
  <si>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</si>
  <si>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</si>
  <si>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</si>
  <si>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</si>
  <si>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</si>
  <si>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</si>
  <si>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</si>
  <si>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</si>
  <si>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</si>
  <si>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</si>
  <si>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</si>
  <si>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</si>
  <si>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</si>
  <si>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</si>
  <si>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</si>
  <si>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</si>
  <si>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</si>
  <si>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</si>
  <si>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</si>
  <si>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</si>
  <si>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</si>
  <si>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</si>
  <si>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</si>
  <si>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</si>
  <si>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</si>
  <si>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</si>
  <si>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</si>
  <si>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</si>
  <si>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</si>
  <si>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</si>
  <si>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</si>
  <si>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</si>
  <si>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</si>
  <si>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</si>
  <si>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</si>
  <si>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</si>
  <si>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</si>
  <si>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</si>
  <si>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</si>
  <si>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</si>
  <si>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</si>
  <si>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</si>
  <si>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</si>
  <si>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</si>
  <si>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</si>
  <si>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</si>
  <si>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</si>
  <si>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</si>
  <si>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</si>
  <si>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</si>
  <si>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</si>
  <si>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</si>
  <si>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</si>
  <si>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</si>
  <si>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</si>
  <si>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</si>
  <si>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</si>
  <si>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</si>
  <si>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</si>
  <si>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</si>
  <si>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</si>
  <si>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</si>
  <si>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</si>
  <si>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</si>
  <si>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</si>
  <si>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</si>
  <si>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</si>
  <si>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</si>
  <si>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</si>
  <si>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</si>
  <si>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</si>
  <si>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</si>
  <si>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</si>
  <si>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</si>
  <si>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</si>
  <si>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</si>
  <si>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</si>
  <si>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</si>
  <si>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</si>
  <si>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</si>
  <si>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</si>
  <si>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</si>
  <si>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</si>
  <si>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</si>
  <si>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</si>
  <si>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</si>
  <si>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</si>
  <si>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</si>
  <si>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</si>
  <si>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</si>
  <si>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</si>
  <si>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</si>
  <si>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</si>
  <si>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</si>
  <si>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</si>
  <si>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</si>
  <si>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</si>
  <si>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</si>
  <si>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</si>
  <si>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</si>
  <si>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</si>
  <si>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</si>
  <si>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</si>
  <si>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</si>
  <si>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</si>
  <si>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</si>
  <si>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</si>
  <si>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</si>
  <si>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</si>
  <si>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</si>
  <si>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</si>
  <si>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</si>
  <si>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</si>
  <si>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</si>
  <si>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</si>
  <si>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</si>
  <si>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</si>
  <si>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</si>
  <si>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</si>
  <si>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</si>
  <si>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</si>
  <si>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</si>
  <si>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</si>
  <si>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</si>
  <si>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</si>
  <si>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</si>
  <si>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</si>
  <si>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</si>
  <si>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</si>
  <si>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</si>
  <si>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</si>
  <si>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</si>
  <si>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</si>
  <si>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</si>
  <si>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</si>
  <si>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</si>
  <si>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</si>
  <si>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</si>
  <si>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</si>
  <si>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</si>
  <si>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</si>
  <si>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</si>
  <si>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</si>
  <si>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</si>
  <si>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</si>
  <si>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</si>
  <si>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</si>
  <si>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</si>
  <si>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</si>
  <si>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</si>
  <si>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</si>
  <si>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</si>
  <si>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</si>
  <si>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</si>
  <si>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</si>
  <si>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</si>
  <si>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</si>
  <si>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</si>
  <si>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</si>
  <si>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</si>
  <si>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</si>
  <si>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</si>
  <si>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</si>
  <si>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</si>
  <si>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</si>
  <si>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</si>
  <si>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</si>
  <si>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</si>
  <si>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</si>
  <si>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</si>
  <si>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</si>
  <si>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</si>
  <si>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</si>
  <si>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</si>
  <si>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</si>
  <si>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</si>
  <si>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</si>
  <si>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</si>
  <si>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</si>
  <si>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</si>
  <si>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</si>
  <si>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</si>
  <si>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</si>
  <si>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</si>
  <si>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</si>
  <si>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</si>
  <si>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</si>
  <si>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</si>
  <si>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</si>
  <si>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</si>
  <si>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</si>
  <si>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</si>
  <si>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</si>
  <si>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</si>
  <si>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</si>
  <si>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</si>
  <si>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</si>
  <si>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</si>
  <si>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</si>
  <si>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</si>
  <si>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</si>
  <si>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</si>
  <si>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</si>
  <si>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</si>
  <si>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</si>
  <si>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</si>
  <si>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</si>
  <si>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</si>
  <si>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</si>
  <si>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</si>
  <si>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</si>
  <si>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</si>
  <si>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</si>
  <si>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</si>
  <si>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</si>
  <si>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</si>
  <si>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</si>
  <si>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</si>
  <si>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</si>
  <si>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</si>
  <si>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</si>
  <si>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</si>
  <si>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</si>
  <si>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</si>
  <si>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</si>
  <si>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</si>
  <si>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</si>
  <si>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</si>
  <si>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</si>
  <si>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</si>
  <si>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</si>
  <si>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</si>
  <si>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</si>
  <si>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</si>
  <si>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</si>
  <si>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</si>
  <si>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</si>
  <si>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</si>
  <si>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</si>
  <si>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</si>
  <si>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</si>
  <si>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</si>
  <si>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</si>
  <si>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</si>
  <si>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</si>
  <si>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</si>
  <si>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</si>
  <si>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</si>
  <si>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</si>
  <si>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</si>
  <si>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</si>
  <si>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</si>
  <si>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</si>
  <si>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</si>
  <si>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</si>
  <si>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</si>
  <si>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</si>
  <si>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</si>
  <si>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</si>
  <si>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</si>
  <si>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</si>
  <si>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</si>
  <si>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</si>
  <si>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</si>
  <si>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</si>
  <si>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</si>
  <si>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</si>
  <si>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</si>
  <si>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</si>
  <si>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</si>
  <si>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</si>
  <si>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</si>
  <si>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</si>
  <si>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</si>
  <si>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</si>
  <si>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</si>
  <si>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</si>
  <si>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</si>
  <si>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</si>
  <si>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</si>
  <si>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</si>
  <si>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</si>
  <si>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</si>
  <si>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</si>
  <si>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</si>
  <si>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</si>
  <si>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</si>
  <si>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</si>
  <si>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</si>
  <si>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</si>
  <si>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</si>
  <si>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</si>
  <si>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</si>
  <si>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DANIEL ESTEBAN HERNANDEZ ULLOA</t>
  </si>
  <si>
    <t>JOSE DANIEL PEDRAZA CAMARGO</t>
  </si>
  <si>
    <t>JULIAN ANDRES OCHOA DIAZ</t>
  </si>
  <si>
    <t>DEIVER FELIPE ROLDAN PEDRAZA</t>
  </si>
  <si>
    <t>JEFERSON NAVARRO MENDEZ</t>
  </si>
  <si>
    <t>JULY VELANDIA</t>
  </si>
  <si>
    <t>ALVARO JAVIER RODRIGUEZ BERDUGO</t>
  </si>
  <si>
    <t>KEVIN SEBASTIAN PATARROYO GALINDO</t>
  </si>
  <si>
    <t>DOLY MILENI SARMIENTO CALAMBAS</t>
  </si>
  <si>
    <t>ANA CAROLINA SERRANO FRANCO</t>
  </si>
  <si>
    <t>HECTOR JAVIER SANCHEZ BECERRA</t>
  </si>
  <si>
    <t>DAYANNA VANESSA BRAVO ESCANAGA</t>
  </si>
  <si>
    <t>JAVIER MUÑOZ QUIJANO</t>
  </si>
  <si>
    <t>ANTONY REYNEL BOTELLO HERRERA</t>
  </si>
  <si>
    <t>LUIS EDUARDO GARCIA CHIVATA</t>
  </si>
  <si>
    <t>JOSE ALEXANDER ROMERO AVELLA</t>
  </si>
  <si>
    <t>DANIEL FERNANDO CHAPARRO PEREZ</t>
  </si>
  <si>
    <t>ERIKA LIZETH LARA PEREZ</t>
  </si>
  <si>
    <t>GUILLERMO ANTONIO DIAZ LOPEZ</t>
  </si>
  <si>
    <t>JAIRO CESAR CORREDOR</t>
  </si>
  <si>
    <t>JUAN CARLOS LOPEZ CIPAGAUTA</t>
  </si>
  <si>
    <t>FRANKY ALEXANDER BRAVO PINZON</t>
  </si>
  <si>
    <t>MARIA MERCEDES NIÑO ESPITIA</t>
  </si>
  <si>
    <t>EDWIN ANTONIO AVENDAÑO SANABRIA</t>
  </si>
  <si>
    <t>MARCOS URIEL RAMIREZ AYALA</t>
  </si>
  <si>
    <t>RAMON RODRIGUEZ OCHOA</t>
  </si>
  <si>
    <t>ANDRES IVAN GARCIA PAEZ</t>
  </si>
  <si>
    <t>JULIO CESAR MUNEVAR RONDON</t>
  </si>
  <si>
    <t>EDWIN FERNEY DIAZ FONSECA</t>
  </si>
  <si>
    <t>EDITH ELIANA CAMARGO MARTINEZ</t>
  </si>
  <si>
    <t>JACQUELINE CEPEDA VERDUGO</t>
  </si>
  <si>
    <t>YURIANA SAAVEDRA MESA</t>
  </si>
  <si>
    <t>FRED ELLERMAN SANCHEZ VALENCIA</t>
  </si>
  <si>
    <t>NELSON JAVIER BAUTISTA FONSECA</t>
  </si>
  <si>
    <t>CARLOS FERNANDO SOGAMOSO VALDERRAMA</t>
  </si>
  <si>
    <t>WILMER FABIAN BONILLA HURTADO</t>
  </si>
  <si>
    <t>ITALO JULIO SANABRIA BUITRAGO</t>
  </si>
  <si>
    <t>DAVID ALBERTO RODRIGUEZ TORRES</t>
  </si>
  <si>
    <t>DIOMEDEZ DIAZ NIÑO</t>
  </si>
  <si>
    <t>EDISON JOHAN RAMIREZ FONSECA</t>
  </si>
  <si>
    <t>CRISTIAN GUAMAN SANDOVAL</t>
  </si>
  <si>
    <t>BRAYAN BENAVIDEZ</t>
  </si>
  <si>
    <t>JOSE DANIEL BECERRA DIAZ</t>
  </si>
  <si>
    <t>RICARDO ALCIDES MONRROY GARCIA</t>
  </si>
  <si>
    <t>MONICA MARIA RODRIGUEZ LEON</t>
  </si>
  <si>
    <t>DIEGO ALEXANDER PARDO ROMERO</t>
  </si>
  <si>
    <t>LUIS MIGUEL RODRIGUEZ ALBA</t>
  </si>
  <si>
    <t>MARIA FERNANDA PRADO RODRIGUEZ</t>
  </si>
  <si>
    <t>ERIK STIVEN OVALLE ROJAS</t>
  </si>
  <si>
    <t>EMILY KARINA CASTELLANOS CHAPARRO</t>
  </si>
  <si>
    <t>LUZ AMANDA CAMARGO TUTA</t>
  </si>
  <si>
    <t>JOSE EDILBERTO ESPINOSA VILLAMIZAR</t>
  </si>
  <si>
    <t>OSCAR DAVID MATEUS MATEUS</t>
  </si>
  <si>
    <t>PEDRO ALEJANDRO LA ROTTA OJEDA</t>
  </si>
  <si>
    <t>MARIA ALEJANDRA BAUTISTA GARZON</t>
  </si>
  <si>
    <t>YEISON EDUARDO VARGAS HURTADO</t>
  </si>
  <si>
    <t>BRAYAN FONSECA TORRES</t>
  </si>
  <si>
    <t>RAFAEL EDUARDO RODRIGUEZ PERALTA</t>
  </si>
  <si>
    <t>SEGUNDO FONSECA GRANADOS</t>
  </si>
  <si>
    <t>CRISTIAN RAMIREZ VALENCIA</t>
  </si>
  <si>
    <t>JEFERSON FERNEY NIÑO CAMACHO</t>
  </si>
  <si>
    <t>JORGE ARIEL FIAGA ROBLES</t>
  </si>
  <si>
    <t>JAVIER VELASQUEZ BOTACHE</t>
  </si>
  <si>
    <t>HOLMAN ROLANDO DAMIAN CASTELLANOS</t>
  </si>
  <si>
    <t>JOSE FRANCYNE MATOMA BONILLA</t>
  </si>
  <si>
    <t>RUBEN DARIO ZAPATA BALAGUERA</t>
  </si>
  <si>
    <t>GUSTAVO ADOLFO GARCIA GARCIA</t>
  </si>
  <si>
    <t>JAVIER ARMANDO BARON PATARROYO</t>
  </si>
  <si>
    <t>MISAEL PULGARIN BELTRAN</t>
  </si>
  <si>
    <t>GONZALO ARTEAGA ESCOBAR</t>
  </si>
  <si>
    <t>DANIEL ACEVEDO QUINTERO</t>
  </si>
  <si>
    <t>MARIA LILIANA MORA OTALORA</t>
  </si>
  <si>
    <t>FANNY ESPERANZA CARDENAS PUERTO</t>
  </si>
  <si>
    <t>MARISOL VARGAS LEGUIZAMO</t>
  </si>
  <si>
    <t>ANA ELSY PACHECO CEPEDA</t>
  </si>
  <si>
    <t>MARTHA ANTONIA HUESO SANCHEZ</t>
  </si>
  <si>
    <t>LUIS CASTILLO RODRIGUEZ</t>
  </si>
  <si>
    <t>OSCAR ANDRES PARRA</t>
  </si>
  <si>
    <t>ELISA MONRROY</t>
  </si>
  <si>
    <t>GLADIS MOLINA GOMEZ</t>
  </si>
  <si>
    <t>ERIKA ANDREA GAVIRIA STELLA</t>
  </si>
  <si>
    <t>NELIDA CARDENAS BERGAÑO</t>
  </si>
  <si>
    <t>MARIA ISABEL ARANGO ARCINIEGAS</t>
  </si>
  <si>
    <t>MARIA DEL TRANSITO LOPEZ TORRES</t>
  </si>
  <si>
    <t>LUIS ANTONIO GARCIA SAENZ</t>
  </si>
  <si>
    <t>ROMELIA BARON RUIZ</t>
  </si>
  <si>
    <t>ELENA ISABEL BELTRAN DELGADO</t>
  </si>
  <si>
    <t>JOSE JOAQUIN VASQUEZ GUTIERREZ</t>
  </si>
  <si>
    <t>JOSE GABRIEL BOHORQUEZ MOGOLLON</t>
  </si>
  <si>
    <t>EDGAR MIGUEL SANDOVAL ALVARADO</t>
  </si>
  <si>
    <t>DARIO SANCHEZ MONROY</t>
  </si>
  <si>
    <t>JULIO ROBERTO GUATIBONZA HIGUERA</t>
  </si>
  <si>
    <t>WILSON HERNAN RODRIGUEZ GARNICA</t>
  </si>
  <si>
    <t>ISAIAS OCHOA RODRIGUEZ</t>
  </si>
  <si>
    <t>GESSAIR ALVARADO GUIO</t>
  </si>
  <si>
    <t>DIEGO DE JESUS MATEUS CORREDOR</t>
  </si>
  <si>
    <t>ANGEL CUSTODIO RACHE AVILA</t>
  </si>
  <si>
    <t>ROSMIRA CARDONA GARCIA</t>
  </si>
  <si>
    <t>LILIANA MARIA GALLO BUILES</t>
  </si>
  <si>
    <t>MODESTO PINZON BARBOZA</t>
  </si>
  <si>
    <t>MAGDA LIZETH JIMENEZ GONZALEZ</t>
  </si>
  <si>
    <t>SANDRA ROCIO CHAPARRO</t>
  </si>
  <si>
    <t>DIANA CRISTINA ROBERTO PINTO</t>
  </si>
  <si>
    <t>MARTHA INFANTE CELY</t>
  </si>
  <si>
    <t>MONICA MARIA ARAGON HERNANDEZ</t>
  </si>
  <si>
    <t>MARTHA MIREYA REYES OCHOA</t>
  </si>
  <si>
    <t>DORIS GIL MARTINEZ</t>
  </si>
  <si>
    <t>GLORIA YANETH CALDERON ALMONACID</t>
  </si>
  <si>
    <t>AGUSTIN MARTINEZ</t>
  </si>
  <si>
    <t>MARCOS AUGUSTO TORRES BARAJAS</t>
  </si>
  <si>
    <t>LUIS RAMIRO FONSECA LEON</t>
  </si>
  <si>
    <t>LUIS ENRIQUE PACHECO AVENDAÑO</t>
  </si>
  <si>
    <t>ALFONSO ROBLES MAYORGA</t>
  </si>
  <si>
    <t>JUAN CARLOS PEREZ MENDOZA</t>
  </si>
  <si>
    <t>LUIS ABELARDO RUIZ BECERRA</t>
  </si>
  <si>
    <t>HECTOR CORONADO</t>
  </si>
  <si>
    <t>ARTURO TOASURA SALAMANCA</t>
  </si>
  <si>
    <t>ALEJANDRO SALCEDO AMEZQUITA</t>
  </si>
  <si>
    <t>JOSE BERNARDO RIVERA AVENDAÑO</t>
  </si>
  <si>
    <t>LUIS HERNAN COLMENARES GUTIERREZ</t>
  </si>
  <si>
    <t>CESAR AGUSTO VASQUEZ RODRIGUEZ</t>
  </si>
  <si>
    <t>NELSON FABIAN ROSAS PUERTO</t>
  </si>
  <si>
    <t>GABRIEL ECHEVERRIA CELY</t>
  </si>
  <si>
    <t>LUIS RENE MONRROY AREVALO</t>
  </si>
  <si>
    <t>WILDER GALLO LEON</t>
  </si>
  <si>
    <t>OMAR GUILLEM RAMIREZ AMEZQUITA</t>
  </si>
  <si>
    <t>LEXON OSVALDO ABRIL NARANJO</t>
  </si>
  <si>
    <t>WILSON FONSECA GRANADOS</t>
  </si>
  <si>
    <t>CRISTIAN JAIR PEDRAZA</t>
  </si>
  <si>
    <t>JOSE RODRIGO PATIÑO SALAZAR</t>
  </si>
  <si>
    <t>JORGE ZANGUÑA</t>
  </si>
  <si>
    <t>ARISTOBULO AVENDAÑO AVENDAÑO</t>
  </si>
  <si>
    <t>PEDRO ORLANDO TUTA AVENDAÑO</t>
  </si>
  <si>
    <t>ANGEL FRANCISCO CAMARGO PEDRAZA</t>
  </si>
  <si>
    <t>RAFAEL ANTONIO LACHE TUTA</t>
  </si>
  <si>
    <t>FABIO NELSON GRANADOS VASQUEZ</t>
  </si>
  <si>
    <t>HUGO MORALES SANA</t>
  </si>
  <si>
    <t>GUSTAVO ALEXANDER ZAMBRANO CORDOBA</t>
  </si>
  <si>
    <t>MARIO ALEJANDRO ALVARADO BRIJALDO</t>
  </si>
  <si>
    <t>GABRIEL ANTONIO SUAREZ AVENDAÑO</t>
  </si>
  <si>
    <t>SAULO ARTURO BRAVO JIMENEZ</t>
  </si>
  <si>
    <t>RAUL ARMANDO TOCARRUNCHO RINCON</t>
  </si>
  <si>
    <t>RODY VALDERRAMA</t>
  </si>
  <si>
    <t>JOSE ROLANDO DIAZ OSTOS</t>
  </si>
  <si>
    <t>CARLOS EDUARDO RAMIREZ OCHOA</t>
  </si>
  <si>
    <t>EDGAR CORONADO RODRIGUEZ</t>
  </si>
  <si>
    <t>JORGE ELIECER SANA GUAMAN</t>
  </si>
  <si>
    <t>WILSON HERNANDEZ CAMARGO</t>
  </si>
  <si>
    <t>JOSE MAURICIO BAUTISTA CUBILLOS</t>
  </si>
  <si>
    <t>OSCAR ARIEL BRAVO JIMENEZ</t>
  </si>
  <si>
    <t>OSCAR VILLATE TORRES</t>
  </si>
  <si>
    <t>JAIRO FIDEL VELANDIA BOTIA</t>
  </si>
  <si>
    <t>ROBERTO ANTONIO GAMEZ PINEDA</t>
  </si>
  <si>
    <t>OMAR CELY</t>
  </si>
  <si>
    <t>MARCOLINO CIPAGAUTA PAIPILLA</t>
  </si>
  <si>
    <t>FREDY ALEXANDER PABON FLOREZ</t>
  </si>
  <si>
    <t>ALEJANDRO ARTURO FARFAN ORTIZ</t>
  </si>
  <si>
    <t>HECTOR RAFAEL ALVARADO CUEVAS</t>
  </si>
  <si>
    <t>OSCAR MAURICIO ROBLES PARRA</t>
  </si>
  <si>
    <t>PEDRO ANTONIO PEÑA CASTRO</t>
  </si>
  <si>
    <t>LUIS DAVID GIL RINCON</t>
  </si>
  <si>
    <t>LOUIS EDUARD MELO CORREDOR</t>
  </si>
  <si>
    <t>FRANCISCO JAVIER VILLATE</t>
  </si>
  <si>
    <t>JUAN DE DIOS HERNANDEZ ROJAS</t>
  </si>
  <si>
    <t>JAIRO PARAMO</t>
  </si>
  <si>
    <t>ANGEL MIGUEL OCHOA OCHOA</t>
  </si>
  <si>
    <t>HENRY ALFONSO GARCIA</t>
  </si>
  <si>
    <t>JOSE ALVARO BECERRA BAUTISTA</t>
  </si>
  <si>
    <t>WILLIAM PINEDA SILVA</t>
  </si>
  <si>
    <t>LUIS FRANCISCO BECERRA MARTINEZ</t>
  </si>
  <si>
    <t>FERNANDO PEDRAZA PATIÑO</t>
  </si>
  <si>
    <t>YESID CASTRO</t>
  </si>
  <si>
    <t>LUIS FELIPE CAMARGO OCHOA</t>
  </si>
  <si>
    <t>OSCAR RIVERA RIVERA</t>
  </si>
  <si>
    <t>OMAR FERNANDO ALVAREZ VARGAS</t>
  </si>
  <si>
    <t>JUAN MANUEL CORREDOR</t>
  </si>
  <si>
    <t>JOSE LUIS ROZO VEGA</t>
  </si>
  <si>
    <t>MARCO ALEJANDRO GALAN BENITEZ</t>
  </si>
  <si>
    <t>CRISTOBAL MATEUS</t>
  </si>
  <si>
    <t>PABLO ENRIQUE SALAMANCA JIMENEZ</t>
  </si>
  <si>
    <t>DINAEL MORENO BARON</t>
  </si>
  <si>
    <t>JAVIER CAMPOS</t>
  </si>
  <si>
    <t>CAOV SAS</t>
  </si>
  <si>
    <t>ULICES REY ORDOÑEZ</t>
  </si>
  <si>
    <t>LUIS FRANCISCO LAGOS RODRIGUEZ</t>
  </si>
  <si>
    <t>LUIS ANTONIO ESTRADA BRACAMONTE</t>
  </si>
  <si>
    <t>JORGE LEONARDO BUITRAGO CELY</t>
  </si>
  <si>
    <t>ANDRES FELIPE APONTE RODRIGUEZ</t>
  </si>
  <si>
    <t>JULIAN MORALES ACEVEDO</t>
  </si>
  <si>
    <t>DAVID OSPINA BERNATE</t>
  </si>
  <si>
    <t>ALVARO MIGUEL MARTIN BAEZ PARRA</t>
  </si>
  <si>
    <t>JOEL RICARDO RODRIGUEZ PUERTO</t>
  </si>
  <si>
    <t>SILVIO ANGEL MUÑOZ YAYA</t>
  </si>
  <si>
    <t>RIGOBERTO REYES RIVEROS</t>
  </si>
  <si>
    <t>CONSUMIDOR FINAL</t>
  </si>
  <si>
    <t>DORA HILDA MEDINA DE PACHECO</t>
  </si>
  <si>
    <t>OTILIA ROBLES FONSECA</t>
  </si>
  <si>
    <t>MARIA DEL ROSARIO BENITEZ MATEUS</t>
  </si>
  <si>
    <t>SEGUNDO NEMECIO OCHOA OSTOS</t>
  </si>
  <si>
    <t>RICARDO AVELLANEDA HURTADO</t>
  </si>
  <si>
    <t>JOSE MOISES CAMARGO NIÑO</t>
  </si>
  <si>
    <t>OMAR MARTINEZ SANDOVAL</t>
  </si>
  <si>
    <t>LUIS FERNANDO PUENTES MARTINEZ</t>
  </si>
  <si>
    <t>CRISTOBAL CHAPARRO RODRIGUEZ</t>
  </si>
  <si>
    <t>HELBERTH NORBERTO MATEUS CORREDOR</t>
  </si>
  <si>
    <t>JOSE DEL CARMEN DIVANTIQUE PUERTO</t>
  </si>
  <si>
    <t>EDNA MARGARITA CEPEDA RINCON</t>
  </si>
  <si>
    <t>MARTHA ELISABETH CANO NOVA</t>
  </si>
  <si>
    <t>EDY CRISTINA CAMARGO CUERVO</t>
  </si>
  <si>
    <t>PEDRO IGNACIO MOYA</t>
  </si>
  <si>
    <t>ELEUTERIO NOVOA LARROTTA</t>
  </si>
  <si>
    <t>JOSE ANTONIO GUEVARA INFANTE</t>
  </si>
  <si>
    <t>MANUEL ROJAS VARGAS</t>
  </si>
  <si>
    <t>EDUARDO OCHOA PATIÑO</t>
  </si>
  <si>
    <t>WILLIAM RODRIGUEZ SANCHEZ</t>
  </si>
  <si>
    <t>MILTON MAURICIO MORA MATEUS</t>
  </si>
  <si>
    <t>BREINER ENRIQUE VILLALBA GOMEZ</t>
  </si>
  <si>
    <t>JOSE MIGUEL CHAPARRO LEON</t>
  </si>
  <si>
    <t>YEYSON MATAMOROS CASTRO</t>
  </si>
  <si>
    <t>JUAN MANUEL GARCIA ARISTIZABAL</t>
  </si>
  <si>
    <t>EXCELIANO AVILA PULIDO</t>
  </si>
  <si>
    <t>JOSE ANTONIO MEDINA MOLANO</t>
  </si>
  <si>
    <t>HOTEL EL LAGO LTDA.</t>
  </si>
  <si>
    <t>G Y J FERRETERIAS S A</t>
  </si>
  <si>
    <t>QUIMICOS INDUSTRIALES ASOCIADOS S.A.S</t>
  </si>
  <si>
    <t>LADRILLOS EL ZIPA S.A.S.</t>
  </si>
  <si>
    <t>DIRECCION DE IMPUESTOS Y ADUANAS NACIONALES</t>
  </si>
  <si>
    <t>FIPRO LTDA</t>
  </si>
  <si>
    <t>PROTECCION PENSIONES Y CESANTIAS</t>
  </si>
  <si>
    <t>SANITAS EPS</t>
  </si>
  <si>
    <t>JOSE MANUEL BENAVIDES SALVADOR</t>
  </si>
  <si>
    <t>TRACTEC SOCIEDAD POR ACCIONES SIMPLIFICADA</t>
  </si>
  <si>
    <t>INVERSIONES RODASEB S.A.S</t>
  </si>
  <si>
    <t>DISTRIBUCIONES EL MUNDO DEL ORNAMENTADOR S.A.S.</t>
  </si>
  <si>
    <t>FUNDACION SOCIO ECONOMICA LATINOAMERICANA</t>
  </si>
  <si>
    <t>FUTURE SOLUTIONS DEVELOPMENT SAS</t>
  </si>
  <si>
    <t>TECNIDET LTDA</t>
  </si>
  <si>
    <t>CYRGO S. A. S.</t>
  </si>
  <si>
    <t>BANCO DAVIVIENDA</t>
  </si>
  <si>
    <t>INDUSTRIA DE MUEBLES AGRAN INMAGRAN LTDA</t>
  </si>
  <si>
    <t>SURTIR MAYORISTA S.A.</t>
  </si>
  <si>
    <t>CRISTALERIA PELDAR S.A.</t>
  </si>
  <si>
    <t>CONFIAR COOPERATIVA FINANCIERA</t>
  </si>
  <si>
    <t>DIACO S.A.</t>
  </si>
  <si>
    <t>INVERSIONES LADRILLOS MAGUNCIA S.A.S.</t>
  </si>
  <si>
    <t>COMUNIDAD FOYER DE CHARITE</t>
  </si>
  <si>
    <t>ARBORISAN SAS</t>
  </si>
  <si>
    <t>INVERSIONES RUSTIPLAST LTDA</t>
  </si>
  <si>
    <t>FANINE &amp; RPA LTDA</t>
  </si>
  <si>
    <t>INGENIERIA AMBIENTE SILVICULTURA Y CONSTRUCCIONES CIVILES S.A.S</t>
  </si>
  <si>
    <t>CENTRO COMERCIAL FIESTASUBA- PROPIEDAD HORIZONTAL</t>
  </si>
  <si>
    <t>PLASTICOS BRYSNA S A S</t>
  </si>
  <si>
    <t>MASTERCAT S.A.S</t>
  </si>
  <si>
    <t>CASTRO &amp; LOZADA INGENIERIA SAS</t>
  </si>
  <si>
    <t>REHIMAC S.A.</t>
  </si>
  <si>
    <t>ABSOLUTE ENGINEERING COLOMBIA LTDA</t>
  </si>
  <si>
    <t>INDUSTRIAS CONSTRUCCIONES CIVILES Y ESTRUCTURAS METALICAS S.A.S.</t>
  </si>
  <si>
    <t>COMERCIALIZADORA BOYACENSE VERDE S.A.S.</t>
  </si>
  <si>
    <t>ELECTRICIDAD Y MECANICA INGENIEROS SOCIEDAD POR ACCIONES SIMPLIFICADA</t>
  </si>
  <si>
    <t>CENTRO SECURITY S.A.S.</t>
  </si>
  <si>
    <t>DIMAP BOYACA S.A.S</t>
  </si>
  <si>
    <t>PAISAJES Y DISEÑOS S.A.S.</t>
  </si>
  <si>
    <t>FERRACOL S.A.S.</t>
  </si>
  <si>
    <t>BECERRA PEDRAZA &amp; ASOCIADOS SAS</t>
  </si>
  <si>
    <t>ARQUITECTURA LOTUS S.A.S.</t>
  </si>
  <si>
    <t>A &amp; A INGENIERIA Y CONSTRUCCIONES S.A.S</t>
  </si>
  <si>
    <t>SOCIEDAD COMERCIALIZADORA DE EQUIPOS Y CONSTRUCCIONES S.A.S</t>
  </si>
  <si>
    <t>INGENOVA ING SAS</t>
  </si>
  <si>
    <t>GOLDEN COMPANY S.A.S.</t>
  </si>
  <si>
    <t>AQUATELL SAS</t>
  </si>
  <si>
    <t>AGROINSUMOS PREMIUM PLANTS SAS</t>
  </si>
  <si>
    <t>CONSORCIO ESTACIÓN DE ALEJANDRIA</t>
  </si>
  <si>
    <t>SOLZA EQUIPOS Y MINERALES SAS</t>
  </si>
  <si>
    <t>SOCIEDAD DE GESTION Y ASESORIA MINERA COAL SAS</t>
  </si>
  <si>
    <t>SOLUCIONES &amp; AUTOMATIZACIONES SAS</t>
  </si>
  <si>
    <t>JHF PERFORACIONES SAS</t>
  </si>
  <si>
    <t>VITRAL ERGONOMIA CALIDAD DE VIDA EN EL TRABAJO SAS</t>
  </si>
  <si>
    <t>LACTEOS LA ESMERALDA SAS</t>
  </si>
  <si>
    <t>GEOVERDE SAS</t>
  </si>
  <si>
    <t>CONSTRUCCIONES Y REDES ELECTRICAS LG SAS</t>
  </si>
  <si>
    <t>FACCEL INGENIERIA ELECTRICA S.A.S.</t>
  </si>
  <si>
    <t>FABRICAJAS COMPANY SAS</t>
  </si>
  <si>
    <t>IBH MAQUINARIA PARA CERAMICA SAS</t>
  </si>
  <si>
    <t>PRAC OBRAS DE INGENERIA SAS</t>
  </si>
  <si>
    <t>JCV CONSTRUCCIONES S.A.S.</t>
  </si>
  <si>
    <t>OCCA CONSTRUCCIONES SAS</t>
  </si>
  <si>
    <t>TERMINADOS FM SAS</t>
  </si>
  <si>
    <t>EMSA SOLUCIONES TECNICAS DE INGENIERIA S.A.S.</t>
  </si>
  <si>
    <t>INTERELECTRICAS IMAC SAS</t>
  </si>
  <si>
    <t>CLINICAS WHITE SAS</t>
  </si>
  <si>
    <t>G&amp;E CONSTRUCTORA FONSECA S.A.S.</t>
  </si>
  <si>
    <t>ESTRUCTURAS R Y G S.A.S.</t>
  </si>
  <si>
    <t>BG LABS SAS</t>
  </si>
  <si>
    <t>FUNDICIONES METALICAS DE COLOMBIA SOCIEDAD POR ACCIONES SIMPLIFICADA</t>
  </si>
  <si>
    <t>LEONARDO PACHECO S.A.S.</t>
  </si>
  <si>
    <t>CONSULTORIA Y COMERCIALIADORA DAZA RAMIREZ S.A.S.</t>
  </si>
  <si>
    <t>SOCIAL SOLAR S.A.S.</t>
  </si>
  <si>
    <t>SMARTAUT SOLUCIONES DE INGENIERIA Y AUTOMATIZACION S.A.S.</t>
  </si>
  <si>
    <t>MINAS EL ALTICO SAS</t>
  </si>
  <si>
    <t>GLOB BERRY S.A.S.</t>
  </si>
  <si>
    <t>EXPLOTACION MINERA VARGAS S.A.S.</t>
  </si>
  <si>
    <t>UHF COMUNICACIONES</t>
  </si>
  <si>
    <t>IGLESIA FRATERNIDAD CRISTIANA</t>
  </si>
  <si>
    <t>CARBONERA RINCON S.A.S</t>
  </si>
  <si>
    <t>CARBONERA LA SIERRA S.A.S.</t>
  </si>
  <si>
    <t>AQUADUCTOS SAS</t>
  </si>
  <si>
    <t>SILEX INGENIEROS SAS</t>
  </si>
  <si>
    <t>CARLOS A. TORRES DISEÑO Y CONSTRUCCION S.A.S.</t>
  </si>
  <si>
    <t>FUNDACION PROTEGIENDO HUELLAS</t>
  </si>
  <si>
    <t>CONSORCIO VIP ALAMEDA 2019</t>
  </si>
  <si>
    <t>DIMOTIK SOLUTION S.A.S.</t>
  </si>
  <si>
    <t>LENETHI INGENIERIA Y ARQUITECTURA SAS</t>
  </si>
  <si>
    <t>TECNISERVICIOS HB SOCIEDAD POR ACCIONES SIMPLIFICADA</t>
  </si>
  <si>
    <t>MORALES INGENIERIA SAS</t>
  </si>
  <si>
    <t>MAQUIRETROS S.A.S.</t>
  </si>
  <si>
    <t>CARBONES EL TRIUNFO ACD S.A.S.</t>
  </si>
  <si>
    <t>MINAS EL PINO S.A.S.</t>
  </si>
  <si>
    <t>ECOMETALES S&amp;T S.A..S.</t>
  </si>
  <si>
    <t>CARBONERA NUEVA ESPERANZA S.A.S.</t>
  </si>
  <si>
    <t>JENZAR SOCIEDAD POR ACCIONES SIMPLIFICADA</t>
  </si>
  <si>
    <t>SERVIR LM&amp;C S.A.S.</t>
  </si>
  <si>
    <t>CONSORCIO GUANZA</t>
  </si>
  <si>
    <t>CONSTRUCTORA AUSTROS SAS</t>
  </si>
  <si>
    <t>CARBONES LOS CEREZOS S.A.S.</t>
  </si>
  <si>
    <t>ASOCIACION ACUEDUCTO VEREDA CAÑOS</t>
  </si>
  <si>
    <t>MDQ S.A.S</t>
  </si>
  <si>
    <t>SOCIEDAD PUENTE SAAVEDRA CONSTRUCTORES Y ASESORES SAS</t>
  </si>
  <si>
    <t>HIGH QUALITY MILK S.A.S.</t>
  </si>
  <si>
    <t>CONSTRUCTORA AMAYA SAS</t>
  </si>
  <si>
    <t>GEMAS Y MINERALES S.A.S.</t>
  </si>
  <si>
    <t>SOCIEDAD CARBONERA LA CABAÑA S.A.S.</t>
  </si>
  <si>
    <t>INGENIERIA &amp; CONSTRUCCION GREENSOLUTIONS S.A.S</t>
  </si>
  <si>
    <t>CONSORCIO PLAZA PAIPA</t>
  </si>
  <si>
    <t>MINAS SANCHEZ ARIZA S.A.S.</t>
  </si>
  <si>
    <t>PROYECTOS E INVERSIONES GARZON DIAZ S.A.S.</t>
  </si>
  <si>
    <t>PROYECTOS E INVESIONES ORO NEGRO S.A.S.</t>
  </si>
  <si>
    <t>INDUSTRIAS EL COHETE S.A.S</t>
  </si>
  <si>
    <t>COMPUREDES BOYACA S.A.S.</t>
  </si>
  <si>
    <t>CARBONERA D.F. S.A.S</t>
  </si>
  <si>
    <t>SECUENCIAL INGENIERIA SOCIEDAD POR ACCIONES SIMPLIFICADA</t>
  </si>
  <si>
    <t>FINCA LA GRANADA S.A.S.</t>
  </si>
  <si>
    <t>AM INGENIERIA &amp; CONSTRUCCION S.A.S.</t>
  </si>
  <si>
    <t>SERVIEVENTOS COLOMBIA SAS</t>
  </si>
  <si>
    <t>NEQUI S.A.</t>
  </si>
  <si>
    <t>RA ELECTRIC SOCIEDAD POR ACCIONES SIMPLIFICADA</t>
  </si>
  <si>
    <t>SOCIAL SOLAR S.A.S</t>
  </si>
  <si>
    <t>LEGUIZAMO IDEARK S.A.S.</t>
  </si>
  <si>
    <t>ALUMINIOS MARTINEZ FONSECA S.A.S.</t>
  </si>
  <si>
    <t>GRANISTON S.A.S</t>
  </si>
  <si>
    <t>INDUSTRIAS METALICAS J&amp;T S.A.S.</t>
  </si>
  <si>
    <t>KH SERVICIOS DE CONSTRUCCIONES Y MONTAJES ELECTROMECANICOS S.A.S.</t>
  </si>
  <si>
    <t>AINGELEC S.A.S.</t>
  </si>
  <si>
    <t>SOCIEDAD MINERA CABAÑA 2 S.A.S.</t>
  </si>
  <si>
    <t>ROPA&amp;ROCK ROYAL S.A.S.</t>
  </si>
  <si>
    <t>N2 CONSTRUCCIONES Y MONTAJES S.A.S.</t>
  </si>
  <si>
    <t>CAC DECORACIONES SAS</t>
  </si>
  <si>
    <t>TODOTEJIDOS SAS</t>
  </si>
  <si>
    <t>CONSORCIO ENERGIA SOLAR 2023 COMFABOY</t>
  </si>
  <si>
    <t>CARBOMAC S.A.S.</t>
  </si>
  <si>
    <t>MIN. CARBONE S.A.S.</t>
  </si>
  <si>
    <t>CESAR AUGUSTO MESA ESPINEL</t>
  </si>
  <si>
    <t>dh8800969@gmail.com</t>
  </si>
  <si>
    <t>danielpedraza406@gmail.com</t>
  </si>
  <si>
    <t>andresochoadiaz2@gmail.com</t>
  </si>
  <si>
    <t>deiverfeliperildan@gmail.com</t>
  </si>
  <si>
    <t>dirtyhouse2019@gmail.com</t>
  </si>
  <si>
    <t>jevelandiam@gmail.com</t>
  </si>
  <si>
    <t>alvaro-108@hotmail.com</t>
  </si>
  <si>
    <t>simgerkev12@gmail.com</t>
  </si>
  <si>
    <t>marmoles-sangabriel@hotmail.com</t>
  </si>
  <si>
    <t>macondalabssas@gmail.com</t>
  </si>
  <si>
    <t>hector93_11@hotmail.com</t>
  </si>
  <si>
    <t>vanessabravo0258@gmail.com</t>
  </si>
  <si>
    <t>gamerjm17@gmail.com</t>
  </si>
  <si>
    <t>antonybotello@gmail.com</t>
  </si>
  <si>
    <t>ventas853@hotmail.com</t>
  </si>
  <si>
    <t>cheojr15@gmail.com</t>
  </si>
  <si>
    <t>danielferandochaparroperez@gmail.com</t>
  </si>
  <si>
    <t>lizethlara9102@hotmail.com</t>
  </si>
  <si>
    <t>guillermoadl1992@hotmail.com</t>
  </si>
  <si>
    <t>corredorjairo77@gmail.com</t>
  </si>
  <si>
    <t>juanklopez1986@gmail.com</t>
  </si>
  <si>
    <t>carbonerabyc@gmail.com</t>
  </si>
  <si>
    <t>mechis.ne@hotmail.com</t>
  </si>
  <si>
    <t>edwiniosanabria@gmail.com</t>
  </si>
  <si>
    <t>mj8746815@gmail.com</t>
  </si>
  <si>
    <t>ramonochoa22@hotmail.com</t>
  </si>
  <si>
    <t>andresivangarcia2018@gmail.com</t>
  </si>
  <si>
    <t>jcmr_05@hotmail.es</t>
  </si>
  <si>
    <t>tractoelectricosdiazsas@gmail.com</t>
  </si>
  <si>
    <t>edieli_cama@hotmail.com</t>
  </si>
  <si>
    <t>jacquelinecepeda89@gmail.com</t>
  </si>
  <si>
    <t>yurianasaavedra@gmail.com</t>
  </si>
  <si>
    <t>fredellerman@gmail.com</t>
  </si>
  <si>
    <t>casetonesjb@hotmail.com</t>
  </si>
  <si>
    <t>krlosogamoso6@gmail.com</t>
  </si>
  <si>
    <t>w.fabianb31@gmail.com</t>
  </si>
  <si>
    <t>italocatjul@hotmail.com</t>
  </si>
  <si>
    <t>davirodrigueztorres074@gmail.com</t>
  </si>
  <si>
    <t>diomedez219@gmail.com</t>
  </si>
  <si>
    <t>mineraleseinversionesjr@gmail.com</t>
  </si>
  <si>
    <t>cristianguaman275@gmail.com</t>
  </si>
  <si>
    <t>brayan_da10@hotmail.com</t>
  </si>
  <si>
    <t>danibec1053@gmail.com</t>
  </si>
  <si>
    <t>richimonrroy93@gmail.com</t>
  </si>
  <si>
    <t>monicamariarodriguezleon6@gmail.com</t>
  </si>
  <si>
    <t>dpardoromero13@gmail.com</t>
  </si>
  <si>
    <t>luismiguelrodriguezalba00@gmail.com</t>
  </si>
  <si>
    <t>maria.prado@gmail.com</t>
  </si>
  <si>
    <t>erikovalle@hotmail.com</t>
  </si>
  <si>
    <t>karinacastellanos711@gmail.com</t>
  </si>
  <si>
    <t>luamcatu@hotmail.com</t>
  </si>
  <si>
    <t>jespinosavillamizar@gmail.com</t>
  </si>
  <si>
    <t>oscarr970703@gmail.com</t>
  </si>
  <si>
    <t>ing.pedrolarotta@gmail.com</t>
  </si>
  <si>
    <t>mabautista21@misena.edu.co</t>
  </si>
  <si>
    <t>yeisonvargas1643@gmail.com</t>
  </si>
  <si>
    <t>brayandavidft1@gmail.com</t>
  </si>
  <si>
    <t>rafaelrodriguezperalta637@gmail.com</t>
  </si>
  <si>
    <t>segundoleofonseca@gmail.com</t>
  </si>
  <si>
    <t>valenciaramirez09987@gmail.com</t>
  </si>
  <si>
    <t>jeferson123@gmail.com</t>
  </si>
  <si>
    <t>ariel.fiaga@outlook.com</t>
  </si>
  <si>
    <t>jvelasquezb@gmail.com</t>
  </si>
  <si>
    <t>holmandamian21@gmail.com</t>
  </si>
  <si>
    <t>jfrancyne@yahoo.com</t>
  </si>
  <si>
    <t>zapatarubendario48@gmail.com</t>
  </si>
  <si>
    <t>santi25041@gmail.com</t>
  </si>
  <si>
    <t>fibimoldesdeoccidente@hotmail.com</t>
  </si>
  <si>
    <t>turistica@outlook.com</t>
  </si>
  <si>
    <t>clidentcol@yahoo.es</t>
  </si>
  <si>
    <t>coolivo3@hotmail.com</t>
  </si>
  <si>
    <t>lilimo1974@hotmail.es</t>
  </si>
  <si>
    <t>cardenaspaipafactory@hotmail.com</t>
  </si>
  <si>
    <t>marisolvargasl@hotmail.com</t>
  </si>
  <si>
    <t>angiemarpacheco@gmail.com</t>
  </si>
  <si>
    <t>contabilidad.frutosilvestres@gmail.com</t>
  </si>
  <si>
    <t>castillorodriguez@gmail.com</t>
  </si>
  <si>
    <t>oscanpaco728@gmail.com</t>
  </si>
  <si>
    <t>com.elrey@yahoo.es</t>
  </si>
  <si>
    <t>pizzag.11@hotmail.com</t>
  </si>
  <si>
    <t>piminetagaviria@gmail.com</t>
  </si>
  <si>
    <t>teachernelida@gmail.com</t>
  </si>
  <si>
    <t>marialopez060369@gmail.com</t>
  </si>
  <si>
    <t>santony.trigal@gmail.com</t>
  </si>
  <si>
    <t>cruzbaronasociados@yahoo.es</t>
  </si>
  <si>
    <t>eisadelgado16@hotmail.com</t>
  </si>
  <si>
    <t>joaquinvas0825@gmail.com</t>
  </si>
  <si>
    <t>gabrielbohorquezmogollon@gmail.com</t>
  </si>
  <si>
    <t>edgarmiguelsan@hotmail.com</t>
  </si>
  <si>
    <t>diegoavilalizarazo@gmail.com</t>
  </si>
  <si>
    <t>guatyjr@gmail.com</t>
  </si>
  <si>
    <t>wilsonhrg657@gmail.com</t>
  </si>
  <si>
    <t>isaiasochoarodriguez66@gmail.com</t>
  </si>
  <si>
    <t>gessalgui@hotmail.com</t>
  </si>
  <si>
    <t>diematco299@gmail.com</t>
  </si>
  <si>
    <t>rosmiracardona67@gmail.com</t>
  </si>
  <si>
    <t>limagabu@gmail.com</t>
  </si>
  <si>
    <t>henryramirez17@hotmail.com</t>
  </si>
  <si>
    <t>magliz611@yahoo.es</t>
  </si>
  <si>
    <t>rociochaparro14@hotmail.com</t>
  </si>
  <si>
    <t>hoteltuvalu@hotmail.com</t>
  </si>
  <si>
    <t>infantemartha@yahoo.com</t>
  </si>
  <si>
    <t>maragonh@hotmail.com</t>
  </si>
  <si>
    <t>mropaipa@hotmail.com</t>
  </si>
  <si>
    <t>dorisgilmartinez@gmail.com</t>
  </si>
  <si>
    <t>gloriayjimmy@gmail.com</t>
  </si>
  <si>
    <t>s.agustin.martinez@gmail.com</t>
  </si>
  <si>
    <t>lauraya1974@hotmail.com</t>
  </si>
  <si>
    <t>lurafole@hotmail.com</t>
  </si>
  <si>
    <t>lupa582000@yahoo.com</t>
  </si>
  <si>
    <t>alfonsorobles1205@gmail.com</t>
  </si>
  <si>
    <t>jcperezjuancho@gmail.com</t>
  </si>
  <si>
    <t>lurube08@gmail.com</t>
  </si>
  <si>
    <t>hector.coronado@hotmail.com</t>
  </si>
  <si>
    <t>acerosymaderas@hotmail.com</t>
  </si>
  <si>
    <t>alejo.85@hotmail.com</t>
  </si>
  <si>
    <t>bernardorivera1@hotmail.com</t>
  </si>
  <si>
    <t>menarillos@yahoo.es</t>
  </si>
  <si>
    <t>cvasquez2703@gmail.com</t>
  </si>
  <si>
    <t>comlaespiga@gmail.com</t>
  </si>
  <si>
    <t>gabrielecheverria9@gmail.com</t>
  </si>
  <si>
    <t>wildergallo18@hotmail.com</t>
  </si>
  <si>
    <t>arquitectoomar12@hotmail.com</t>
  </si>
  <si>
    <t>lexon.abril@gmail.com</t>
  </si>
  <si>
    <t>wilsonfg05@gmail.com</t>
  </si>
  <si>
    <t>comicc2000@gmail.com</t>
  </si>
  <si>
    <t>patinojose689@gmail.com</t>
  </si>
  <si>
    <t>aristobulo65@hotmail.com</t>
  </si>
  <si>
    <t>laminadoscamargo@hotmail.com</t>
  </si>
  <si>
    <t>rafa.0876@hotmail.com</t>
  </si>
  <si>
    <t>granadosvasquezf@gmail.com</t>
  </si>
  <si>
    <t>hugosana24@gmail.com</t>
  </si>
  <si>
    <t>reyesmiryam15@gmail.com</t>
  </si>
  <si>
    <t>maalalbr@yahoo.com</t>
  </si>
  <si>
    <t>gabrielsuarez1973@gmail.com</t>
  </si>
  <si>
    <t>jairofonsec@hotmail.com</t>
  </si>
  <si>
    <t>roalaval@hotmail.com</t>
  </si>
  <si>
    <t>rodaldod123@hotmail.com</t>
  </si>
  <si>
    <t>carloscajasfuertes1@gmail.com</t>
  </si>
  <si>
    <t>ecoronado0034@gmail.com</t>
  </si>
  <si>
    <t>eliecersana72@gmail.com</t>
  </si>
  <si>
    <t>wilsonhernandez071975@gmail.com</t>
  </si>
  <si>
    <t>jordabau@gmail.com</t>
  </si>
  <si>
    <t>osaribraji@hotmail.com</t>
  </si>
  <si>
    <t>oscarvillate19@gmail.com</t>
  </si>
  <si>
    <t>jairoamaya2@iclub.com</t>
  </si>
  <si>
    <t>antonyrbt78@gmail.com</t>
  </si>
  <si>
    <t>omarcely49@gmail.com</t>
  </si>
  <si>
    <t>marcospaipilla@gmail.com</t>
  </si>
  <si>
    <t>fredy.pabon@hotmail.com</t>
  </si>
  <si>
    <t>alejandropaipa@hotmail.com</t>
  </si>
  <si>
    <t>alvaradohector2930@gmail.com</t>
  </si>
  <si>
    <t>maorobles@gmail.com</t>
  </si>
  <si>
    <t>stisanchez32@gmail.com</t>
  </si>
  <si>
    <t>luisdavidgil47@gmail.com</t>
  </si>
  <si>
    <t>louismeloc@gmail.com</t>
  </si>
  <si>
    <t>villatehiguera@yahoo.com</t>
  </si>
  <si>
    <t>juanesh@outlook.com</t>
  </si>
  <si>
    <t>jairoparramo@gmail.com</t>
  </si>
  <si>
    <t>monotaxi440@gmail.com</t>
  </si>
  <si>
    <t>launiondelsur@hotmail.com</t>
  </si>
  <si>
    <t>alvarobe187@hotmail.com</t>
  </si>
  <si>
    <t>williampinedasilva@hotmail.com</t>
  </si>
  <si>
    <t>lufrabema@gmail.com</t>
  </si>
  <si>
    <t>fernandopedraza69@hotmail.com</t>
  </si>
  <si>
    <t>yesidcas70@hotmail.com</t>
  </si>
  <si>
    <t>camargoochoaluisfelipe@gmail.com</t>
  </si>
  <si>
    <t>osquir1@gmail.com</t>
  </si>
  <si>
    <t>ofav26.09@gmail.com</t>
  </si>
  <si>
    <t>yoverejuancho@gmail.com</t>
  </si>
  <si>
    <t>jlrozovega@gmail.com</t>
  </si>
  <si>
    <t>xyzpaipa@gmail.com</t>
  </si>
  <si>
    <t>cmd@hotmail.com</t>
  </si>
  <si>
    <t>pablosalamanca2012@hotmail.com</t>
  </si>
  <si>
    <t>dinaelm78@hotmail.com</t>
  </si>
  <si>
    <t>javier.campos80895@gmail.com</t>
  </si>
  <si>
    <t>cesar1olarte@gmail.com</t>
  </si>
  <si>
    <t>reyu86680@gmail.com</t>
  </si>
  <si>
    <t>apsfutbol@gmail.com</t>
  </si>
  <si>
    <t>estradabracamontel@gmail.com</t>
  </si>
  <si>
    <t>jorgebuitrago140@gmail.com</t>
  </si>
  <si>
    <t>perfihierros@outlook.com</t>
  </si>
  <si>
    <t>david27ospina@hotmail.com</t>
  </si>
  <si>
    <t>alvaro.baez@uptc.edu.co</t>
  </si>
  <si>
    <t>jvpaipa@gmail.com</t>
  </si>
  <si>
    <t>angelmunos2013@gmail.com</t>
  </si>
  <si>
    <t>rigo3r@hotmail.com</t>
  </si>
  <si>
    <t>doraalamos61@hotmail.com</t>
  </si>
  <si>
    <t>asocontajv@gmail.com</t>
  </si>
  <si>
    <t>rosariobenitezmateus@hotmail.com</t>
  </si>
  <si>
    <t>neme8a@hotmail.com</t>
  </si>
  <si>
    <t>rikardof56@hotmail.com</t>
  </si>
  <si>
    <t>moisescn62@gmail.com</t>
  </si>
  <si>
    <t>hortipaipa@hotmail.com</t>
  </si>
  <si>
    <t>lpuentesmartinez@gmail.com</t>
  </si>
  <si>
    <t>cristobalchaparro2023@gmail.com</t>
  </si>
  <si>
    <t>ferr.agromateus@gmail.com</t>
  </si>
  <si>
    <t>josedivantoque@gmail.com</t>
  </si>
  <si>
    <t>facturaelectronica@loggro.com</t>
  </si>
  <si>
    <t>elicano46@yahoo.es</t>
  </si>
  <si>
    <t>ferecca@hotmail.com</t>
  </si>
  <si>
    <t>pime2000@gmail.com</t>
  </si>
  <si>
    <t>maderasuma1@hotmail.com</t>
  </si>
  <si>
    <t>antonioguevara1@hotmail.es</t>
  </si>
  <si>
    <t>tallerrojas226@gmail.com</t>
  </si>
  <si>
    <t>williamrodriguezsanchez20@gmail.com</t>
  </si>
  <si>
    <t>m_m_mora@yahoo.com</t>
  </si>
  <si>
    <t>acabadosarquitectonicos@yahoo.com</t>
  </si>
  <si>
    <t>miguel.2829@hotmail.com</t>
  </si>
  <si>
    <t>yeisonmatamoroscastro@gmail.com</t>
  </si>
  <si>
    <t>jmgaristizabal@hotmail.com</t>
  </si>
  <si>
    <t>exceavila@hotmail.com</t>
  </si>
  <si>
    <t>jose7antonio7medina7@gmail.com</t>
  </si>
  <si>
    <t>contabilidadlago110@gmail.com</t>
  </si>
  <si>
    <t>wilsonbecerra@quiminsa.com</t>
  </si>
  <si>
    <t>ladrilloselzipa@yahoo.com.ar</t>
  </si>
  <si>
    <t>fiproltda@gmail.com</t>
  </si>
  <si>
    <t>NA</t>
  </si>
  <si>
    <t>manuelbenavides2810@gmail.com</t>
  </si>
  <si>
    <t>tractecsa@gmail.com</t>
  </si>
  <si>
    <t>elornamentador@yahoo.com</t>
  </si>
  <si>
    <t>contactofunlatina@gmail.com</t>
  </si>
  <si>
    <t>gerencia.general.ottis@gmail.com</t>
  </si>
  <si>
    <t>tecnidetltda@gmail.com</t>
  </si>
  <si>
    <t>cyrgo@cyrgo.com.co</t>
  </si>
  <si>
    <t>inmagranltda@gmail.com</t>
  </si>
  <si>
    <t>facturacion@siigo.com</t>
  </si>
  <si>
    <t>recepcionfacturas.co@o-i.com</t>
  </si>
  <si>
    <t>col_intercambio@einvoicing.signature-cloud.com</t>
  </si>
  <si>
    <t>financiera@ladrilleramaguncia.com</t>
  </si>
  <si>
    <t>foyerpaipa@gmail.com</t>
  </si>
  <si>
    <t>arborisanltda@yahoo.com</t>
  </si>
  <si>
    <t>inversionesrustiplast@hotmail.com</t>
  </si>
  <si>
    <t>hotelfaninepaipa@hotmail.com</t>
  </si>
  <si>
    <t>inamsilco@gmail.com</t>
  </si>
  <si>
    <t>fiestasubahp@gmail.com</t>
  </si>
  <si>
    <t>contabilidadbrysna@gmail.com</t>
  </si>
  <si>
    <t>mastercatcolombia@gmail.com</t>
  </si>
  <si>
    <t>grcastro@hotmail.com</t>
  </si>
  <si>
    <t>contabilidad@rehimac.com.co</t>
  </si>
  <si>
    <t>contacto@absencol.com</t>
  </si>
  <si>
    <t>industrias.cem@hotmail.com</t>
  </si>
  <si>
    <t>comercializadoraboyacense@gmail.com</t>
  </si>
  <si>
    <t>elemecanic.admon@gmail.com</t>
  </si>
  <si>
    <t>enriquereyk@yahoo.es</t>
  </si>
  <si>
    <t>dimapboyaca@hotmail.com</t>
  </si>
  <si>
    <t>paisajeydiseno@yahoo.com</t>
  </si>
  <si>
    <t>facturacion@gmail.com</t>
  </si>
  <si>
    <t>alfonsobv62@gmail.com</t>
  </si>
  <si>
    <t>arquitecturalotus@gmail.com</t>
  </si>
  <si>
    <t>aya.ingenieria.construcciones@gmail.com</t>
  </si>
  <si>
    <t>scequipos@gmail.com</t>
  </si>
  <si>
    <t>contabilidad@ingenova.co</t>
  </si>
  <si>
    <t>acuatel04@yahoo.es</t>
  </si>
  <si>
    <t>vivianaemi159@hotmail.com</t>
  </si>
  <si>
    <t>facturas.proyectos74@yahoo.com</t>
  </si>
  <si>
    <t>luisktr02@hotmail.com</t>
  </si>
  <si>
    <t>solucionesyautomatizaciones@hotmail.com</t>
  </si>
  <si>
    <t>jhfperforaciones@hotmail.com</t>
  </si>
  <si>
    <t>vitralergonomia.cc@gmail.com</t>
  </si>
  <si>
    <t>fcelectronica@lacteoslaesmeralda.com</t>
  </si>
  <si>
    <t>geoverde.sas@hotmail.com</t>
  </si>
  <si>
    <t>construccionesyredeslg@gmail.com</t>
  </si>
  <si>
    <t>info.faccel@gmail.com</t>
  </si>
  <si>
    <t>fabricajas@gmail.com</t>
  </si>
  <si>
    <t>ibhmaquinaria@yahoo.com.ar</t>
  </si>
  <si>
    <t>contabilidad@ingenieriaprac.com.co</t>
  </si>
  <si>
    <t>jcvn01@yahoo.es</t>
  </si>
  <si>
    <t>occasas@hotmail.com</t>
  </si>
  <si>
    <t>terminadosfm@hotmail.com</t>
  </si>
  <si>
    <t>emsaflo.proyectos@gmail.com</t>
  </si>
  <si>
    <t>interelectricasimacsas@outlook.es</t>
  </si>
  <si>
    <t>facturacion@clinicaswhite.com</t>
  </si>
  <si>
    <t>edfefome92@gmail.com</t>
  </si>
  <si>
    <t>estructurasrygsas@gmail.com</t>
  </si>
  <si>
    <t>financiera@bglabs.com.co</t>
  </si>
  <si>
    <t>fumetcol@gmail.com</t>
  </si>
  <si>
    <t>facturasleonardopacheco@gmail.com</t>
  </si>
  <si>
    <t>jmariodaza@hotmail.com</t>
  </si>
  <si>
    <t>smartaut.legalidades@gmail.com</t>
  </si>
  <si>
    <t>minaselaltico@gmail.com</t>
  </si>
  <si>
    <t>kvanebn@gmail.com</t>
  </si>
  <si>
    <t>marcotuliovargasavella@gmail.com</t>
  </si>
  <si>
    <t>info@uhfcomunicaciones.com</t>
  </si>
  <si>
    <t>pastorjoaquincontento@hotmail.com</t>
  </si>
  <si>
    <t>sergiorincon9004@gmail.com</t>
  </si>
  <si>
    <t>marielamj19@hotmail.com</t>
  </si>
  <si>
    <t>contabilidadaquaductos@gmail.com</t>
  </si>
  <si>
    <t>silexingenieros@gmail.com</t>
  </si>
  <si>
    <t>ctorressas2019@gmail.com</t>
  </si>
  <si>
    <t>fundacionprotegiendohuellas@gmail.com</t>
  </si>
  <si>
    <t>contabilidadarqlotus@gmail.com</t>
  </si>
  <si>
    <t>ricarqui49@gmail.com</t>
  </si>
  <si>
    <t>ingenieriayarquitecturalenethi@gmail.com</t>
  </si>
  <si>
    <t>tecniservicioshb@gmail.com</t>
  </si>
  <si>
    <t>moralesingenieriasas@gmail.com</t>
  </si>
  <si>
    <t>josebautista1978@hotmail.com</t>
  </si>
  <si>
    <t>alfonsocamargodiaz50@gmail.com</t>
  </si>
  <si>
    <t>minaselpino@gmail.com</t>
  </si>
  <si>
    <t>ecometalesst@gmail.com</t>
  </si>
  <si>
    <t>nuevaesperanza@gmail.com</t>
  </si>
  <si>
    <t>jenzarsas@gmail.com</t>
  </si>
  <si>
    <t>servirmlc@gmail.com</t>
  </si>
  <si>
    <t>constructoraaustros@gmail.com</t>
  </si>
  <si>
    <t>carbones.ingenieria@gmail.com</t>
  </si>
  <si>
    <t>acueductoveredacanos@gmail.com</t>
  </si>
  <si>
    <t>infomdq01@gmail.com</t>
  </si>
  <si>
    <t>javier7202@hotmail.com</t>
  </si>
  <si>
    <t>maosagu@gmail.com</t>
  </si>
  <si>
    <t>haroldamaya64@gmail.com</t>
  </si>
  <si>
    <t>gemasyminerales.sas@gmail.com</t>
  </si>
  <si>
    <t>nejavierbecerra@gmail.com</t>
  </si>
  <si>
    <t>greensolutionsas01@gmail.com</t>
  </si>
  <si>
    <t>bcingenieriasas@gmail.com</t>
  </si>
  <si>
    <t>avellanedaivan90@gmail.com</t>
  </si>
  <si>
    <t>proinvgarzondiazsas@gmail.com</t>
  </si>
  <si>
    <t>proinvoronegrosas@gmail.com</t>
  </si>
  <si>
    <t>industriaselcohete1@gmail.com</t>
  </si>
  <si>
    <t>contabilidad@compuredesboyaca.com</t>
  </si>
  <si>
    <t>carboneradf@gmail.com</t>
  </si>
  <si>
    <t>secuencialingenieria@gmail.com</t>
  </si>
  <si>
    <t>fincalagranada@gmail.com</t>
  </si>
  <si>
    <t>amingenieria.construccionsas@gmail.com</t>
  </si>
  <si>
    <t>facturasservieventoscol@gmail.com</t>
  </si>
  <si>
    <t>escribe@nequi.com</t>
  </si>
  <si>
    <t>raelectricsas@gmail.com</t>
  </si>
  <si>
    <t>facturacion@socialsolar.com.co</t>
  </si>
  <si>
    <t>leguizamoidearksas@gmail.com</t>
  </si>
  <si>
    <t>aluminiomarteca2023@gmail.com</t>
  </si>
  <si>
    <t>graniston.sas@outlook.com</t>
  </si>
  <si>
    <t>indumetalicasjt@hotmail.com</t>
  </si>
  <si>
    <t>mantenimientoshyk@gmail.com</t>
  </si>
  <si>
    <t>aingelecsas@gmail.com</t>
  </si>
  <si>
    <t>sociedadcabana2@gmail.com</t>
  </si>
  <si>
    <t>ropayrocktunja@gmail.com</t>
  </si>
  <si>
    <t>n2construccionesymontajessas@gmail.com</t>
  </si>
  <si>
    <t>cacdecoracionesvidrioyaluminio@gmail.com</t>
  </si>
  <si>
    <t>todotejidosco@gmail.com</t>
  </si>
  <si>
    <t>socialsolar.co@gmail.com</t>
  </si>
  <si>
    <t>sascarbomac@gmail.com</t>
  </si>
  <si>
    <t>mincarbonesas@gmail.com</t>
  </si>
  <si>
    <t>ferrecerrejon@gmail.com</t>
  </si>
  <si>
    <t xml:space="preserve">
3125607056</t>
  </si>
  <si>
    <t>BARRIO LA ESTACION</t>
  </si>
  <si>
    <t>BARRIO GAITAN</t>
  </si>
  <si>
    <t>VDA LA PLAYA</t>
  </si>
  <si>
    <t>BARRIO ROSALES</t>
  </si>
  <si>
    <t>ESTACION DE ALEJANDRIA</t>
  </si>
  <si>
    <t>cll 30 9 22</t>
  </si>
  <si>
    <t>AV LIBER. 20 72</t>
  </si>
  <si>
    <t>CLL 30C SUR 6F 11</t>
  </si>
  <si>
    <t>AV LIBERTADORES 43 110</t>
  </si>
  <si>
    <t>CRA 121 20 27</t>
  </si>
  <si>
    <t>CL 8 A 90 A 67</t>
  </si>
  <si>
    <t>PAIPA CENTRO</t>
  </si>
  <si>
    <t>CRA 27 # 27-34</t>
  </si>
  <si>
    <t>CR 11 8 74 AP 502</t>
  </si>
  <si>
    <t>KM 3 VIA DUITAMA PAIPA TRANSPUERTO MD 14</t>
  </si>
  <si>
    <t>B. SAN DANIEL</t>
  </si>
  <si>
    <t>VDA MIRABAL</t>
  </si>
  <si>
    <t>CRA 18A 10 77 AP 301</t>
  </si>
  <si>
    <t>CL 16 5 127</t>
  </si>
  <si>
    <t>No informada</t>
  </si>
  <si>
    <t>VDA EL VOLCAN</t>
  </si>
  <si>
    <t>DG 21 22 137 P 2 BRR LOS ROSALES</t>
  </si>
  <si>
    <t>CRA 12B 30A 46</t>
  </si>
  <si>
    <t>CR 17 BIS 15 06 ESTACION DE ALEJANDRIA</t>
  </si>
  <si>
    <t>CRA 17B 21 26</t>
  </si>
  <si>
    <t>BARRIO PANORAMA</t>
  </si>
  <si>
    <t>CL 23B 17B 49</t>
  </si>
  <si>
    <t>CR 42 1 290</t>
  </si>
  <si>
    <t>CR 14 18 04</t>
  </si>
  <si>
    <t>VDA LLANO GRANDE</t>
  </si>
  <si>
    <t>CRA 19A 17 12</t>
  </si>
  <si>
    <t>CRA 25A 27A 40</t>
  </si>
  <si>
    <t>CRA 21 26 44</t>
  </si>
  <si>
    <t>TV 24 29B 56</t>
  </si>
  <si>
    <t>CLL 23 21 18</t>
  </si>
  <si>
    <t>CR 19 21 86</t>
  </si>
  <si>
    <t>VDA CHARITE</t>
  </si>
  <si>
    <t>CENTRO</t>
  </si>
  <si>
    <t>VDA SALITRE SEC SAN JOSE</t>
  </si>
  <si>
    <t>VDA LA BOLSA</t>
  </si>
  <si>
    <t>CLL 27B 14 42</t>
  </si>
  <si>
    <t>paipa</t>
  </si>
  <si>
    <t>VDA SATIVA</t>
  </si>
  <si>
    <t>CLL 28  27 18</t>
  </si>
  <si>
    <t>CRA 13 24B 78</t>
  </si>
  <si>
    <t>KM 0,5 VIA PAIPA-TUNJA</t>
  </si>
  <si>
    <t>CLL 10 21 31 LA PRADERA</t>
  </si>
  <si>
    <t>GUANZA</t>
  </si>
  <si>
    <t>VDA EL TEJAS</t>
  </si>
  <si>
    <t>CL 24 24 BRR LOS ROSALES</t>
  </si>
  <si>
    <t>CRA 17A 18 10</t>
  </si>
  <si>
    <t>BARRIO LOS ROSALES</t>
  </si>
  <si>
    <t>CL 32A 12BIS 09</t>
  </si>
  <si>
    <t>CL 27 19A 68 GAITAN</t>
  </si>
  <si>
    <t>KM 4  VIA PAIPA- TUNJA</t>
  </si>
  <si>
    <t>SIDERURGICA</t>
  </si>
  <si>
    <t>VDA MANZANO SECTOR MAGUNCIA</t>
  </si>
  <si>
    <t>CRA 63C 70 C 8</t>
  </si>
  <si>
    <t>CL 62G SUR 70F 07 CA17 BRR BALMORAL ET I</t>
  </si>
  <si>
    <t>VDA BOSIGAS CENTRO KM 27 VIA TUNJA PAIPA</t>
  </si>
  <si>
    <t>CALLE 9C N°33-26</t>
  </si>
  <si>
    <t>LC 11 IN ZF CAVASA</t>
  </si>
  <si>
    <t>CRA 19 26 45</t>
  </si>
  <si>
    <t>CLL 25 26 127</t>
  </si>
  <si>
    <t>VDA VENTA DEL LLANO</t>
  </si>
  <si>
    <t>KM 18 VIA PAIPA-TUNJA</t>
  </si>
  <si>
    <t>KM 5 VIA DUITAMA- TRINIDAD</t>
  </si>
  <si>
    <t>AV LIBERTADORES 25 65</t>
  </si>
  <si>
    <t>CR 23 23 50</t>
  </si>
  <si>
    <t>CR 17 109 54 APTO 202</t>
  </si>
  <si>
    <t>SALITRE SAN JOSE</t>
  </si>
  <si>
    <t>BARRIO CENTRO</t>
  </si>
  <si>
    <t>VIA LA PLAYA SECTOR LA FLORIDA</t>
  </si>
  <si>
    <t>CENTRO GACHANCIPA</t>
  </si>
  <si>
    <t>VDA EL CARMEN</t>
  </si>
  <si>
    <t>VDA CANOCAS SECTOR CLUB MILITAR</t>
  </si>
  <si>
    <t>VDA CANOCAS</t>
  </si>
  <si>
    <t>VDA EL SALITRE</t>
  </si>
  <si>
    <t>DIAg. 15 23A 22</t>
  </si>
  <si>
    <t>AV LIBERTADORES 22 01</t>
  </si>
  <si>
    <t>CL 5 4 27</t>
  </si>
  <si>
    <t>NOBSA CENTRO</t>
  </si>
  <si>
    <t>CLL 9B 31 30</t>
  </si>
  <si>
    <t>FINCA LOS ALISOS</t>
  </si>
  <si>
    <t>CRA 22 25 47</t>
  </si>
  <si>
    <t>TV 9 8 25 BRR FATIMA</t>
  </si>
  <si>
    <t>BARRIO CORINTO</t>
  </si>
  <si>
    <t>MZ G CASA 17 BRR LA ESTACION</t>
  </si>
  <si>
    <t>CRA 24 10 508</t>
  </si>
  <si>
    <t>VDA MARCURA</t>
  </si>
  <si>
    <t>BARRIO SAN FELIPE</t>
  </si>
  <si>
    <t>MZ A B CASA 12 URB VILLA KORINA</t>
  </si>
  <si>
    <t>CRA 11 145 71</t>
  </si>
  <si>
    <t>CL 21 22 15 BRR CENTRO</t>
  </si>
  <si>
    <t>VDA QUEBRADA HONDA</t>
  </si>
  <si>
    <t>VDA LLANO GRANDE CASA FONTANA</t>
  </si>
  <si>
    <t>VDA CANOCAS CABAÑA LA POLITA</t>
  </si>
  <si>
    <t>VDA EL VOLCAN EL PROGRESO</t>
  </si>
  <si>
    <t>AV UNIVERSITARIA 29-93</t>
  </si>
  <si>
    <t>SENDEROS DE SAN DANIEL</t>
  </si>
  <si>
    <t>VDA BOSIGA SUR</t>
  </si>
  <si>
    <t>CRA 14 14 77</t>
  </si>
  <si>
    <t>VDA MIRABLE</t>
  </si>
  <si>
    <t>CLL 29 15 44</t>
  </si>
  <si>
    <t>CLL 25 16  25</t>
  </si>
  <si>
    <t>DUITAMA CENTRO</t>
  </si>
  <si>
    <t>RANCHO EL CAPRICHO</t>
  </si>
  <si>
    <t>CL 1 1A 135 CD INDUSTRIAL</t>
  </si>
  <si>
    <t>CA 13 24B 78</t>
  </si>
  <si>
    <t>VDA EL MANZANO</t>
  </si>
  <si>
    <t>BR VILLA VIANEY</t>
  </si>
  <si>
    <t>CALLE 26 N° 22 54</t>
  </si>
  <si>
    <t>MZ C CASA14 LA ESTACION</t>
  </si>
  <si>
    <t>VDA TOIBITA</t>
  </si>
  <si>
    <t>CL 22 24 55</t>
  </si>
  <si>
    <t>VDA CRUZ DE BONZA</t>
  </si>
  <si>
    <t>CL 32 27 155 BRR PABLO SOLANO</t>
  </si>
  <si>
    <t>CL 25 26 94</t>
  </si>
  <si>
    <t>CRA 29 27 87</t>
  </si>
  <si>
    <t>LAS QUINTAS</t>
  </si>
  <si>
    <t>VDA ROMITA</t>
  </si>
  <si>
    <t>CRA 19 25 49</t>
  </si>
  <si>
    <t>CL 24 24 37</t>
  </si>
  <si>
    <t>VDA EL ROSAL</t>
  </si>
  <si>
    <t>CL 30 12 33</t>
  </si>
  <si>
    <t>DIAG. 18 24 35</t>
  </si>
  <si>
    <t>VD CRUZ DE MURCIA</t>
  </si>
  <si>
    <t>CRA 30 29 110</t>
  </si>
  <si>
    <t>AV Libertadores 14 05</t>
  </si>
  <si>
    <t>SECTOR LOS LAGOS</t>
  </si>
  <si>
    <t>CL 24 26 26 BRR LOS ROSALES</t>
  </si>
  <si>
    <t>CRA 27 11A 106</t>
  </si>
  <si>
    <t>AV LIBERTADORES 31 03</t>
  </si>
  <si>
    <t>URBANIZACION GUANZA</t>
  </si>
  <si>
    <t>MAZANA K CASA 6 SAN DANIEL</t>
  </si>
  <si>
    <t>AV LIBERTADORES 20A 15</t>
  </si>
  <si>
    <t>SECTOR SIDERURGICA</t>
  </si>
  <si>
    <t>TORRES DE SANTA ISABEL AP 202 TORRE C</t>
  </si>
  <si>
    <t>CRA 16 26 21</t>
  </si>
  <si>
    <t>Vereda  El espinal Sotaquira Boyacá</t>
  </si>
  <si>
    <t>CL 20 1 85</t>
  </si>
  <si>
    <t>CL 29 26 16</t>
  </si>
  <si>
    <t>AV LIBERTADORES 22 23</t>
  </si>
  <si>
    <t>TRN 22  19 17</t>
  </si>
  <si>
    <t>CALLE 65 56B 33</t>
  </si>
  <si>
    <t>VDA CAÑOS</t>
  </si>
  <si>
    <t>SANTA ROSITA</t>
  </si>
  <si>
    <t>CALLE 24 -17 31 BRR LAS QUINTAS</t>
  </si>
  <si>
    <t>BARRIO EL BOSQUE</t>
  </si>
  <si>
    <t>VDA LA TOMA BAJA</t>
  </si>
  <si>
    <t>VDA LA ESPERANZA_x000D_
VDA LA ESPERANZA</t>
  </si>
  <si>
    <t>CARRERA 21 -23 70</t>
  </si>
  <si>
    <t>VDA EL RAMAL</t>
  </si>
  <si>
    <t>CRA 23 18 10</t>
  </si>
  <si>
    <t>VDA CERCA DE PIEDRA ENT CAMINO STA BARBARA</t>
  </si>
  <si>
    <t>Calle 33 # 14-145 casa 67</t>
  </si>
  <si>
    <t>CRA 3 76A 65</t>
  </si>
  <si>
    <t>BALCONES DE SAN LUIS</t>
  </si>
  <si>
    <t>CRA 23 26 37</t>
  </si>
  <si>
    <t>CR 28A 17 43</t>
  </si>
  <si>
    <t>Av libertadores 22-20</t>
  </si>
  <si>
    <t>CLL 27A 23 27</t>
  </si>
  <si>
    <t>CL 22 23 61</t>
  </si>
  <si>
    <t>AV LIBERTADORES 34 123</t>
  </si>
  <si>
    <t>VDA BOSIGA CENTRO SIDERURGICA</t>
  </si>
  <si>
    <t>TV 9 55 18</t>
  </si>
  <si>
    <t>AV LIBERTADORES 31A 70 72</t>
  </si>
  <si>
    <t>CR 21 20 07</t>
  </si>
  <si>
    <t>CRA 31 19 00</t>
  </si>
  <si>
    <t>CR 17 26 09 BRR PRIMERO DE MAYO</t>
  </si>
  <si>
    <t>VDA SALITRE</t>
  </si>
  <si>
    <t>CRA 19 17 21</t>
  </si>
  <si>
    <t>CR 21 27 43</t>
  </si>
  <si>
    <t>CR 24 A 30 06</t>
  </si>
  <si>
    <t>CL 4 5 43</t>
  </si>
  <si>
    <t>DG 21 22 137 P2</t>
  </si>
  <si>
    <t>KM 12 VIA PAIPA TUNJA</t>
  </si>
  <si>
    <t>CLL 22 21 66</t>
  </si>
  <si>
    <t>CRA 19 27 33</t>
  </si>
  <si>
    <t>CR 34 20 A 60 BRR CAMILO TORRES</t>
  </si>
  <si>
    <t>CL 23 25 00</t>
  </si>
  <si>
    <t>VDA BOSIGA CENTRO</t>
  </si>
  <si>
    <t>CR 11 27 91 AP 802 ED BALCONES DE SAN RAFAEL</t>
  </si>
  <si>
    <t>CRA 26 9 57</t>
  </si>
  <si>
    <t>CRA 28 21B 06</t>
  </si>
  <si>
    <t>CL 25 21 18 OF 301</t>
  </si>
  <si>
    <t>CL 19 44 35</t>
  </si>
  <si>
    <t>DG 21 22 7 37</t>
  </si>
  <si>
    <t>CR 25 25 75</t>
  </si>
  <si>
    <t>CR 18 113 55 AP 603</t>
  </si>
  <si>
    <t>CL 35 C SUR 26C 36 BRR BRAVO PAEZ</t>
  </si>
  <si>
    <t>CL 2 93D 45 TO 1 AP 501</t>
  </si>
  <si>
    <t>CL 25 10 43</t>
  </si>
  <si>
    <t>CR 60 17 86</t>
  </si>
  <si>
    <t>KM 2 VIA PAIPA DUITAMA</t>
  </si>
  <si>
    <t>VDA DE SATIVA</t>
  </si>
  <si>
    <t>KM 7 PAIPA DUITAMA</t>
  </si>
  <si>
    <t>CLL 116 18B 43</t>
  </si>
  <si>
    <t>CRA 34 119 12</t>
  </si>
  <si>
    <t>KM 1 VIA PAIPA - TERMOPAIPA</t>
  </si>
  <si>
    <t>CLL24 20 75</t>
  </si>
  <si>
    <t>CRA 66 10 35</t>
  </si>
  <si>
    <t>CLL 121 6 46 OFC 245</t>
  </si>
  <si>
    <t>CL 13A 14 60</t>
  </si>
  <si>
    <t>CL 9 23 09</t>
  </si>
  <si>
    <t>CALLE 93B 18 12 ED CHICO BUSINESS PARK PISO 8</t>
  </si>
  <si>
    <t>CR 29A 20 26 SUR</t>
  </si>
  <si>
    <t>KM 1 VIA BOGOTA - SIBERIA PARQUE EMPRESARIAL LOS ROBLES 1 BO 4</t>
  </si>
  <si>
    <t>AV 4 3 103</t>
  </si>
  <si>
    <t>CRA 16 16 19</t>
  </si>
  <si>
    <t>CARR CENTRAL DEL NORTE KM 27 VIA TUNJA PAIPA</t>
  </si>
  <si>
    <t>KM 25 VIA TUNJA- PAIPA</t>
  </si>
  <si>
    <t>CL 64C 68B 98BL 18 EN 3 AP 301</t>
  </si>
  <si>
    <t>AV 9 164A 20</t>
  </si>
  <si>
    <t>CL 25 5 18</t>
  </si>
  <si>
    <t>AV CL 26 69 76 ED ELEMENTO TO 3 OF 1501</t>
  </si>
  <si>
    <t>CL 147 101 56</t>
  </si>
  <si>
    <t>CL 10 A 44 45</t>
  </si>
  <si>
    <t>CRA 73 74 66</t>
  </si>
  <si>
    <t>CL 6C 72C 65 IN 4 AP 502</t>
  </si>
  <si>
    <t>CL 56 5N 90</t>
  </si>
  <si>
    <t>CL 26 19 21</t>
  </si>
  <si>
    <t>PARQUE INDUSTRIAL Y ARTESANAL PAIPA KM 6 VIA PAIPA-DUITAMA</t>
  </si>
  <si>
    <t>TRA 24 27A 31</t>
  </si>
  <si>
    <t>CRA 11 8 41</t>
  </si>
  <si>
    <t>CR 59 B BIS 131 07</t>
  </si>
  <si>
    <t>CRA 35 01 138</t>
  </si>
  <si>
    <t>CL 25 69D 80 IN 2 AP 903</t>
  </si>
  <si>
    <t>CRA 31 44 38 SUR</t>
  </si>
  <si>
    <t>CR 13 38 47 OF 508</t>
  </si>
  <si>
    <t>CRA 16 25 18 APTO 201 EDI EL CIELO</t>
  </si>
  <si>
    <t>AK 9 127 C 60 OF 403</t>
  </si>
  <si>
    <t>CL 18 86 55 IN 3 AP 901</t>
  </si>
  <si>
    <t>CL 98 70 91 OF 512</t>
  </si>
  <si>
    <t>AV LIBERTADORES 21 01</t>
  </si>
  <si>
    <t>CR 21 23 71</t>
  </si>
  <si>
    <t>CL 2 G 5 B 37</t>
  </si>
  <si>
    <t>CL 24 25 52</t>
  </si>
  <si>
    <t>Barrio La Estación</t>
  </si>
  <si>
    <t>CLL 24 22 61</t>
  </si>
  <si>
    <t>CL 174A 49A 13</t>
  </si>
  <si>
    <t>CL 1A 8A 19 SUR</t>
  </si>
  <si>
    <t>CL 127A 5C 41 TO 3 OF 203</t>
  </si>
  <si>
    <t>KM 14 VIA FONTIBON FACATATIVA LOS ALPESMAS 600MTS CAMELLON INTERNO</t>
  </si>
  <si>
    <t>CR 19 A 22 20</t>
  </si>
  <si>
    <t>CRA 22 25 61 OF 205</t>
  </si>
  <si>
    <t>MZ Q LT 6 7 CD INDUSTRIAL</t>
  </si>
  <si>
    <t>CR 24 B 1 D 23</t>
  </si>
  <si>
    <t>VEREDA SATIVA</t>
  </si>
  <si>
    <t>Carrera 11  · 17 - 23</t>
  </si>
  <si>
    <t>CR 116 18 15 AP 505 TO 1 UN TORRES DEL ALFERES</t>
  </si>
  <si>
    <t>CARRERA 15 -19A 49 ESTACION DE ALEJANDRIA</t>
  </si>
  <si>
    <t>BARRIO ESTACION DE ALEJANDRIA</t>
  </si>
  <si>
    <t>VDA SIATAME ALCAPARRAL</t>
  </si>
  <si>
    <t>CRA 11 No  22-72</t>
  </si>
  <si>
    <t>CLL 99 14 76</t>
  </si>
  <si>
    <t>CL 23 A 24 A 46</t>
  </si>
  <si>
    <t>CR 5 C2 01</t>
  </si>
  <si>
    <t>CR 9 110 51 IN 111</t>
  </si>
  <si>
    <t>KM 2 VIA PAIPA RETORNO ROMITA</t>
  </si>
  <si>
    <t>CL 24 19 20</t>
  </si>
  <si>
    <t>CR 19 24 17</t>
  </si>
  <si>
    <t>CR 19 28 60 LC 103</t>
  </si>
  <si>
    <t>DG 67 0A 16 BRR LOS MUISCAS</t>
  </si>
  <si>
    <t>CL 25 9 87 OF 202</t>
  </si>
  <si>
    <t>CR 9A 17C 45</t>
  </si>
  <si>
    <t>VDA SALITRE SECTOR SAN JOSE</t>
  </si>
  <si>
    <t>CR 23 25 59 ESQ BRR CENTRO</t>
  </si>
  <si>
    <t>CL 25 15 125 BRR LAS QUINTAS</t>
  </si>
  <si>
    <t>KM 4 VIA PAIPA TUNJA</t>
  </si>
  <si>
    <t>CL 22 20 63</t>
  </si>
  <si>
    <t>CL 95 14 45 P 8</t>
  </si>
  <si>
    <t>CR 98C 135A 12</t>
  </si>
  <si>
    <t>CL 25 12 29 BRR VILLA PANORAMA</t>
  </si>
  <si>
    <t>VDA CAÑOS FCA LA LOMA</t>
  </si>
  <si>
    <t>CR 16 25 18 ED EL CIELO AP 606</t>
  </si>
  <si>
    <t>CR 17N R 26A 56</t>
  </si>
  <si>
    <t>TV 77 B 58A 03 SUR</t>
  </si>
  <si>
    <t>KM 6 VIA PAIPA - DUITAMA</t>
  </si>
  <si>
    <t>CRA 19 22 49</t>
  </si>
  <si>
    <t xml:space="preserve"> CLL 32A 12 BIS 09</t>
  </si>
  <si>
    <t>CL 16 24 18 BRR FATIMA</t>
  </si>
  <si>
    <t>CRA 17 26B 10</t>
  </si>
  <si>
    <t>CL 12 22 35 BRR LAS DELICIAS</t>
  </si>
  <si>
    <t>CRR 22 22-28</t>
  </si>
  <si>
    <t>CLL 30 20 44 P3</t>
  </si>
  <si>
    <t>DG 59 11 C 38</t>
  </si>
  <si>
    <t>CL 135 7 41 TO 4A  AP 904</t>
  </si>
  <si>
    <t>CR 17 23A 20</t>
  </si>
  <si>
    <t>CLL 11 A 32 20 CA 34</t>
  </si>
  <si>
    <t>CR 6 N 38 33 AP 201 BRR MESOPOTAMIA</t>
  </si>
  <si>
    <t>VTE ESTACION DE SERVICIO PETROBAS LOS ANGELE KM 3 VTE VIA PAIPA TUNJA</t>
  </si>
  <si>
    <t>CL 25 68B 27 TO 1 OF 504</t>
  </si>
  <si>
    <t>CR 23 11 46</t>
  </si>
  <si>
    <t>CL 21 A 28 27</t>
  </si>
  <si>
    <t>CR 1F 40 195 ED ENTERPRISE TOWER OF 402</t>
  </si>
  <si>
    <t>CL 26 20 48 IN 102</t>
  </si>
  <si>
    <t>AV LOS LIBERTADORES 43 135 BRR CORINTO</t>
  </si>
  <si>
    <t>CL 24 17A 16 BRR LAS QUINTAS</t>
  </si>
  <si>
    <t>CR 21 23 28</t>
  </si>
  <si>
    <t>CL 21 17A 51</t>
  </si>
  <si>
    <t>VDA EL CARMEN FINCA LA GRANADA</t>
  </si>
  <si>
    <t>CL 2B 10 06</t>
  </si>
  <si>
    <t>CR 81D 25B 16</t>
  </si>
  <si>
    <t>CARRERA 48 18 A 14</t>
  </si>
  <si>
    <t>CL 24 29 109</t>
  </si>
  <si>
    <t>Paipa</t>
  </si>
  <si>
    <t>CR 21 21 51</t>
  </si>
  <si>
    <t>CL 12 23 C20</t>
  </si>
  <si>
    <t>CL 58 A 99B 52 SUR SANTA BARBARA</t>
  </si>
  <si>
    <t>CALLE 4 9 108</t>
  </si>
  <si>
    <t>CL 57C SUR 77K 70</t>
  </si>
  <si>
    <t>CL 25 17 55 BR LAS QUINTAS</t>
  </si>
  <si>
    <t>CRA 10 24 14</t>
  </si>
  <si>
    <t>CL 23 25 00 ESQ CONCHA ACUSTICA</t>
  </si>
  <si>
    <t>CR 72L 37 34 SUR</t>
  </si>
  <si>
    <t>AUT MEDELLIN-BOGOTA KM 35 2 VDA LA LAJA</t>
  </si>
  <si>
    <t>CR 19 28 60 L C 103</t>
  </si>
  <si>
    <t>CL 21 23 28</t>
  </si>
  <si>
    <t>CR 22 22 28</t>
  </si>
  <si>
    <t>CALLE 13 N° 19-63</t>
  </si>
  <si>
    <t xml:space="preserve">
VEREDA BOSIGAS NORTE</t>
  </si>
  <si>
    <t>JOSE OSVALDO RIVERA TUTA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</si>
</sst>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_ ;\-0\ 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64" fontId="0" fillId="0" borderId="0" xfId="1" applyNumberFormat="1" applyFont="1" applyProtection="1">
      <protection locked="0"/>
    </xf>
    <xf numFmtId="165" fontId="0" fillId="0" borderId="0" xfId="1" applyNumberFormat="1" applyFont="1" applyProtection="1">
      <protection locked="0"/>
    </xf>
    <xf numFmtId="165" fontId="0" fillId="2" borderId="0" xfId="1" applyNumberFormat="1" applyFont="1" applyFill="1" applyProtection="1">
      <protection locked="0"/>
    </xf>
    <xf numFmtId="165" fontId="0" fillId="2" borderId="0" xfId="1" applyNumberFormat="1" applyFont="1" applyFill="1" applyAlignment="1" applyProtection="1">
      <alignment horizontal="center"/>
      <protection locked="0"/>
    </xf>
    <xf numFmtId="165" fontId="1" fillId="4" borderId="7" xfId="1" applyNumberFormat="1" applyFont="1" applyFill="1" applyBorder="1" applyAlignment="1">
      <alignment horizontal="center" vertical="center" wrapText="1"/>
    </xf>
    <xf numFmtId="165" fontId="1" fillId="4" borderId="8" xfId="1" applyNumberFormat="1" applyFont="1" applyFill="1" applyBorder="1" applyAlignment="1">
      <alignment horizontal="center" vertical="center" wrapText="1"/>
    </xf>
    <xf numFmtId="3" fontId="0" fillId="2" borderId="0" xfId="1" applyNumberFormat="1" applyFont="1" applyFill="1" applyProtection="1">
      <protection locked="0"/>
    </xf>
    <xf numFmtId="3" fontId="0" fillId="2" borderId="0" xfId="1" applyNumberFormat="1" applyFont="1" applyFill="1" applyAlignment="1" applyProtection="1">
      <alignment horizontal="center"/>
      <protection locked="0"/>
    </xf>
    <xf numFmtId="3" fontId="1" fillId="4" borderId="7" xfId="1" applyNumberFormat="1" applyFont="1" applyFill="1" applyBorder="1" applyAlignment="1">
      <alignment horizontal="center" vertical="center" wrapText="1"/>
    </xf>
    <xf numFmtId="3" fontId="0" fillId="0" borderId="0" xfId="1" applyNumberFormat="1" applyFont="1" applyProtection="1">
      <protection locked="0"/>
    </xf>
    <xf numFmtId="0" fontId="3" fillId="0" borderId="0" xfId="0" applyFont="1" applyFill="1" applyProtection="1">
      <protection locked="0"/>
    </xf>
    <xf numFmtId="164" fontId="3" fillId="0" borderId="0" xfId="1" applyNumberFormat="1" applyFont="1" applyFill="1" applyProtection="1">
      <protection locked="0"/>
    </xf>
    <xf numFmtId="165" fontId="3" fillId="0" borderId="0" xfId="1" applyNumberFormat="1" applyFont="1" applyFill="1" applyProtection="1">
      <protection locked="0"/>
    </xf>
    <xf numFmtId="3" fontId="3" fillId="0" borderId="0" xfId="1" applyNumberFormat="1" applyFont="1" applyFill="1" applyAlignment="1" applyProtection="1">
      <alignment wrapText="1"/>
      <protection locked="0"/>
    </xf>
    <xf numFmtId="164" fontId="3" fillId="0" borderId="0" xfId="1" applyNumberFormat="1" applyFont="1" applyFill="1" applyAlignment="1" applyProtection="1">
      <alignment horizontal="right" wrapText="1"/>
      <protection locked="0"/>
    </xf>
    <xf numFmtId="0" fontId="3" fillId="0" borderId="0" xfId="0" applyFont="1" applyFill="1" applyAlignment="1" applyProtection="1">
      <alignment wrapText="1"/>
      <protection locked="0"/>
    </xf>
    <xf numFmtId="3" fontId="3" fillId="0" borderId="0" xfId="1" applyNumberFormat="1" applyFont="1" applyFill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45"/>
  <sheetViews>
    <sheetView tabSelected="1" zoomScale="75" zoomScaleNormal="75" workbookViewId="0">
      <pane ySplit="6" topLeftCell="A7" activePane="bottomLeft" state="frozen"/>
      <selection pane="bottomLeft" activeCell="D5" sqref="D5:F5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18.21875" style="9" bestFit="1" customWidth="1"/>
    <col min="6" max="6" width="51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27" customWidth="1"/>
    <col min="11" max="11" width="20.44140625" style="19" customWidth="1"/>
    <col min="12" max="12" width="19.33203125" style="1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5" customHeight="1" x14ac:dyDescent="0.3">
      <c r="A2" s="11" t="s">
        <v>2251</v>
      </c>
      <c r="B2" s="11"/>
      <c r="C2" s="11"/>
      <c r="D2" s="36">
        <v>4191297</v>
      </c>
      <c r="E2" s="37"/>
      <c r="F2" s="37"/>
      <c r="G2" s="8"/>
      <c r="H2" s="8"/>
      <c r="I2" s="8"/>
      <c r="J2" s="24"/>
      <c r="K2" s="20"/>
      <c r="L2" s="20"/>
    </row>
    <row r="3" spans="1:12" ht="15" customHeight="1" x14ac:dyDescent="0.3">
      <c r="A3" s="12" t="s">
        <v>2248</v>
      </c>
      <c r="B3" s="12"/>
      <c r="C3" s="12"/>
      <c r="D3" s="38" t="s">
        <v>3278</v>
      </c>
      <c r="E3" s="39"/>
      <c r="F3" s="39"/>
      <c r="G3" s="10"/>
      <c r="H3" s="10"/>
      <c r="I3" s="10"/>
      <c r="J3" s="25"/>
      <c r="K3" s="21"/>
      <c r="L3" s="21"/>
    </row>
    <row r="4" spans="1:12" ht="15" customHeight="1" x14ac:dyDescent="0.25">
      <c r="A4" s="11" t="s">
        <v>2250</v>
      </c>
      <c r="B4" s="11"/>
      <c r="C4" s="11"/>
      <c r="D4" s="36">
        <v>2024</v>
      </c>
      <c r="E4" s="37"/>
      <c r="F4" s="37"/>
      <c r="G4" s="10"/>
      <c r="H4" s="10"/>
      <c r="I4" s="10"/>
      <c r="J4" s="25"/>
      <c r="K4" s="21"/>
      <c r="L4" s="21"/>
    </row>
    <row r="5" spans="1:12" ht="15" customHeight="1" thickBot="1" x14ac:dyDescent="0.35">
      <c r="A5" s="12" t="s">
        <v>2249</v>
      </c>
      <c r="B5" s="12"/>
      <c r="C5" s="12"/>
      <c r="D5" s="41">
        <v>45898</v>
      </c>
      <c r="E5" s="40"/>
      <c r="F5" s="40"/>
      <c r="G5" s="10"/>
      <c r="H5" s="10"/>
      <c r="I5" s="10"/>
      <c r="J5" s="25"/>
      <c r="K5" s="21"/>
      <c r="L5" s="21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26" t="s">
        <v>8</v>
      </c>
      <c r="K6" s="22" t="s">
        <v>9</v>
      </c>
      <c r="L6" s="23" t="s">
        <v>10</v>
      </c>
    </row>
    <row r="7" spans="1:12" x14ac:dyDescent="0.3">
      <c r="A7" s="28">
        <v>1001342723</v>
      </c>
      <c r="B7" s="28"/>
      <c r="C7" s="28" t="s">
        <v>2252</v>
      </c>
      <c r="D7" s="28" t="s">
        <v>2613</v>
      </c>
      <c r="E7" s="29">
        <v>3022501746</v>
      </c>
      <c r="F7" s="28" t="s">
        <v>2956</v>
      </c>
      <c r="G7" s="28">
        <v>15516</v>
      </c>
      <c r="H7" s="28">
        <v>211</v>
      </c>
      <c r="I7" s="30">
        <v>13445</v>
      </c>
      <c r="J7" s="31">
        <v>0</v>
      </c>
      <c r="K7" s="31">
        <v>0</v>
      </c>
      <c r="L7" s="31">
        <v>0</v>
      </c>
    </row>
    <row r="8" spans="1:12" ht="17.399999999999999" customHeight="1" x14ac:dyDescent="0.3">
      <c r="A8" s="28">
        <v>1002538970</v>
      </c>
      <c r="B8" s="28"/>
      <c r="C8" s="28" t="s">
        <v>2253</v>
      </c>
      <c r="D8" s="28" t="s">
        <v>2614</v>
      </c>
      <c r="E8" s="32" t="s">
        <v>2955</v>
      </c>
      <c r="F8" s="28" t="s">
        <v>2957</v>
      </c>
      <c r="G8" s="28">
        <v>15516</v>
      </c>
      <c r="H8" s="28">
        <v>211</v>
      </c>
      <c r="I8" s="30">
        <v>181513</v>
      </c>
      <c r="J8" s="31">
        <v>0</v>
      </c>
      <c r="K8" s="31">
        <v>0</v>
      </c>
      <c r="L8" s="31">
        <v>0</v>
      </c>
    </row>
    <row r="9" spans="1:12" x14ac:dyDescent="0.3">
      <c r="A9" s="28">
        <v>1002539028</v>
      </c>
      <c r="B9" s="28"/>
      <c r="C9" s="28" t="s">
        <v>2254</v>
      </c>
      <c r="D9" s="28" t="s">
        <v>2615</v>
      </c>
      <c r="E9" s="29">
        <v>3223063727</v>
      </c>
      <c r="F9" s="28" t="s">
        <v>2958</v>
      </c>
      <c r="G9" s="28">
        <v>15516</v>
      </c>
      <c r="H9" s="28">
        <v>211</v>
      </c>
      <c r="I9" s="30">
        <v>71429</v>
      </c>
      <c r="J9" s="31">
        <v>0</v>
      </c>
      <c r="K9" s="31">
        <v>0</v>
      </c>
      <c r="L9" s="31">
        <v>0</v>
      </c>
    </row>
    <row r="10" spans="1:12" x14ac:dyDescent="0.3">
      <c r="A10" s="28">
        <v>1012463505</v>
      </c>
      <c r="B10" s="28"/>
      <c r="C10" s="28" t="s">
        <v>2255</v>
      </c>
      <c r="D10" s="28" t="s">
        <v>2616</v>
      </c>
      <c r="E10" s="29">
        <v>3185901994</v>
      </c>
      <c r="F10" s="28" t="s">
        <v>2959</v>
      </c>
      <c r="G10" s="28">
        <v>15516</v>
      </c>
      <c r="H10" s="28">
        <v>211</v>
      </c>
      <c r="I10" s="30">
        <v>127311</v>
      </c>
      <c r="J10" s="31">
        <v>0</v>
      </c>
      <c r="K10" s="31">
        <v>0</v>
      </c>
      <c r="L10" s="31">
        <v>0</v>
      </c>
    </row>
    <row r="11" spans="1:12" x14ac:dyDescent="0.3">
      <c r="A11" s="28">
        <v>1013642630</v>
      </c>
      <c r="B11" s="28"/>
      <c r="C11" s="28" t="s">
        <v>2256</v>
      </c>
      <c r="D11" s="28" t="s">
        <v>2617</v>
      </c>
      <c r="E11" s="29">
        <v>3014259302</v>
      </c>
      <c r="F11" s="28" t="s">
        <v>2960</v>
      </c>
      <c r="G11" s="28">
        <v>15516</v>
      </c>
      <c r="H11" s="28">
        <v>211</v>
      </c>
      <c r="I11" s="30">
        <v>115126</v>
      </c>
      <c r="J11" s="31">
        <v>0</v>
      </c>
      <c r="K11" s="31">
        <v>0</v>
      </c>
      <c r="L11" s="31">
        <v>0</v>
      </c>
    </row>
    <row r="12" spans="1:12" x14ac:dyDescent="0.3">
      <c r="A12" s="28">
        <v>1014179085</v>
      </c>
      <c r="B12" s="28"/>
      <c r="C12" s="28" t="s">
        <v>2257</v>
      </c>
      <c r="D12" s="28" t="s">
        <v>2618</v>
      </c>
      <c r="E12" s="29">
        <v>3002908647</v>
      </c>
      <c r="F12" s="28" t="s">
        <v>2961</v>
      </c>
      <c r="G12" s="28">
        <v>15516</v>
      </c>
      <c r="H12" s="28">
        <v>211</v>
      </c>
      <c r="I12" s="30">
        <v>144538</v>
      </c>
      <c r="J12" s="31">
        <v>0</v>
      </c>
      <c r="K12" s="31">
        <v>0</v>
      </c>
      <c r="L12" s="31">
        <v>0</v>
      </c>
    </row>
    <row r="13" spans="1:12" x14ac:dyDescent="0.3">
      <c r="A13" s="28">
        <v>1014207208</v>
      </c>
      <c r="B13" s="28"/>
      <c r="C13" s="28" t="s">
        <v>2258</v>
      </c>
      <c r="D13" s="28" t="s">
        <v>2619</v>
      </c>
      <c r="E13" s="29">
        <v>0</v>
      </c>
      <c r="F13" s="28" t="s">
        <v>2962</v>
      </c>
      <c r="G13" s="28">
        <v>15516</v>
      </c>
      <c r="H13" s="28">
        <v>211</v>
      </c>
      <c r="I13" s="30">
        <v>142857</v>
      </c>
      <c r="J13" s="31">
        <v>0</v>
      </c>
      <c r="K13" s="31">
        <v>0</v>
      </c>
      <c r="L13" s="31">
        <v>0</v>
      </c>
    </row>
    <row r="14" spans="1:12" x14ac:dyDescent="0.3">
      <c r="A14" s="28">
        <v>1018505681</v>
      </c>
      <c r="B14" s="28"/>
      <c r="C14" s="28" t="s">
        <v>2259</v>
      </c>
      <c r="D14" s="28" t="s">
        <v>2620</v>
      </c>
      <c r="E14" s="29">
        <v>3204349353</v>
      </c>
      <c r="F14" s="28" t="s">
        <v>2963</v>
      </c>
      <c r="G14" s="28">
        <v>15516</v>
      </c>
      <c r="H14" s="28">
        <v>211</v>
      </c>
      <c r="I14" s="30">
        <v>12605</v>
      </c>
      <c r="J14" s="31">
        <v>0</v>
      </c>
      <c r="K14" s="31">
        <v>0</v>
      </c>
      <c r="L14" s="31">
        <v>0</v>
      </c>
    </row>
    <row r="15" spans="1:12" x14ac:dyDescent="0.3">
      <c r="A15" s="28">
        <v>1019083617</v>
      </c>
      <c r="B15" s="28"/>
      <c r="C15" s="28" t="s">
        <v>2260</v>
      </c>
      <c r="D15" s="28" t="s">
        <v>2621</v>
      </c>
      <c r="E15" s="29">
        <v>7852677</v>
      </c>
      <c r="F15" s="28" t="s">
        <v>2964</v>
      </c>
      <c r="G15" s="28">
        <v>15516</v>
      </c>
      <c r="H15" s="28">
        <v>211</v>
      </c>
      <c r="I15" s="30">
        <v>197479</v>
      </c>
      <c r="J15" s="31">
        <v>0</v>
      </c>
      <c r="K15" s="31">
        <v>0</v>
      </c>
      <c r="L15" s="31">
        <v>0</v>
      </c>
    </row>
    <row r="16" spans="1:12" x14ac:dyDescent="0.3">
      <c r="A16" s="28">
        <v>1020755496</v>
      </c>
      <c r="B16" s="28"/>
      <c r="C16" s="28" t="s">
        <v>2261</v>
      </c>
      <c r="D16" s="28" t="s">
        <v>2622</v>
      </c>
      <c r="E16" s="29">
        <v>6101005</v>
      </c>
      <c r="F16" s="28" t="s">
        <v>2965</v>
      </c>
      <c r="G16" s="28">
        <v>15516</v>
      </c>
      <c r="H16" s="28">
        <v>211</v>
      </c>
      <c r="I16" s="30">
        <v>7631470</v>
      </c>
      <c r="J16" s="31">
        <v>0</v>
      </c>
      <c r="K16" s="31">
        <v>0</v>
      </c>
      <c r="L16" s="31">
        <v>0</v>
      </c>
    </row>
    <row r="17" spans="1:12" x14ac:dyDescent="0.3">
      <c r="A17" s="28">
        <v>1024546218</v>
      </c>
      <c r="B17" s="28"/>
      <c r="C17" s="28" t="s">
        <v>2262</v>
      </c>
      <c r="D17" s="28" t="s">
        <v>2623</v>
      </c>
      <c r="E17" s="29">
        <v>3214747226</v>
      </c>
      <c r="F17" s="28" t="s">
        <v>2966</v>
      </c>
      <c r="G17" s="28">
        <v>15516</v>
      </c>
      <c r="H17" s="28">
        <v>211</v>
      </c>
      <c r="I17" s="30">
        <v>1189294</v>
      </c>
      <c r="J17" s="31">
        <v>0</v>
      </c>
      <c r="K17" s="31">
        <v>0</v>
      </c>
      <c r="L17" s="31">
        <v>0</v>
      </c>
    </row>
    <row r="18" spans="1:12" x14ac:dyDescent="0.3">
      <c r="A18" s="28">
        <v>1026582013</v>
      </c>
      <c r="B18" s="28"/>
      <c r="C18" s="28" t="s">
        <v>2263</v>
      </c>
      <c r="D18" s="28" t="s">
        <v>2624</v>
      </c>
      <c r="E18" s="29">
        <v>3186430258</v>
      </c>
      <c r="F18" s="28" t="s">
        <v>2967</v>
      </c>
      <c r="G18" s="28">
        <v>15516</v>
      </c>
      <c r="H18" s="28">
        <v>211</v>
      </c>
      <c r="I18" s="30">
        <v>378992</v>
      </c>
      <c r="J18" s="31">
        <v>0</v>
      </c>
      <c r="K18" s="31">
        <v>0</v>
      </c>
      <c r="L18" s="31">
        <v>0</v>
      </c>
    </row>
    <row r="19" spans="1:12" x14ac:dyDescent="0.3">
      <c r="A19" s="28">
        <v>1030698702</v>
      </c>
      <c r="B19" s="28"/>
      <c r="C19" s="28" t="s">
        <v>2264</v>
      </c>
      <c r="D19" s="28" t="s">
        <v>2625</v>
      </c>
      <c r="E19" s="29">
        <v>3108659959</v>
      </c>
      <c r="F19" s="28" t="s">
        <v>2968</v>
      </c>
      <c r="G19" s="28">
        <v>15516</v>
      </c>
      <c r="H19" s="28">
        <v>211</v>
      </c>
      <c r="I19" s="30">
        <v>2</v>
      </c>
      <c r="J19" s="31">
        <v>0</v>
      </c>
      <c r="K19" s="31">
        <v>0</v>
      </c>
      <c r="L19" s="31">
        <v>0</v>
      </c>
    </row>
    <row r="20" spans="1:12" x14ac:dyDescent="0.3">
      <c r="A20" s="28">
        <v>1049641572</v>
      </c>
      <c r="B20" s="28"/>
      <c r="C20" s="28" t="s">
        <v>2265</v>
      </c>
      <c r="D20" s="28" t="s">
        <v>2626</v>
      </c>
      <c r="E20" s="29">
        <v>3135279210</v>
      </c>
      <c r="F20" s="28" t="s">
        <v>2969</v>
      </c>
      <c r="G20" s="28">
        <v>15516</v>
      </c>
      <c r="H20" s="28">
        <v>211</v>
      </c>
      <c r="I20" s="30">
        <v>653782</v>
      </c>
      <c r="J20" s="31">
        <v>0</v>
      </c>
      <c r="K20" s="31">
        <v>0</v>
      </c>
      <c r="L20" s="31">
        <v>0</v>
      </c>
    </row>
    <row r="21" spans="1:12" x14ac:dyDescent="0.3">
      <c r="A21" s="28">
        <v>1051240094</v>
      </c>
      <c r="B21" s="28"/>
      <c r="C21" s="28" t="s">
        <v>2266</v>
      </c>
      <c r="D21" s="28" t="s">
        <v>2627</v>
      </c>
      <c r="E21" s="29">
        <v>3114714332</v>
      </c>
      <c r="F21" s="28" t="s">
        <v>2970</v>
      </c>
      <c r="G21" s="28">
        <v>15516</v>
      </c>
      <c r="H21" s="28">
        <v>211</v>
      </c>
      <c r="I21" s="30">
        <v>3274789</v>
      </c>
      <c r="J21" s="31">
        <v>0</v>
      </c>
      <c r="K21" s="31">
        <v>0</v>
      </c>
      <c r="L21" s="31">
        <v>0</v>
      </c>
    </row>
    <row r="22" spans="1:12" x14ac:dyDescent="0.3">
      <c r="A22" s="28">
        <v>1051588455</v>
      </c>
      <c r="B22" s="28"/>
      <c r="C22" s="28" t="s">
        <v>2267</v>
      </c>
      <c r="D22" s="28" t="s">
        <v>2628</v>
      </c>
      <c r="E22" s="29">
        <v>3187853921</v>
      </c>
      <c r="F22" s="28" t="s">
        <v>2971</v>
      </c>
      <c r="G22" s="28">
        <v>15516</v>
      </c>
      <c r="H22" s="28">
        <v>211</v>
      </c>
      <c r="I22" s="30">
        <v>2942908</v>
      </c>
      <c r="J22" s="31">
        <v>0</v>
      </c>
      <c r="K22" s="31">
        <v>0</v>
      </c>
      <c r="L22" s="31">
        <v>0</v>
      </c>
    </row>
    <row r="23" spans="1:12" x14ac:dyDescent="0.3">
      <c r="A23" s="28">
        <v>1052378941</v>
      </c>
      <c r="B23" s="28"/>
      <c r="C23" s="28" t="s">
        <v>2268</v>
      </c>
      <c r="D23" s="28" t="s">
        <v>2629</v>
      </c>
      <c r="E23" s="29">
        <v>3116402187</v>
      </c>
      <c r="F23" s="28" t="s">
        <v>2972</v>
      </c>
      <c r="G23" s="28">
        <v>15516</v>
      </c>
      <c r="H23" s="28">
        <v>211</v>
      </c>
      <c r="I23" s="30">
        <v>25920</v>
      </c>
      <c r="J23" s="31">
        <v>0</v>
      </c>
      <c r="K23" s="31">
        <v>0</v>
      </c>
      <c r="L23" s="31">
        <v>0</v>
      </c>
    </row>
    <row r="24" spans="1:12" x14ac:dyDescent="0.3">
      <c r="A24" s="28">
        <v>1052392927</v>
      </c>
      <c r="B24" s="28"/>
      <c r="C24" s="28" t="s">
        <v>2269</v>
      </c>
      <c r="D24" s="28" t="s">
        <v>2630</v>
      </c>
      <c r="E24" s="29">
        <v>3104897784</v>
      </c>
      <c r="F24" s="28" t="s">
        <v>2973</v>
      </c>
      <c r="G24" s="28">
        <v>15516</v>
      </c>
      <c r="H24" s="28">
        <v>211</v>
      </c>
      <c r="I24" s="30">
        <v>3861693</v>
      </c>
      <c r="J24" s="31">
        <v>0</v>
      </c>
      <c r="K24" s="31">
        <v>0</v>
      </c>
      <c r="L24" s="31">
        <v>0</v>
      </c>
    </row>
    <row r="25" spans="1:12" x14ac:dyDescent="0.3">
      <c r="A25" s="28">
        <v>1052395936</v>
      </c>
      <c r="B25" s="28"/>
      <c r="C25" s="28" t="s">
        <v>2270</v>
      </c>
      <c r="D25" s="28" t="s">
        <v>2631</v>
      </c>
      <c r="E25" s="29">
        <v>3134841867</v>
      </c>
      <c r="F25" s="28" t="s">
        <v>2974</v>
      </c>
      <c r="G25" s="28">
        <v>15516</v>
      </c>
      <c r="H25" s="28">
        <v>211</v>
      </c>
      <c r="I25" s="30">
        <v>485714</v>
      </c>
      <c r="J25" s="31">
        <v>0</v>
      </c>
      <c r="K25" s="31">
        <v>0</v>
      </c>
      <c r="L25" s="31">
        <v>0</v>
      </c>
    </row>
    <row r="26" spans="1:12" x14ac:dyDescent="0.3">
      <c r="A26" s="28">
        <v>1053444331</v>
      </c>
      <c r="B26" s="28"/>
      <c r="C26" s="28" t="s">
        <v>2271</v>
      </c>
      <c r="D26" s="28" t="s">
        <v>2632</v>
      </c>
      <c r="E26" s="29">
        <v>0</v>
      </c>
      <c r="F26" s="28" t="s">
        <v>2975</v>
      </c>
      <c r="G26" s="28">
        <v>15516</v>
      </c>
      <c r="H26" s="28">
        <v>211</v>
      </c>
      <c r="I26" s="30">
        <v>21849</v>
      </c>
      <c r="J26" s="31">
        <v>0</v>
      </c>
      <c r="K26" s="31">
        <v>0</v>
      </c>
      <c r="L26" s="31">
        <v>0</v>
      </c>
    </row>
    <row r="27" spans="1:12" x14ac:dyDescent="0.3">
      <c r="A27" s="28">
        <v>1053604359</v>
      </c>
      <c r="B27" s="28"/>
      <c r="C27" s="28" t="s">
        <v>2272</v>
      </c>
      <c r="D27" s="28" t="s">
        <v>2633</v>
      </c>
      <c r="E27" s="29">
        <v>3144289245</v>
      </c>
      <c r="F27" s="28" t="s">
        <v>2976</v>
      </c>
      <c r="G27" s="28">
        <v>15516</v>
      </c>
      <c r="H27" s="28">
        <v>211</v>
      </c>
      <c r="I27" s="30">
        <v>76471</v>
      </c>
      <c r="J27" s="31">
        <v>0</v>
      </c>
      <c r="K27" s="31">
        <v>0</v>
      </c>
      <c r="L27" s="31">
        <v>0</v>
      </c>
    </row>
    <row r="28" spans="1:12" x14ac:dyDescent="0.3">
      <c r="A28" s="28">
        <v>1053604762</v>
      </c>
      <c r="B28" s="28"/>
      <c r="C28" s="28" t="s">
        <v>2273</v>
      </c>
      <c r="D28" s="28" t="s">
        <v>2634</v>
      </c>
      <c r="E28" s="29">
        <v>3174254535</v>
      </c>
      <c r="F28" s="28" t="s">
        <v>2977</v>
      </c>
      <c r="G28" s="28">
        <v>15516</v>
      </c>
      <c r="H28" s="28">
        <v>211</v>
      </c>
      <c r="I28" s="30">
        <v>141176</v>
      </c>
      <c r="J28" s="31">
        <v>0</v>
      </c>
      <c r="K28" s="31">
        <v>0</v>
      </c>
      <c r="L28" s="31">
        <v>0</v>
      </c>
    </row>
    <row r="29" spans="1:12" x14ac:dyDescent="0.3">
      <c r="A29" s="28">
        <v>1053605207</v>
      </c>
      <c r="B29" s="28"/>
      <c r="C29" s="28" t="s">
        <v>2274</v>
      </c>
      <c r="D29" s="28" t="s">
        <v>2635</v>
      </c>
      <c r="E29" s="29">
        <v>3112678534</v>
      </c>
      <c r="F29" s="28" t="s">
        <v>2978</v>
      </c>
      <c r="G29" s="28">
        <v>15516</v>
      </c>
      <c r="H29" s="28">
        <v>211</v>
      </c>
      <c r="I29" s="30">
        <v>334177</v>
      </c>
      <c r="J29" s="31">
        <v>0</v>
      </c>
      <c r="K29" s="31">
        <v>0</v>
      </c>
      <c r="L29" s="31">
        <v>0</v>
      </c>
    </row>
    <row r="30" spans="1:12" x14ac:dyDescent="0.3">
      <c r="A30" s="28">
        <v>1053605292</v>
      </c>
      <c r="B30" s="28"/>
      <c r="C30" s="28" t="s">
        <v>2275</v>
      </c>
      <c r="D30" s="28" t="s">
        <v>2636</v>
      </c>
      <c r="E30" s="29">
        <v>0</v>
      </c>
      <c r="F30" s="28" t="s">
        <v>2975</v>
      </c>
      <c r="G30" s="28">
        <v>15516</v>
      </c>
      <c r="H30" s="28">
        <v>211</v>
      </c>
      <c r="I30" s="30">
        <v>67092</v>
      </c>
      <c r="J30" s="31">
        <v>0</v>
      </c>
      <c r="K30" s="31">
        <v>0</v>
      </c>
      <c r="L30" s="31">
        <v>0</v>
      </c>
    </row>
    <row r="31" spans="1:12" x14ac:dyDescent="0.3">
      <c r="A31" s="28">
        <v>1053605393</v>
      </c>
      <c r="B31" s="28"/>
      <c r="C31" s="28" t="s">
        <v>2276</v>
      </c>
      <c r="D31" s="28" t="s">
        <v>2637</v>
      </c>
      <c r="E31" s="29">
        <v>0</v>
      </c>
      <c r="F31" s="28" t="s">
        <v>2979</v>
      </c>
      <c r="G31" s="28">
        <v>15516</v>
      </c>
      <c r="H31" s="28">
        <v>211</v>
      </c>
      <c r="I31" s="30">
        <v>876302</v>
      </c>
      <c r="J31" s="31">
        <v>0</v>
      </c>
      <c r="K31" s="31">
        <v>0</v>
      </c>
      <c r="L31" s="31">
        <v>0</v>
      </c>
    </row>
    <row r="32" spans="1:12" x14ac:dyDescent="0.3">
      <c r="A32" s="28">
        <v>1053606283</v>
      </c>
      <c r="B32" s="28"/>
      <c r="C32" s="28" t="s">
        <v>2277</v>
      </c>
      <c r="D32" s="28" t="s">
        <v>2638</v>
      </c>
      <c r="E32" s="29">
        <v>3128565199</v>
      </c>
      <c r="F32" s="28" t="s">
        <v>2980</v>
      </c>
      <c r="G32" s="28">
        <v>15516</v>
      </c>
      <c r="H32" s="28">
        <v>211</v>
      </c>
      <c r="I32" s="30">
        <v>146218</v>
      </c>
      <c r="J32" s="31">
        <v>0</v>
      </c>
      <c r="K32" s="31">
        <v>0</v>
      </c>
      <c r="L32" s="31">
        <v>0</v>
      </c>
    </row>
    <row r="33" spans="1:12" x14ac:dyDescent="0.3">
      <c r="A33" s="28">
        <v>1053606618</v>
      </c>
      <c r="B33" s="28"/>
      <c r="C33" s="28" t="s">
        <v>2278</v>
      </c>
      <c r="D33" s="28" t="s">
        <v>2639</v>
      </c>
      <c r="E33" s="29">
        <v>3212354809</v>
      </c>
      <c r="F33" s="28" t="s">
        <v>2981</v>
      </c>
      <c r="G33" s="28">
        <v>15516</v>
      </c>
      <c r="H33" s="28">
        <v>211</v>
      </c>
      <c r="I33" s="30">
        <v>1326596</v>
      </c>
      <c r="J33" s="31">
        <v>0</v>
      </c>
      <c r="K33" s="31">
        <v>0</v>
      </c>
      <c r="L33" s="31">
        <v>0</v>
      </c>
    </row>
    <row r="34" spans="1:12" x14ac:dyDescent="0.3">
      <c r="A34" s="28">
        <v>105360673</v>
      </c>
      <c r="B34" s="28"/>
      <c r="C34" s="28" t="s">
        <v>2279</v>
      </c>
      <c r="D34" s="28" t="s">
        <v>2640</v>
      </c>
      <c r="E34" s="29">
        <v>3213355641</v>
      </c>
      <c r="F34" s="28" t="s">
        <v>2982</v>
      </c>
      <c r="G34" s="28">
        <v>15516</v>
      </c>
      <c r="H34" s="28">
        <v>211</v>
      </c>
      <c r="I34" s="30">
        <v>5925783</v>
      </c>
      <c r="J34" s="31">
        <v>0</v>
      </c>
      <c r="K34" s="31">
        <v>0</v>
      </c>
      <c r="L34" s="31">
        <v>0</v>
      </c>
    </row>
    <row r="35" spans="1:12" x14ac:dyDescent="0.3">
      <c r="A35" s="28">
        <v>1053606935</v>
      </c>
      <c r="B35" s="28"/>
      <c r="C35" s="28" t="s">
        <v>2280</v>
      </c>
      <c r="D35" s="28" t="s">
        <v>2641</v>
      </c>
      <c r="E35" s="29">
        <v>3124631174</v>
      </c>
      <c r="F35" s="28" t="s">
        <v>2983</v>
      </c>
      <c r="G35" s="28">
        <v>15516</v>
      </c>
      <c r="H35" s="28">
        <v>211</v>
      </c>
      <c r="I35" s="30">
        <v>7183333</v>
      </c>
      <c r="J35" s="31">
        <v>0</v>
      </c>
      <c r="K35" s="31">
        <v>0</v>
      </c>
      <c r="L35" s="31">
        <v>0</v>
      </c>
    </row>
    <row r="36" spans="1:12" x14ac:dyDescent="0.3">
      <c r="A36" s="28">
        <v>1053607008</v>
      </c>
      <c r="B36" s="28"/>
      <c r="C36" s="28" t="s">
        <v>2281</v>
      </c>
      <c r="D36" s="28" t="s">
        <v>2642</v>
      </c>
      <c r="E36" s="29">
        <v>3118613283</v>
      </c>
      <c r="F36" s="28" t="s">
        <v>2984</v>
      </c>
      <c r="G36" s="28">
        <v>15516</v>
      </c>
      <c r="H36" s="28">
        <v>211</v>
      </c>
      <c r="I36" s="30">
        <v>4805673</v>
      </c>
      <c r="J36" s="31">
        <v>0</v>
      </c>
      <c r="K36" s="31">
        <v>0</v>
      </c>
      <c r="L36" s="31">
        <v>0</v>
      </c>
    </row>
    <row r="37" spans="1:12" x14ac:dyDescent="0.3">
      <c r="A37" s="28">
        <v>1053607190</v>
      </c>
      <c r="B37" s="28"/>
      <c r="C37" s="28" t="s">
        <v>2282</v>
      </c>
      <c r="D37" s="28" t="s">
        <v>2643</v>
      </c>
      <c r="E37" s="29">
        <v>3133755455</v>
      </c>
      <c r="F37" s="28" t="s">
        <v>2985</v>
      </c>
      <c r="G37" s="28">
        <v>15516</v>
      </c>
      <c r="H37" s="28">
        <v>211</v>
      </c>
      <c r="I37" s="30">
        <v>363026</v>
      </c>
      <c r="J37" s="31">
        <v>0</v>
      </c>
      <c r="K37" s="31">
        <v>0</v>
      </c>
      <c r="L37" s="31">
        <v>0</v>
      </c>
    </row>
    <row r="38" spans="1:12" x14ac:dyDescent="0.3">
      <c r="A38" s="28">
        <v>1053607902</v>
      </c>
      <c r="B38" s="28"/>
      <c r="C38" s="28" t="s">
        <v>2283</v>
      </c>
      <c r="D38" s="28" t="s">
        <v>2644</v>
      </c>
      <c r="E38" s="29">
        <v>3003793053</v>
      </c>
      <c r="F38" s="28" t="s">
        <v>2986</v>
      </c>
      <c r="G38" s="28">
        <v>15516</v>
      </c>
      <c r="H38" s="28">
        <v>211</v>
      </c>
      <c r="I38" s="30">
        <v>68908</v>
      </c>
      <c r="J38" s="31">
        <v>0</v>
      </c>
      <c r="K38" s="31">
        <v>0</v>
      </c>
      <c r="L38" s="31">
        <v>0</v>
      </c>
    </row>
    <row r="39" spans="1:12" x14ac:dyDescent="0.3">
      <c r="A39" s="28">
        <v>1053607952</v>
      </c>
      <c r="B39" s="28"/>
      <c r="C39" s="28" t="s">
        <v>2284</v>
      </c>
      <c r="D39" s="28" t="s">
        <v>2645</v>
      </c>
      <c r="E39" s="29">
        <v>3178599125</v>
      </c>
      <c r="F39" s="28" t="s">
        <v>2987</v>
      </c>
      <c r="G39" s="28">
        <v>15516</v>
      </c>
      <c r="H39" s="28">
        <v>211</v>
      </c>
      <c r="I39" s="30">
        <v>45916</v>
      </c>
      <c r="J39" s="31">
        <v>0</v>
      </c>
      <c r="K39" s="31">
        <v>0</v>
      </c>
      <c r="L39" s="31">
        <v>0</v>
      </c>
    </row>
    <row r="40" spans="1:12" x14ac:dyDescent="0.3">
      <c r="A40" s="28">
        <v>1053608405</v>
      </c>
      <c r="B40" s="28"/>
      <c r="C40" s="28" t="s">
        <v>2285</v>
      </c>
      <c r="D40" s="28" t="s">
        <v>2646</v>
      </c>
      <c r="E40" s="29">
        <v>3123730258</v>
      </c>
      <c r="F40" s="28" t="s">
        <v>2988</v>
      </c>
      <c r="G40" s="28">
        <v>15516</v>
      </c>
      <c r="H40" s="28">
        <v>211</v>
      </c>
      <c r="I40" s="30">
        <v>409579</v>
      </c>
      <c r="J40" s="31">
        <v>0</v>
      </c>
      <c r="K40" s="31">
        <v>0</v>
      </c>
      <c r="L40" s="31">
        <v>0</v>
      </c>
    </row>
    <row r="41" spans="1:12" x14ac:dyDescent="0.3">
      <c r="A41" s="28">
        <v>1053609136</v>
      </c>
      <c r="B41" s="28"/>
      <c r="C41" s="28" t="s">
        <v>2286</v>
      </c>
      <c r="D41" s="28" t="s">
        <v>2647</v>
      </c>
      <c r="E41" s="29">
        <v>3219402970</v>
      </c>
      <c r="F41" s="28" t="s">
        <v>2989</v>
      </c>
      <c r="G41" s="28">
        <v>15516</v>
      </c>
      <c r="H41" s="28">
        <v>211</v>
      </c>
      <c r="I41" s="30">
        <v>100840</v>
      </c>
      <c r="J41" s="31">
        <v>0</v>
      </c>
      <c r="K41" s="31">
        <v>0</v>
      </c>
      <c r="L41" s="31">
        <v>0</v>
      </c>
    </row>
    <row r="42" spans="1:12" x14ac:dyDescent="0.3">
      <c r="A42" s="28">
        <v>1053609886</v>
      </c>
      <c r="B42" s="28"/>
      <c r="C42" s="28" t="s">
        <v>2287</v>
      </c>
      <c r="D42" s="28" t="s">
        <v>2648</v>
      </c>
      <c r="E42" s="29">
        <v>3143716776</v>
      </c>
      <c r="F42" s="28" t="s">
        <v>2990</v>
      </c>
      <c r="G42" s="28">
        <v>15516</v>
      </c>
      <c r="H42" s="28">
        <v>211</v>
      </c>
      <c r="I42" s="30">
        <v>225126</v>
      </c>
      <c r="J42" s="31">
        <v>0</v>
      </c>
      <c r="K42" s="31">
        <v>0</v>
      </c>
      <c r="L42" s="31">
        <v>0</v>
      </c>
    </row>
    <row r="43" spans="1:12" x14ac:dyDescent="0.3">
      <c r="A43" s="28">
        <v>1053610043</v>
      </c>
      <c r="B43" s="28"/>
      <c r="C43" s="28" t="s">
        <v>2288</v>
      </c>
      <c r="D43" s="28" t="s">
        <v>2649</v>
      </c>
      <c r="E43" s="29">
        <v>3212070342</v>
      </c>
      <c r="F43" s="28" t="s">
        <v>2991</v>
      </c>
      <c r="G43" s="28">
        <v>15516</v>
      </c>
      <c r="H43" s="28">
        <v>211</v>
      </c>
      <c r="I43" s="30">
        <v>200840</v>
      </c>
      <c r="J43" s="31">
        <v>0</v>
      </c>
      <c r="K43" s="31">
        <v>0</v>
      </c>
      <c r="L43" s="31">
        <v>0</v>
      </c>
    </row>
    <row r="44" spans="1:12" x14ac:dyDescent="0.3">
      <c r="A44" s="28">
        <v>1053610082</v>
      </c>
      <c r="B44" s="28"/>
      <c r="C44" s="28" t="s">
        <v>2289</v>
      </c>
      <c r="D44" s="28" t="s">
        <v>2650</v>
      </c>
      <c r="E44" s="29">
        <v>3226196351</v>
      </c>
      <c r="F44" s="28" t="s">
        <v>2992</v>
      </c>
      <c r="G44" s="28">
        <v>15516</v>
      </c>
      <c r="H44" s="28">
        <v>211</v>
      </c>
      <c r="I44" s="30">
        <v>342018</v>
      </c>
      <c r="J44" s="31">
        <v>0</v>
      </c>
      <c r="K44" s="31">
        <v>0</v>
      </c>
      <c r="L44" s="31">
        <v>0</v>
      </c>
    </row>
    <row r="45" spans="1:12" x14ac:dyDescent="0.3">
      <c r="A45" s="28">
        <v>1053610441</v>
      </c>
      <c r="B45" s="28"/>
      <c r="C45" s="28" t="s">
        <v>2290</v>
      </c>
      <c r="D45" s="28" t="s">
        <v>2651</v>
      </c>
      <c r="E45" s="29">
        <v>3115065480</v>
      </c>
      <c r="F45" s="28" t="s">
        <v>2993</v>
      </c>
      <c r="G45" s="28">
        <v>15516</v>
      </c>
      <c r="H45" s="28">
        <v>211</v>
      </c>
      <c r="I45" s="30">
        <v>68025</v>
      </c>
      <c r="J45" s="31">
        <v>0</v>
      </c>
      <c r="K45" s="31">
        <v>0</v>
      </c>
      <c r="L45" s="31">
        <v>0</v>
      </c>
    </row>
    <row r="46" spans="1:12" x14ac:dyDescent="0.3">
      <c r="A46" s="28">
        <v>1053610600</v>
      </c>
      <c r="B46" s="28"/>
      <c r="C46" s="28" t="s">
        <v>2291</v>
      </c>
      <c r="D46" s="28" t="s">
        <v>2652</v>
      </c>
      <c r="E46" s="29">
        <v>3105549475</v>
      </c>
      <c r="F46" s="28" t="s">
        <v>2994</v>
      </c>
      <c r="G46" s="28">
        <v>15516</v>
      </c>
      <c r="H46" s="28">
        <v>211</v>
      </c>
      <c r="I46" s="30">
        <v>409244</v>
      </c>
      <c r="J46" s="31">
        <v>0</v>
      </c>
      <c r="K46" s="31">
        <v>0</v>
      </c>
      <c r="L46" s="31">
        <v>0</v>
      </c>
    </row>
    <row r="47" spans="1:12" x14ac:dyDescent="0.3">
      <c r="A47" s="28">
        <v>1053611097</v>
      </c>
      <c r="B47" s="28"/>
      <c r="C47" s="28" t="s">
        <v>2292</v>
      </c>
      <c r="D47" s="28" t="s">
        <v>2653</v>
      </c>
      <c r="E47" s="29">
        <v>0</v>
      </c>
      <c r="F47" s="28" t="s">
        <v>2995</v>
      </c>
      <c r="G47" s="28">
        <v>15516</v>
      </c>
      <c r="H47" s="28">
        <v>211</v>
      </c>
      <c r="I47" s="30">
        <v>47899</v>
      </c>
      <c r="J47" s="31">
        <v>0</v>
      </c>
      <c r="K47" s="31">
        <v>0</v>
      </c>
      <c r="L47" s="31">
        <v>0</v>
      </c>
    </row>
    <row r="48" spans="1:12" x14ac:dyDescent="0.3">
      <c r="A48" s="28">
        <v>1053611379</v>
      </c>
      <c r="B48" s="28"/>
      <c r="C48" s="28" t="s">
        <v>2293</v>
      </c>
      <c r="D48" s="28" t="s">
        <v>2654</v>
      </c>
      <c r="E48" s="29">
        <v>3102241979</v>
      </c>
      <c r="F48" s="28" t="s">
        <v>2996</v>
      </c>
      <c r="G48" s="28">
        <v>15516</v>
      </c>
      <c r="H48" s="28">
        <v>211</v>
      </c>
      <c r="I48" s="30">
        <v>73109</v>
      </c>
      <c r="J48" s="31">
        <v>0</v>
      </c>
      <c r="K48" s="31">
        <v>0</v>
      </c>
      <c r="L48" s="31">
        <v>0</v>
      </c>
    </row>
    <row r="49" spans="1:12" x14ac:dyDescent="0.3">
      <c r="A49" s="28">
        <v>1053611525</v>
      </c>
      <c r="B49" s="28"/>
      <c r="C49" s="28" t="s">
        <v>2294</v>
      </c>
      <c r="D49" s="28" t="s">
        <v>2655</v>
      </c>
      <c r="E49" s="29">
        <v>3112251634</v>
      </c>
      <c r="F49" s="28" t="s">
        <v>2997</v>
      </c>
      <c r="G49" s="28">
        <v>15516</v>
      </c>
      <c r="H49" s="28">
        <v>211</v>
      </c>
      <c r="I49" s="30">
        <v>1475017</v>
      </c>
      <c r="J49" s="31">
        <v>0</v>
      </c>
      <c r="K49" s="31">
        <v>0</v>
      </c>
      <c r="L49" s="31">
        <v>0</v>
      </c>
    </row>
    <row r="50" spans="1:12" x14ac:dyDescent="0.3">
      <c r="A50" s="28">
        <v>1053611526</v>
      </c>
      <c r="B50" s="28"/>
      <c r="C50" s="28" t="s">
        <v>2295</v>
      </c>
      <c r="D50" s="28" t="s">
        <v>2656</v>
      </c>
      <c r="E50" s="29">
        <v>0</v>
      </c>
      <c r="F50" s="28" t="s">
        <v>2998</v>
      </c>
      <c r="G50" s="28">
        <v>15516</v>
      </c>
      <c r="H50" s="28">
        <v>211</v>
      </c>
      <c r="I50" s="30">
        <v>244979</v>
      </c>
      <c r="J50" s="31">
        <v>0</v>
      </c>
      <c r="K50" s="31">
        <v>0</v>
      </c>
      <c r="L50" s="31">
        <v>0</v>
      </c>
    </row>
    <row r="51" spans="1:12" x14ac:dyDescent="0.3">
      <c r="A51" s="28">
        <v>1053612079</v>
      </c>
      <c r="B51" s="28"/>
      <c r="C51" s="28" t="s">
        <v>2296</v>
      </c>
      <c r="D51" s="28" t="s">
        <v>2657</v>
      </c>
      <c r="E51" s="29">
        <v>3112824763</v>
      </c>
      <c r="F51" s="28" t="s">
        <v>2999</v>
      </c>
      <c r="G51" s="28">
        <v>15516</v>
      </c>
      <c r="H51" s="28">
        <v>211</v>
      </c>
      <c r="I51" s="30">
        <v>1129832</v>
      </c>
      <c r="J51" s="31">
        <v>0</v>
      </c>
      <c r="K51" s="31">
        <v>0</v>
      </c>
      <c r="L51" s="31">
        <v>0</v>
      </c>
    </row>
    <row r="52" spans="1:12" x14ac:dyDescent="0.3">
      <c r="A52" s="28">
        <v>1053612377</v>
      </c>
      <c r="B52" s="28"/>
      <c r="C52" s="28" t="s">
        <v>2297</v>
      </c>
      <c r="D52" s="28" t="s">
        <v>2658</v>
      </c>
      <c r="E52" s="29">
        <v>3143468831</v>
      </c>
      <c r="F52" s="28" t="s">
        <v>3000</v>
      </c>
      <c r="G52" s="28">
        <v>15516</v>
      </c>
      <c r="H52" s="28">
        <v>211</v>
      </c>
      <c r="I52" s="30">
        <v>31008</v>
      </c>
      <c r="J52" s="31">
        <v>0</v>
      </c>
      <c r="K52" s="31">
        <v>0</v>
      </c>
      <c r="L52" s="31">
        <v>0</v>
      </c>
    </row>
    <row r="53" spans="1:12" x14ac:dyDescent="0.3">
      <c r="A53" s="28">
        <v>1053612970</v>
      </c>
      <c r="B53" s="28"/>
      <c r="C53" s="28" t="s">
        <v>2298</v>
      </c>
      <c r="D53" s="28" t="s">
        <v>2659</v>
      </c>
      <c r="E53" s="29">
        <v>3108158223</v>
      </c>
      <c r="F53" s="28" t="s">
        <v>3001</v>
      </c>
      <c r="G53" s="28">
        <v>15516</v>
      </c>
      <c r="H53" s="28">
        <v>211</v>
      </c>
      <c r="I53" s="30">
        <v>1643529</v>
      </c>
      <c r="J53" s="31">
        <v>0</v>
      </c>
      <c r="K53" s="31">
        <v>0</v>
      </c>
      <c r="L53" s="31">
        <v>0</v>
      </c>
    </row>
    <row r="54" spans="1:12" x14ac:dyDescent="0.3">
      <c r="A54" s="28">
        <v>1053613151</v>
      </c>
      <c r="B54" s="28"/>
      <c r="C54" s="28" t="s">
        <v>2299</v>
      </c>
      <c r="D54" s="28" t="s">
        <v>2660</v>
      </c>
      <c r="E54" s="29">
        <v>3213959640</v>
      </c>
      <c r="F54" s="28" t="s">
        <v>3002</v>
      </c>
      <c r="G54" s="28">
        <v>15516</v>
      </c>
      <c r="H54" s="28">
        <v>211</v>
      </c>
      <c r="I54" s="30">
        <v>823529</v>
      </c>
      <c r="J54" s="31">
        <v>0</v>
      </c>
      <c r="K54" s="31">
        <v>0</v>
      </c>
      <c r="L54" s="31">
        <v>0</v>
      </c>
    </row>
    <row r="55" spans="1:12" x14ac:dyDescent="0.3">
      <c r="A55" s="28">
        <v>1053613918</v>
      </c>
      <c r="B55" s="28"/>
      <c r="C55" s="28" t="s">
        <v>2300</v>
      </c>
      <c r="D55" s="28" t="s">
        <v>2661</v>
      </c>
      <c r="E55" s="29">
        <v>3173161301</v>
      </c>
      <c r="F55" s="28" t="s">
        <v>2993</v>
      </c>
      <c r="G55" s="28">
        <v>15516</v>
      </c>
      <c r="H55" s="28">
        <v>211</v>
      </c>
      <c r="I55" s="30">
        <v>151261</v>
      </c>
      <c r="J55" s="31">
        <v>0</v>
      </c>
      <c r="K55" s="31">
        <v>0</v>
      </c>
      <c r="L55" s="31">
        <v>0</v>
      </c>
    </row>
    <row r="56" spans="1:12" x14ac:dyDescent="0.3">
      <c r="A56" s="28">
        <v>1053614004</v>
      </c>
      <c r="B56" s="28"/>
      <c r="C56" s="28" t="s">
        <v>2301</v>
      </c>
      <c r="D56" s="28" t="s">
        <v>2662</v>
      </c>
      <c r="E56" s="29">
        <v>3227505106</v>
      </c>
      <c r="F56" s="28" t="s">
        <v>3003</v>
      </c>
      <c r="G56" s="28">
        <v>15516</v>
      </c>
      <c r="H56" s="28">
        <v>211</v>
      </c>
      <c r="I56" s="30">
        <v>900000</v>
      </c>
      <c r="J56" s="31">
        <v>0</v>
      </c>
      <c r="K56" s="31">
        <v>0</v>
      </c>
      <c r="L56" s="31">
        <v>0</v>
      </c>
    </row>
    <row r="57" spans="1:12" x14ac:dyDescent="0.3">
      <c r="A57" s="28">
        <v>1053614086</v>
      </c>
      <c r="B57" s="28"/>
      <c r="C57" s="28" t="s">
        <v>2302</v>
      </c>
      <c r="D57" s="28" t="s">
        <v>2663</v>
      </c>
      <c r="E57" s="29">
        <v>3138832718</v>
      </c>
      <c r="F57" s="28" t="s">
        <v>3004</v>
      </c>
      <c r="G57" s="28">
        <v>15516</v>
      </c>
      <c r="H57" s="28">
        <v>211</v>
      </c>
      <c r="I57" s="30">
        <v>47059</v>
      </c>
      <c r="J57" s="31">
        <v>0</v>
      </c>
      <c r="K57" s="31">
        <v>0</v>
      </c>
      <c r="L57" s="31">
        <v>0</v>
      </c>
    </row>
    <row r="58" spans="1:12" x14ac:dyDescent="0.3">
      <c r="A58" s="28">
        <v>1053614184</v>
      </c>
      <c r="B58" s="28"/>
      <c r="C58" s="28" t="s">
        <v>2303</v>
      </c>
      <c r="D58" s="28" t="s">
        <v>2664</v>
      </c>
      <c r="E58" s="29">
        <v>3115651899</v>
      </c>
      <c r="F58" s="28" t="s">
        <v>3005</v>
      </c>
      <c r="G58" s="28">
        <v>15516</v>
      </c>
      <c r="H58" s="28">
        <v>211</v>
      </c>
      <c r="I58" s="30">
        <v>6980672</v>
      </c>
      <c r="J58" s="31">
        <v>0</v>
      </c>
      <c r="K58" s="31">
        <v>0</v>
      </c>
      <c r="L58" s="31">
        <v>0</v>
      </c>
    </row>
    <row r="59" spans="1:12" x14ac:dyDescent="0.3">
      <c r="A59" s="28">
        <v>1053614555</v>
      </c>
      <c r="B59" s="28"/>
      <c r="C59" s="28" t="s">
        <v>2304</v>
      </c>
      <c r="D59" s="28" t="s">
        <v>2665</v>
      </c>
      <c r="E59" s="29">
        <v>0</v>
      </c>
      <c r="F59" s="28" t="s">
        <v>3006</v>
      </c>
      <c r="G59" s="28">
        <v>15516</v>
      </c>
      <c r="H59" s="28">
        <v>211</v>
      </c>
      <c r="I59" s="30">
        <v>4209833</v>
      </c>
      <c r="J59" s="31">
        <v>0</v>
      </c>
      <c r="K59" s="31">
        <v>0</v>
      </c>
      <c r="L59" s="31">
        <v>0</v>
      </c>
    </row>
    <row r="60" spans="1:12" x14ac:dyDescent="0.3">
      <c r="A60" s="28">
        <v>1053615233</v>
      </c>
      <c r="B60" s="28"/>
      <c r="C60" s="28" t="s">
        <v>2305</v>
      </c>
      <c r="D60" s="28" t="s">
        <v>2666</v>
      </c>
      <c r="E60" s="29">
        <v>3143136409</v>
      </c>
      <c r="F60" s="28" t="s">
        <v>3007</v>
      </c>
      <c r="G60" s="28">
        <v>15516</v>
      </c>
      <c r="H60" s="28">
        <v>211</v>
      </c>
      <c r="I60" s="30">
        <v>629034</v>
      </c>
      <c r="J60" s="31">
        <v>0</v>
      </c>
      <c r="K60" s="31">
        <v>0</v>
      </c>
      <c r="L60" s="31">
        <v>0</v>
      </c>
    </row>
    <row r="61" spans="1:12" x14ac:dyDescent="0.3">
      <c r="A61" s="28">
        <v>1053615912</v>
      </c>
      <c r="B61" s="28"/>
      <c r="C61" s="28" t="s">
        <v>2306</v>
      </c>
      <c r="D61" s="28" t="s">
        <v>2667</v>
      </c>
      <c r="E61" s="29">
        <v>3108849584</v>
      </c>
      <c r="F61" s="28" t="s">
        <v>3008</v>
      </c>
      <c r="G61" s="28">
        <v>15516</v>
      </c>
      <c r="H61" s="28">
        <v>211</v>
      </c>
      <c r="I61" s="30">
        <v>873529</v>
      </c>
      <c r="J61" s="31">
        <v>0</v>
      </c>
      <c r="K61" s="31">
        <v>0</v>
      </c>
      <c r="L61" s="31">
        <v>0</v>
      </c>
    </row>
    <row r="62" spans="1:12" x14ac:dyDescent="0.3">
      <c r="A62" s="28">
        <v>1053615947</v>
      </c>
      <c r="B62" s="28"/>
      <c r="C62" s="28" t="s">
        <v>2307</v>
      </c>
      <c r="D62" s="28" t="s">
        <v>2668</v>
      </c>
      <c r="E62" s="29">
        <v>0</v>
      </c>
      <c r="F62" s="28" t="s">
        <v>3009</v>
      </c>
      <c r="G62" s="28">
        <v>15516</v>
      </c>
      <c r="H62" s="28">
        <v>211</v>
      </c>
      <c r="I62" s="30">
        <v>218907</v>
      </c>
      <c r="J62" s="31">
        <v>0</v>
      </c>
      <c r="K62" s="31">
        <v>0</v>
      </c>
      <c r="L62" s="31">
        <v>0</v>
      </c>
    </row>
    <row r="63" spans="1:12" x14ac:dyDescent="0.3">
      <c r="A63" s="28">
        <v>1053616021</v>
      </c>
      <c r="B63" s="28"/>
      <c r="C63" s="28" t="s">
        <v>2308</v>
      </c>
      <c r="D63" s="28" t="s">
        <v>2669</v>
      </c>
      <c r="E63" s="29">
        <v>3224093605</v>
      </c>
      <c r="F63" s="28" t="s">
        <v>3010</v>
      </c>
      <c r="G63" s="28">
        <v>15516</v>
      </c>
      <c r="H63" s="28">
        <v>211</v>
      </c>
      <c r="I63" s="30">
        <v>114521</v>
      </c>
      <c r="J63" s="31">
        <v>0</v>
      </c>
      <c r="K63" s="31">
        <v>0</v>
      </c>
      <c r="L63" s="31">
        <v>0</v>
      </c>
    </row>
    <row r="64" spans="1:12" x14ac:dyDescent="0.3">
      <c r="A64" s="28">
        <v>1053618856</v>
      </c>
      <c r="B64" s="28"/>
      <c r="C64" s="28" t="s">
        <v>2309</v>
      </c>
      <c r="D64" s="28" t="s">
        <v>2670</v>
      </c>
      <c r="E64" s="29">
        <v>3001058256</v>
      </c>
      <c r="F64" s="28" t="s">
        <v>2957</v>
      </c>
      <c r="G64" s="28">
        <v>15516</v>
      </c>
      <c r="H64" s="28">
        <v>211</v>
      </c>
      <c r="I64" s="30">
        <v>113445</v>
      </c>
      <c r="J64" s="31">
        <v>0</v>
      </c>
      <c r="K64" s="31">
        <v>0</v>
      </c>
      <c r="L64" s="31">
        <v>0</v>
      </c>
    </row>
    <row r="65" spans="1:12" x14ac:dyDescent="0.3">
      <c r="A65" s="28">
        <v>1053618856</v>
      </c>
      <c r="B65" s="28"/>
      <c r="C65" s="28" t="s">
        <v>2309</v>
      </c>
      <c r="D65" s="28" t="s">
        <v>2670</v>
      </c>
      <c r="E65" s="29">
        <v>3001058256</v>
      </c>
      <c r="F65" s="28" t="s">
        <v>2957</v>
      </c>
      <c r="G65" s="28">
        <v>15516</v>
      </c>
      <c r="H65" s="28">
        <v>301</v>
      </c>
      <c r="I65" s="30">
        <v>5000</v>
      </c>
      <c r="J65" s="31">
        <v>0</v>
      </c>
      <c r="K65" s="31">
        <v>0</v>
      </c>
      <c r="L65" s="31">
        <v>0</v>
      </c>
    </row>
    <row r="66" spans="1:12" x14ac:dyDescent="0.3">
      <c r="A66" s="28">
        <v>1055332889</v>
      </c>
      <c r="B66" s="28"/>
      <c r="C66" s="28" t="s">
        <v>2310</v>
      </c>
      <c r="D66" s="28" t="s">
        <v>2671</v>
      </c>
      <c r="E66" s="29">
        <v>3208695344</v>
      </c>
      <c r="F66" s="28" t="s">
        <v>3011</v>
      </c>
      <c r="G66" s="28">
        <v>15516</v>
      </c>
      <c r="H66" s="28">
        <v>211</v>
      </c>
      <c r="I66" s="30">
        <v>608403</v>
      </c>
      <c r="J66" s="31">
        <v>0</v>
      </c>
      <c r="K66" s="31">
        <v>0</v>
      </c>
      <c r="L66" s="31">
        <v>0</v>
      </c>
    </row>
    <row r="67" spans="1:12" x14ac:dyDescent="0.3">
      <c r="A67" s="28">
        <v>1072196204</v>
      </c>
      <c r="B67" s="28"/>
      <c r="C67" s="28" t="s">
        <v>2311</v>
      </c>
      <c r="D67" s="28" t="s">
        <v>2672</v>
      </c>
      <c r="E67" s="29">
        <v>3209645216</v>
      </c>
      <c r="F67" s="28" t="s">
        <v>3007</v>
      </c>
      <c r="G67" s="28">
        <v>15516</v>
      </c>
      <c r="H67" s="28">
        <v>211</v>
      </c>
      <c r="I67" s="30">
        <v>85832</v>
      </c>
      <c r="J67" s="31">
        <v>0</v>
      </c>
      <c r="K67" s="31">
        <v>0</v>
      </c>
      <c r="L67" s="31">
        <v>0</v>
      </c>
    </row>
    <row r="68" spans="1:12" x14ac:dyDescent="0.3">
      <c r="A68" s="28">
        <v>1099211702</v>
      </c>
      <c r="B68" s="28"/>
      <c r="C68" s="28" t="s">
        <v>2312</v>
      </c>
      <c r="D68" s="28" t="s">
        <v>2673</v>
      </c>
      <c r="E68" s="29">
        <v>3217813527</v>
      </c>
      <c r="F68" s="28" t="s">
        <v>3012</v>
      </c>
      <c r="G68" s="28">
        <v>15516</v>
      </c>
      <c r="H68" s="28">
        <v>211</v>
      </c>
      <c r="I68" s="30">
        <v>185714</v>
      </c>
      <c r="J68" s="31">
        <v>0</v>
      </c>
      <c r="K68" s="31">
        <v>0</v>
      </c>
      <c r="L68" s="31">
        <v>0</v>
      </c>
    </row>
    <row r="69" spans="1:12" x14ac:dyDescent="0.3">
      <c r="A69" s="28">
        <v>1118550502</v>
      </c>
      <c r="B69" s="28"/>
      <c r="C69" s="28" t="s">
        <v>2313</v>
      </c>
      <c r="D69" s="28" t="s">
        <v>2674</v>
      </c>
      <c r="E69" s="29">
        <v>3105830321</v>
      </c>
      <c r="F69" s="28" t="s">
        <v>738</v>
      </c>
      <c r="G69" s="28">
        <v>15516</v>
      </c>
      <c r="H69" s="28">
        <v>211</v>
      </c>
      <c r="I69" s="30">
        <v>226891</v>
      </c>
      <c r="J69" s="31">
        <v>0</v>
      </c>
      <c r="K69" s="31">
        <v>0</v>
      </c>
      <c r="L69" s="31">
        <v>0</v>
      </c>
    </row>
    <row r="70" spans="1:12" x14ac:dyDescent="0.3">
      <c r="A70" s="28">
        <v>11188775</v>
      </c>
      <c r="B70" s="28"/>
      <c r="C70" s="28" t="s">
        <v>2314</v>
      </c>
      <c r="D70" s="28" t="s">
        <v>2675</v>
      </c>
      <c r="E70" s="29">
        <v>3108688174</v>
      </c>
      <c r="F70" s="28" t="s">
        <v>3013</v>
      </c>
      <c r="G70" s="28">
        <v>15516</v>
      </c>
      <c r="H70" s="28">
        <v>211</v>
      </c>
      <c r="I70" s="30">
        <v>366597</v>
      </c>
      <c r="J70" s="31">
        <v>0</v>
      </c>
      <c r="K70" s="31">
        <v>0</v>
      </c>
      <c r="L70" s="31">
        <v>0</v>
      </c>
    </row>
    <row r="71" spans="1:12" x14ac:dyDescent="0.3">
      <c r="A71" s="28">
        <v>11201715</v>
      </c>
      <c r="B71" s="28"/>
      <c r="C71" s="28" t="s">
        <v>2315</v>
      </c>
      <c r="D71" s="28" t="s">
        <v>2676</v>
      </c>
      <c r="E71" s="29">
        <v>3103011168</v>
      </c>
      <c r="F71" s="28" t="s">
        <v>738</v>
      </c>
      <c r="G71" s="28">
        <v>15516</v>
      </c>
      <c r="H71" s="28">
        <v>211</v>
      </c>
      <c r="I71" s="30">
        <v>25210</v>
      </c>
      <c r="J71" s="31">
        <v>0</v>
      </c>
      <c r="K71" s="31">
        <v>0</v>
      </c>
      <c r="L71" s="31">
        <v>0</v>
      </c>
    </row>
    <row r="72" spans="1:12" x14ac:dyDescent="0.3">
      <c r="A72" s="28">
        <v>12138455</v>
      </c>
      <c r="B72" s="28"/>
      <c r="C72" s="28" t="s">
        <v>2316</v>
      </c>
      <c r="D72" s="28" t="s">
        <v>2677</v>
      </c>
      <c r="E72" s="29">
        <v>0</v>
      </c>
      <c r="F72" s="28" t="s">
        <v>3014</v>
      </c>
      <c r="G72" s="28">
        <v>15516</v>
      </c>
      <c r="H72" s="28">
        <v>211</v>
      </c>
      <c r="I72" s="30">
        <v>470702</v>
      </c>
      <c r="J72" s="31">
        <v>0</v>
      </c>
      <c r="K72" s="31">
        <v>0</v>
      </c>
      <c r="L72" s="31">
        <v>0</v>
      </c>
    </row>
    <row r="73" spans="1:12" x14ac:dyDescent="0.3">
      <c r="A73" s="28">
        <v>13702415</v>
      </c>
      <c r="B73" s="28"/>
      <c r="C73" s="28" t="s">
        <v>2317</v>
      </c>
      <c r="D73" s="28" t="s">
        <v>2678</v>
      </c>
      <c r="E73" s="29">
        <v>0</v>
      </c>
      <c r="F73" s="28" t="s">
        <v>3015</v>
      </c>
      <c r="G73" s="28">
        <v>15516</v>
      </c>
      <c r="H73" s="28">
        <v>211</v>
      </c>
      <c r="I73" s="30">
        <v>471849</v>
      </c>
      <c r="J73" s="31">
        <v>0</v>
      </c>
      <c r="K73" s="31">
        <v>0</v>
      </c>
      <c r="L73" s="31">
        <v>0</v>
      </c>
    </row>
    <row r="74" spans="1:12" x14ac:dyDescent="0.3">
      <c r="A74" s="28">
        <v>14135766</v>
      </c>
      <c r="B74" s="28"/>
      <c r="C74" s="28" t="s">
        <v>2318</v>
      </c>
      <c r="D74" s="28" t="s">
        <v>2679</v>
      </c>
      <c r="E74" s="29">
        <v>3124752259</v>
      </c>
      <c r="F74" s="28" t="s">
        <v>3016</v>
      </c>
      <c r="G74" s="28">
        <v>15516</v>
      </c>
      <c r="H74" s="28">
        <v>211</v>
      </c>
      <c r="I74" s="30">
        <v>68487</v>
      </c>
      <c r="J74" s="31">
        <v>0</v>
      </c>
      <c r="K74" s="31">
        <v>0</v>
      </c>
      <c r="L74" s="31">
        <v>0</v>
      </c>
    </row>
    <row r="75" spans="1:12" x14ac:dyDescent="0.3">
      <c r="A75" s="28">
        <v>16780351</v>
      </c>
      <c r="B75" s="28"/>
      <c r="C75" s="28" t="s">
        <v>2319</v>
      </c>
      <c r="D75" s="28" t="s">
        <v>2680</v>
      </c>
      <c r="E75" s="29">
        <v>3127916191</v>
      </c>
      <c r="F75" s="28" t="s">
        <v>3017</v>
      </c>
      <c r="G75" s="28">
        <v>15516</v>
      </c>
      <c r="H75" s="28">
        <v>211</v>
      </c>
      <c r="I75" s="30">
        <v>214286</v>
      </c>
      <c r="J75" s="31">
        <v>0</v>
      </c>
      <c r="K75" s="31">
        <v>0</v>
      </c>
      <c r="L75" s="31">
        <v>0</v>
      </c>
    </row>
    <row r="76" spans="1:12" x14ac:dyDescent="0.3">
      <c r="A76" s="28">
        <v>19191094</v>
      </c>
      <c r="B76" s="28"/>
      <c r="C76" s="28" t="s">
        <v>2320</v>
      </c>
      <c r="D76" s="28" t="s">
        <v>2681</v>
      </c>
      <c r="E76" s="29">
        <v>3108678088</v>
      </c>
      <c r="F76" s="28" t="s">
        <v>3018</v>
      </c>
      <c r="G76" s="28">
        <v>15516</v>
      </c>
      <c r="H76" s="28">
        <v>211</v>
      </c>
      <c r="I76" s="30">
        <v>263866</v>
      </c>
      <c r="J76" s="31">
        <v>0</v>
      </c>
      <c r="K76" s="31">
        <v>0</v>
      </c>
      <c r="L76" s="31">
        <v>0</v>
      </c>
    </row>
    <row r="77" spans="1:12" x14ac:dyDescent="0.3">
      <c r="A77" s="28">
        <v>19198675</v>
      </c>
      <c r="B77" s="28"/>
      <c r="C77" s="28" t="s">
        <v>2321</v>
      </c>
      <c r="D77" s="28" t="s">
        <v>2682</v>
      </c>
      <c r="E77" s="29">
        <v>3142352278</v>
      </c>
      <c r="F77" s="28" t="s">
        <v>3019</v>
      </c>
      <c r="G77" s="28">
        <v>15516</v>
      </c>
      <c r="H77" s="28">
        <v>211</v>
      </c>
      <c r="I77" s="30">
        <v>1392160</v>
      </c>
      <c r="J77" s="31">
        <v>0</v>
      </c>
      <c r="K77" s="31">
        <v>0</v>
      </c>
      <c r="L77" s="31">
        <v>0</v>
      </c>
    </row>
    <row r="78" spans="1:12" x14ac:dyDescent="0.3">
      <c r="A78" s="28">
        <v>19311702</v>
      </c>
      <c r="B78" s="28"/>
      <c r="C78" s="28" t="s">
        <v>2322</v>
      </c>
      <c r="D78" s="28" t="s">
        <v>2683</v>
      </c>
      <c r="E78" s="29">
        <v>0</v>
      </c>
      <c r="F78" s="28" t="s">
        <v>3020</v>
      </c>
      <c r="G78" s="28">
        <v>15516</v>
      </c>
      <c r="H78" s="28">
        <v>211</v>
      </c>
      <c r="I78" s="30">
        <v>643093</v>
      </c>
      <c r="J78" s="31">
        <v>0</v>
      </c>
      <c r="K78" s="31">
        <v>0</v>
      </c>
      <c r="L78" s="31">
        <v>0</v>
      </c>
    </row>
    <row r="79" spans="1:12" x14ac:dyDescent="0.3">
      <c r="A79" s="28">
        <v>20824477</v>
      </c>
      <c r="B79" s="28"/>
      <c r="C79" s="28" t="s">
        <v>2323</v>
      </c>
      <c r="D79" s="28" t="s">
        <v>2684</v>
      </c>
      <c r="E79" s="29">
        <v>3173729643</v>
      </c>
      <c r="F79" s="28" t="s">
        <v>3021</v>
      </c>
      <c r="G79" s="28">
        <v>15516</v>
      </c>
      <c r="H79" s="28">
        <v>211</v>
      </c>
      <c r="I79" s="30">
        <v>168067</v>
      </c>
      <c r="J79" s="31">
        <v>0</v>
      </c>
      <c r="K79" s="31">
        <v>0</v>
      </c>
      <c r="L79" s="31">
        <v>0</v>
      </c>
    </row>
    <row r="80" spans="1:12" x14ac:dyDescent="0.3">
      <c r="A80" s="28">
        <v>23555666</v>
      </c>
      <c r="B80" s="28"/>
      <c r="C80" s="28" t="s">
        <v>2324</v>
      </c>
      <c r="D80" s="28" t="s">
        <v>2685</v>
      </c>
      <c r="E80" s="29">
        <v>0</v>
      </c>
      <c r="F80" s="28" t="s">
        <v>3022</v>
      </c>
      <c r="G80" s="28">
        <v>15516</v>
      </c>
      <c r="H80" s="28">
        <v>211</v>
      </c>
      <c r="I80" s="30">
        <v>225210</v>
      </c>
      <c r="J80" s="31">
        <v>0</v>
      </c>
      <c r="K80" s="31">
        <v>0</v>
      </c>
      <c r="L80" s="31">
        <v>0</v>
      </c>
    </row>
    <row r="81" spans="1:12" x14ac:dyDescent="0.3">
      <c r="A81" s="28">
        <v>23753596</v>
      </c>
      <c r="B81" s="28"/>
      <c r="C81" s="28" t="s">
        <v>2325</v>
      </c>
      <c r="D81" s="28" t="s">
        <v>2686</v>
      </c>
      <c r="E81" s="29">
        <v>3124323725</v>
      </c>
      <c r="F81" s="28" t="s">
        <v>3023</v>
      </c>
      <c r="G81" s="28">
        <v>15516</v>
      </c>
      <c r="H81" s="28">
        <v>211</v>
      </c>
      <c r="I81" s="30">
        <v>561344</v>
      </c>
      <c r="J81" s="31">
        <v>0</v>
      </c>
      <c r="K81" s="31">
        <v>0</v>
      </c>
      <c r="L81" s="31">
        <v>0</v>
      </c>
    </row>
    <row r="82" spans="1:12" x14ac:dyDescent="0.3">
      <c r="A82" s="28">
        <v>23856760</v>
      </c>
      <c r="B82" s="28"/>
      <c r="C82" s="28" t="s">
        <v>2326</v>
      </c>
      <c r="D82" s="28" t="s">
        <v>2687</v>
      </c>
      <c r="E82" s="29">
        <v>3223146509</v>
      </c>
      <c r="F82" s="28" t="s">
        <v>3024</v>
      </c>
      <c r="G82" s="28">
        <v>15516</v>
      </c>
      <c r="H82" s="28">
        <v>211</v>
      </c>
      <c r="I82" s="30">
        <v>33193</v>
      </c>
      <c r="J82" s="31">
        <v>0</v>
      </c>
      <c r="K82" s="31">
        <v>0</v>
      </c>
      <c r="L82" s="31">
        <v>0</v>
      </c>
    </row>
    <row r="83" spans="1:12" x14ac:dyDescent="0.3">
      <c r="A83" s="28">
        <v>26812592</v>
      </c>
      <c r="B83" s="28"/>
      <c r="C83" s="28" t="s">
        <v>2327</v>
      </c>
      <c r="D83" s="28" t="s">
        <v>2688</v>
      </c>
      <c r="E83" s="29">
        <v>3184022726</v>
      </c>
      <c r="F83" s="28" t="s">
        <v>3025</v>
      </c>
      <c r="G83" s="28">
        <v>15516</v>
      </c>
      <c r="H83" s="28">
        <v>211</v>
      </c>
      <c r="I83" s="30">
        <v>592857</v>
      </c>
      <c r="J83" s="31">
        <v>0</v>
      </c>
      <c r="K83" s="31">
        <v>0</v>
      </c>
      <c r="L83" s="31">
        <v>0</v>
      </c>
    </row>
    <row r="84" spans="1:12" x14ac:dyDescent="0.3">
      <c r="A84" s="28">
        <v>3021570</v>
      </c>
      <c r="B84" s="28"/>
      <c r="C84" s="28" t="s">
        <v>2328</v>
      </c>
      <c r="D84" s="28" t="s">
        <v>2689</v>
      </c>
      <c r="E84" s="29">
        <v>3158664721</v>
      </c>
      <c r="F84" s="28" t="s">
        <v>3026</v>
      </c>
      <c r="G84" s="28">
        <v>15516</v>
      </c>
      <c r="H84" s="28">
        <v>211</v>
      </c>
      <c r="I84" s="30">
        <v>94252</v>
      </c>
      <c r="J84" s="31">
        <v>0</v>
      </c>
      <c r="K84" s="31">
        <v>0</v>
      </c>
      <c r="L84" s="31">
        <v>0</v>
      </c>
    </row>
    <row r="85" spans="1:12" x14ac:dyDescent="0.3">
      <c r="A85" s="28">
        <v>3133566</v>
      </c>
      <c r="B85" s="28"/>
      <c r="C85" s="28" t="s">
        <v>2329</v>
      </c>
      <c r="D85" s="28" t="s">
        <v>2690</v>
      </c>
      <c r="E85" s="29">
        <v>3207204051</v>
      </c>
      <c r="F85" s="28" t="s">
        <v>3027</v>
      </c>
      <c r="G85" s="28">
        <v>15516</v>
      </c>
      <c r="H85" s="28">
        <v>211</v>
      </c>
      <c r="I85" s="30">
        <v>24370</v>
      </c>
      <c r="J85" s="31">
        <v>0</v>
      </c>
      <c r="K85" s="31">
        <v>0</v>
      </c>
      <c r="L85" s="31">
        <v>0</v>
      </c>
    </row>
    <row r="86" spans="1:12" x14ac:dyDescent="0.3">
      <c r="A86" s="28">
        <v>35459934</v>
      </c>
      <c r="B86" s="28"/>
      <c r="C86" s="28" t="s">
        <v>2330</v>
      </c>
      <c r="D86" s="28" t="s">
        <v>2691</v>
      </c>
      <c r="E86" s="29">
        <v>3133142079</v>
      </c>
      <c r="F86" s="28" t="s">
        <v>3028</v>
      </c>
      <c r="G86" s="28">
        <v>15516</v>
      </c>
      <c r="H86" s="28">
        <v>211</v>
      </c>
      <c r="I86" s="30">
        <v>80168</v>
      </c>
      <c r="J86" s="31">
        <v>0</v>
      </c>
      <c r="K86" s="31">
        <v>0</v>
      </c>
      <c r="L86" s="31">
        <v>0</v>
      </c>
    </row>
    <row r="87" spans="1:12" x14ac:dyDescent="0.3">
      <c r="A87" s="28">
        <v>35507104</v>
      </c>
      <c r="B87" s="28"/>
      <c r="C87" s="28" t="s">
        <v>2331</v>
      </c>
      <c r="D87" s="28" t="s">
        <v>2692</v>
      </c>
      <c r="E87" s="29">
        <v>3134377971</v>
      </c>
      <c r="F87" s="28" t="s">
        <v>3029</v>
      </c>
      <c r="G87" s="28">
        <v>15516</v>
      </c>
      <c r="H87" s="28">
        <v>211</v>
      </c>
      <c r="I87" s="30">
        <v>196639</v>
      </c>
      <c r="J87" s="31">
        <v>0</v>
      </c>
      <c r="K87" s="31">
        <v>0</v>
      </c>
      <c r="L87" s="31">
        <v>0</v>
      </c>
    </row>
    <row r="88" spans="1:12" x14ac:dyDescent="0.3">
      <c r="A88" s="28">
        <v>38644873</v>
      </c>
      <c r="B88" s="28"/>
      <c r="C88" s="28" t="s">
        <v>2332</v>
      </c>
      <c r="D88" s="28" t="s">
        <v>2693</v>
      </c>
      <c r="E88" s="29">
        <v>3132937978</v>
      </c>
      <c r="F88" s="28" t="s">
        <v>3030</v>
      </c>
      <c r="G88" s="28">
        <v>15516</v>
      </c>
      <c r="H88" s="28">
        <v>211</v>
      </c>
      <c r="I88" s="30">
        <f>5395535-I89</f>
        <v>5345535</v>
      </c>
      <c r="J88" s="31">
        <v>0</v>
      </c>
      <c r="K88" s="31">
        <v>0</v>
      </c>
      <c r="L88" s="31">
        <v>0</v>
      </c>
    </row>
    <row r="89" spans="1:12" x14ac:dyDescent="0.3">
      <c r="A89" s="28">
        <v>38644873</v>
      </c>
      <c r="B89" s="28"/>
      <c r="C89" s="28" t="s">
        <v>2332</v>
      </c>
      <c r="D89" s="28" t="s">
        <v>2693</v>
      </c>
      <c r="E89" s="29">
        <v>3132937978</v>
      </c>
      <c r="F89" s="28" t="s">
        <v>3030</v>
      </c>
      <c r="G89" s="28">
        <v>15516</v>
      </c>
      <c r="H89" s="28">
        <v>301</v>
      </c>
      <c r="I89" s="30">
        <v>50000</v>
      </c>
      <c r="J89" s="31">
        <v>0</v>
      </c>
      <c r="K89" s="31">
        <v>0</v>
      </c>
      <c r="L89" s="31">
        <v>0</v>
      </c>
    </row>
    <row r="90" spans="1:12" x14ac:dyDescent="0.3">
      <c r="A90" s="28">
        <v>39572259</v>
      </c>
      <c r="B90" s="28"/>
      <c r="C90" s="28" t="s">
        <v>2333</v>
      </c>
      <c r="D90" s="28" t="s">
        <v>2694</v>
      </c>
      <c r="E90" s="29">
        <v>3134501453</v>
      </c>
      <c r="F90" s="28" t="s">
        <v>3031</v>
      </c>
      <c r="G90" s="28">
        <v>15516</v>
      </c>
      <c r="H90" s="28">
        <v>211</v>
      </c>
      <c r="I90" s="30">
        <v>836975</v>
      </c>
      <c r="J90" s="31">
        <v>0</v>
      </c>
      <c r="K90" s="31">
        <v>0</v>
      </c>
      <c r="L90" s="31">
        <v>0</v>
      </c>
    </row>
    <row r="91" spans="1:12" x14ac:dyDescent="0.3">
      <c r="A91" s="28">
        <v>39572259</v>
      </c>
      <c r="B91" s="28"/>
      <c r="C91" s="28" t="s">
        <v>2333</v>
      </c>
      <c r="D91" s="28" t="s">
        <v>2694</v>
      </c>
      <c r="E91" s="29">
        <v>3134501453</v>
      </c>
      <c r="F91" s="28" t="s">
        <v>3031</v>
      </c>
      <c r="G91" s="28">
        <v>15516</v>
      </c>
      <c r="H91" s="28">
        <v>301</v>
      </c>
      <c r="I91" s="30">
        <v>50000</v>
      </c>
      <c r="J91" s="31">
        <v>0</v>
      </c>
      <c r="K91" s="31">
        <v>0</v>
      </c>
      <c r="L91" s="31">
        <v>0</v>
      </c>
    </row>
    <row r="92" spans="1:12" x14ac:dyDescent="0.3">
      <c r="A92" s="28">
        <v>39685297</v>
      </c>
      <c r="B92" s="28"/>
      <c r="C92" s="28" t="s">
        <v>2334</v>
      </c>
      <c r="D92" s="28" t="s">
        <v>2691</v>
      </c>
      <c r="E92" s="29">
        <v>3103040125</v>
      </c>
      <c r="F92" s="28" t="s">
        <v>3032</v>
      </c>
      <c r="G92" s="28">
        <v>15516</v>
      </c>
      <c r="H92" s="28">
        <v>211</v>
      </c>
      <c r="I92" s="30">
        <v>529933</v>
      </c>
      <c r="J92" s="31">
        <v>0</v>
      </c>
      <c r="K92" s="31">
        <v>0</v>
      </c>
      <c r="L92" s="31">
        <v>0</v>
      </c>
    </row>
    <row r="93" spans="1:12" x14ac:dyDescent="0.3">
      <c r="A93" s="28">
        <v>39782106</v>
      </c>
      <c r="B93" s="28"/>
      <c r="C93" s="28" t="s">
        <v>2335</v>
      </c>
      <c r="D93" s="28" t="s">
        <v>2695</v>
      </c>
      <c r="E93" s="29">
        <v>3142475393</v>
      </c>
      <c r="F93" s="28" t="s">
        <v>3033</v>
      </c>
      <c r="G93" s="28">
        <v>15516</v>
      </c>
      <c r="H93" s="28">
        <v>211</v>
      </c>
      <c r="I93" s="30">
        <f>865294-I94</f>
        <v>835294</v>
      </c>
      <c r="J93" s="31">
        <v>0</v>
      </c>
      <c r="K93" s="31">
        <v>0</v>
      </c>
      <c r="L93" s="31">
        <v>0</v>
      </c>
    </row>
    <row r="94" spans="1:12" x14ac:dyDescent="0.3">
      <c r="A94" s="28">
        <v>39782106</v>
      </c>
      <c r="B94" s="28"/>
      <c r="C94" s="28" t="s">
        <v>2335</v>
      </c>
      <c r="D94" s="28" t="s">
        <v>2695</v>
      </c>
      <c r="E94" s="29">
        <v>3142475393</v>
      </c>
      <c r="F94" s="28" t="s">
        <v>3033</v>
      </c>
      <c r="G94" s="28">
        <v>15516</v>
      </c>
      <c r="H94" s="28">
        <v>301</v>
      </c>
      <c r="I94" s="30">
        <v>30000</v>
      </c>
      <c r="J94" s="31">
        <v>0</v>
      </c>
      <c r="K94" s="31">
        <v>0</v>
      </c>
      <c r="L94" s="31">
        <v>0</v>
      </c>
    </row>
    <row r="95" spans="1:12" x14ac:dyDescent="0.3">
      <c r="A95" s="28">
        <v>4081071</v>
      </c>
      <c r="B95" s="28"/>
      <c r="C95" s="28" t="s">
        <v>2336</v>
      </c>
      <c r="D95" s="28" t="s">
        <v>2696</v>
      </c>
      <c r="E95" s="29">
        <v>3212427137</v>
      </c>
      <c r="F95" s="28" t="s">
        <v>3034</v>
      </c>
      <c r="G95" s="28">
        <v>15516</v>
      </c>
      <c r="H95" s="28">
        <v>211</v>
      </c>
      <c r="I95" s="30">
        <v>21861</v>
      </c>
      <c r="J95" s="31">
        <v>0</v>
      </c>
      <c r="K95" s="31">
        <v>0</v>
      </c>
      <c r="L95" s="31">
        <v>0</v>
      </c>
    </row>
    <row r="96" spans="1:12" x14ac:dyDescent="0.3">
      <c r="A96" s="28">
        <v>41420732</v>
      </c>
      <c r="B96" s="28"/>
      <c r="C96" s="28" t="s">
        <v>2337</v>
      </c>
      <c r="D96" s="28" t="s">
        <v>2697</v>
      </c>
      <c r="E96" s="29">
        <v>3107669065</v>
      </c>
      <c r="F96" s="28" t="s">
        <v>3035</v>
      </c>
      <c r="G96" s="28">
        <v>15516</v>
      </c>
      <c r="H96" s="28">
        <v>211</v>
      </c>
      <c r="I96" s="30">
        <v>481538</v>
      </c>
      <c r="J96" s="31">
        <v>0</v>
      </c>
      <c r="K96" s="31">
        <v>0</v>
      </c>
      <c r="L96" s="31">
        <v>0</v>
      </c>
    </row>
    <row r="97" spans="1:12" x14ac:dyDescent="0.3">
      <c r="A97" s="28">
        <v>41695027</v>
      </c>
      <c r="B97" s="28"/>
      <c r="C97" s="28" t="s">
        <v>2338</v>
      </c>
      <c r="D97" s="28" t="s">
        <v>2698</v>
      </c>
      <c r="E97" s="29">
        <v>3155410988</v>
      </c>
      <c r="F97" s="28" t="s">
        <v>3036</v>
      </c>
      <c r="G97" s="28">
        <v>15516</v>
      </c>
      <c r="H97" s="28">
        <v>211</v>
      </c>
      <c r="I97" s="30">
        <v>1776050</v>
      </c>
      <c r="J97" s="31">
        <v>0</v>
      </c>
      <c r="K97" s="31">
        <v>0</v>
      </c>
      <c r="L97" s="31">
        <v>0</v>
      </c>
    </row>
    <row r="98" spans="1:12" x14ac:dyDescent="0.3">
      <c r="A98" s="28">
        <v>4178874</v>
      </c>
      <c r="B98" s="28"/>
      <c r="C98" s="28" t="s">
        <v>2339</v>
      </c>
      <c r="D98" s="28" t="s">
        <v>2699</v>
      </c>
      <c r="E98" s="29">
        <v>3213434301</v>
      </c>
      <c r="F98" s="28" t="s">
        <v>3037</v>
      </c>
      <c r="G98" s="28">
        <v>15516</v>
      </c>
      <c r="H98" s="28">
        <v>211</v>
      </c>
      <c r="I98" s="30">
        <v>109580</v>
      </c>
      <c r="J98" s="31">
        <v>0</v>
      </c>
      <c r="K98" s="31">
        <v>0</v>
      </c>
      <c r="L98" s="31">
        <v>0</v>
      </c>
    </row>
    <row r="99" spans="1:12" x14ac:dyDescent="0.3">
      <c r="A99" s="28">
        <v>4179158</v>
      </c>
      <c r="B99" s="28"/>
      <c r="C99" s="28" t="s">
        <v>2340</v>
      </c>
      <c r="D99" s="28" t="s">
        <v>2700</v>
      </c>
      <c r="E99" s="29">
        <v>3164721644</v>
      </c>
      <c r="F99" s="28" t="s">
        <v>3038</v>
      </c>
      <c r="G99" s="28">
        <v>15516</v>
      </c>
      <c r="H99" s="28">
        <v>211</v>
      </c>
      <c r="I99" s="30">
        <v>488235</v>
      </c>
      <c r="J99" s="31">
        <v>0</v>
      </c>
      <c r="K99" s="31">
        <v>0</v>
      </c>
      <c r="L99" s="31">
        <v>0</v>
      </c>
    </row>
    <row r="100" spans="1:12" x14ac:dyDescent="0.3">
      <c r="A100" s="28">
        <v>4190013</v>
      </c>
      <c r="B100" s="28"/>
      <c r="C100" s="28" t="s">
        <v>2341</v>
      </c>
      <c r="D100" s="28" t="s">
        <v>2701</v>
      </c>
      <c r="E100" s="29">
        <v>3106809657</v>
      </c>
      <c r="F100" s="28" t="s">
        <v>3039</v>
      </c>
      <c r="G100" s="28">
        <v>15516</v>
      </c>
      <c r="H100" s="28">
        <v>211</v>
      </c>
      <c r="I100" s="30">
        <v>73109</v>
      </c>
      <c r="J100" s="31">
        <v>0</v>
      </c>
      <c r="K100" s="31">
        <v>0</v>
      </c>
      <c r="L100" s="31">
        <v>0</v>
      </c>
    </row>
    <row r="101" spans="1:12" x14ac:dyDescent="0.3">
      <c r="A101" s="28">
        <v>4191953</v>
      </c>
      <c r="B101" s="28"/>
      <c r="C101" s="28" t="s">
        <v>2342</v>
      </c>
      <c r="D101" s="28" t="s">
        <v>2702</v>
      </c>
      <c r="E101" s="29">
        <v>3214924957</v>
      </c>
      <c r="F101" s="28" t="s">
        <v>3040</v>
      </c>
      <c r="G101" s="28">
        <v>15516</v>
      </c>
      <c r="H101" s="28">
        <v>211</v>
      </c>
      <c r="I101" s="30">
        <v>390193</v>
      </c>
      <c r="J101" s="31">
        <v>0</v>
      </c>
      <c r="K101" s="31">
        <v>0</v>
      </c>
      <c r="L101" s="31">
        <v>0</v>
      </c>
    </row>
    <row r="102" spans="1:12" x14ac:dyDescent="0.3">
      <c r="A102" s="28">
        <v>4191955</v>
      </c>
      <c r="B102" s="28"/>
      <c r="C102" s="28" t="s">
        <v>2343</v>
      </c>
      <c r="D102" s="28" t="s">
        <v>2703</v>
      </c>
      <c r="E102" s="29">
        <v>111111111</v>
      </c>
      <c r="F102" s="28" t="s">
        <v>2975</v>
      </c>
      <c r="G102" s="28">
        <v>15516</v>
      </c>
      <c r="H102" s="28">
        <v>211</v>
      </c>
      <c r="I102" s="30">
        <v>63025</v>
      </c>
      <c r="J102" s="31">
        <v>0</v>
      </c>
      <c r="K102" s="31">
        <v>0</v>
      </c>
      <c r="L102" s="31">
        <v>0</v>
      </c>
    </row>
    <row r="103" spans="1:12" x14ac:dyDescent="0.3">
      <c r="A103" s="28">
        <v>4192140</v>
      </c>
      <c r="B103" s="28"/>
      <c r="C103" s="28" t="s">
        <v>2344</v>
      </c>
      <c r="D103" s="28" t="s">
        <v>2704</v>
      </c>
      <c r="E103" s="29">
        <v>3115498789</v>
      </c>
      <c r="F103" s="28" t="s">
        <v>3041</v>
      </c>
      <c r="G103" s="28">
        <v>15516</v>
      </c>
      <c r="H103" s="28">
        <v>211</v>
      </c>
      <c r="I103" s="30">
        <v>4958097</v>
      </c>
      <c r="J103" s="31">
        <v>0</v>
      </c>
      <c r="K103" s="31">
        <v>0</v>
      </c>
      <c r="L103" s="31">
        <v>0</v>
      </c>
    </row>
    <row r="104" spans="1:12" x14ac:dyDescent="0.3">
      <c r="A104" s="28">
        <v>4192609</v>
      </c>
      <c r="B104" s="28"/>
      <c r="C104" s="28" t="s">
        <v>2345</v>
      </c>
      <c r="D104" s="28" t="s">
        <v>2705</v>
      </c>
      <c r="E104" s="29">
        <v>3136489734</v>
      </c>
      <c r="F104" s="28" t="s">
        <v>3042</v>
      </c>
      <c r="G104" s="28">
        <v>15516</v>
      </c>
      <c r="H104" s="28">
        <v>211</v>
      </c>
      <c r="I104" s="30">
        <v>1533674</v>
      </c>
      <c r="J104" s="31">
        <v>0</v>
      </c>
      <c r="K104" s="31">
        <v>0</v>
      </c>
      <c r="L104" s="31">
        <v>0</v>
      </c>
    </row>
    <row r="105" spans="1:12" x14ac:dyDescent="0.3">
      <c r="A105" s="28">
        <v>4192836</v>
      </c>
      <c r="B105" s="28"/>
      <c r="C105" s="28" t="s">
        <v>2346</v>
      </c>
      <c r="D105" s="28" t="s">
        <v>2706</v>
      </c>
      <c r="E105" s="29">
        <v>0</v>
      </c>
      <c r="F105" s="28" t="s">
        <v>3043</v>
      </c>
      <c r="G105" s="28">
        <v>15516</v>
      </c>
      <c r="H105" s="28">
        <v>211</v>
      </c>
      <c r="I105" s="30">
        <v>2310925</v>
      </c>
      <c r="J105" s="31">
        <v>0</v>
      </c>
      <c r="K105" s="31">
        <v>0</v>
      </c>
      <c r="L105" s="31">
        <v>0</v>
      </c>
    </row>
    <row r="106" spans="1:12" x14ac:dyDescent="0.3">
      <c r="A106" s="28">
        <v>4264703</v>
      </c>
      <c r="B106" s="28"/>
      <c r="C106" s="28" t="s">
        <v>2347</v>
      </c>
      <c r="D106" s="28" t="s">
        <v>2707</v>
      </c>
      <c r="E106" s="29">
        <v>3118590241</v>
      </c>
      <c r="F106" s="28" t="s">
        <v>3044</v>
      </c>
      <c r="G106" s="28">
        <v>15516</v>
      </c>
      <c r="H106" s="28">
        <v>211</v>
      </c>
      <c r="I106" s="30">
        <v>242017</v>
      </c>
      <c r="J106" s="31">
        <v>0</v>
      </c>
      <c r="K106" s="31">
        <v>0</v>
      </c>
      <c r="L106" s="31">
        <v>0</v>
      </c>
    </row>
    <row r="107" spans="1:12" x14ac:dyDescent="0.3">
      <c r="A107" s="28">
        <v>4280161</v>
      </c>
      <c r="B107" s="28"/>
      <c r="C107" s="28" t="s">
        <v>2348</v>
      </c>
      <c r="D107" s="28" t="s">
        <v>2691</v>
      </c>
      <c r="E107" s="29">
        <v>3124060300</v>
      </c>
      <c r="F107" s="28" t="s">
        <v>3007</v>
      </c>
      <c r="G107" s="28">
        <v>15516</v>
      </c>
      <c r="H107" s="28">
        <v>211</v>
      </c>
      <c r="I107" s="30">
        <v>294118</v>
      </c>
      <c r="J107" s="31">
        <v>0</v>
      </c>
      <c r="K107" s="31">
        <v>0</v>
      </c>
      <c r="L107" s="31">
        <v>0</v>
      </c>
    </row>
    <row r="108" spans="1:12" x14ac:dyDescent="0.3">
      <c r="A108" s="28">
        <v>42900132</v>
      </c>
      <c r="B108" s="28"/>
      <c r="C108" s="28" t="s">
        <v>2349</v>
      </c>
      <c r="D108" s="28" t="s">
        <v>2708</v>
      </c>
      <c r="E108" s="29">
        <v>3148820521</v>
      </c>
      <c r="F108" s="28" t="s">
        <v>3045</v>
      </c>
      <c r="G108" s="28">
        <v>15516</v>
      </c>
      <c r="H108" s="28">
        <v>211</v>
      </c>
      <c r="I108" s="30">
        <v>671429</v>
      </c>
      <c r="J108" s="31">
        <v>0</v>
      </c>
      <c r="K108" s="31">
        <v>0</v>
      </c>
      <c r="L108" s="31">
        <v>0</v>
      </c>
    </row>
    <row r="109" spans="1:12" x14ac:dyDescent="0.3">
      <c r="A109" s="28">
        <v>43086396</v>
      </c>
      <c r="B109" s="28"/>
      <c r="C109" s="28" t="s">
        <v>2350</v>
      </c>
      <c r="D109" s="28" t="s">
        <v>2709</v>
      </c>
      <c r="E109" s="29">
        <v>3186903331</v>
      </c>
      <c r="F109" s="28" t="s">
        <v>2985</v>
      </c>
      <c r="G109" s="28">
        <v>15516</v>
      </c>
      <c r="H109" s="28">
        <v>211</v>
      </c>
      <c r="I109" s="30">
        <v>326891</v>
      </c>
      <c r="J109" s="31">
        <v>0</v>
      </c>
      <c r="K109" s="31">
        <v>0</v>
      </c>
      <c r="L109" s="31">
        <v>0</v>
      </c>
    </row>
    <row r="110" spans="1:12" x14ac:dyDescent="0.3">
      <c r="A110" s="28">
        <v>462962</v>
      </c>
      <c r="B110" s="28"/>
      <c r="C110" s="28" t="s">
        <v>2351</v>
      </c>
      <c r="D110" s="28" t="s">
        <v>2710</v>
      </c>
      <c r="E110" s="29">
        <v>3142182703</v>
      </c>
      <c r="F110" s="28" t="s">
        <v>3046</v>
      </c>
      <c r="G110" s="28">
        <v>15516</v>
      </c>
      <c r="H110" s="28">
        <v>211</v>
      </c>
      <c r="I110" s="30">
        <v>594118</v>
      </c>
      <c r="J110" s="31">
        <v>0</v>
      </c>
      <c r="K110" s="31">
        <v>0</v>
      </c>
      <c r="L110" s="31">
        <v>0</v>
      </c>
    </row>
    <row r="111" spans="1:12" x14ac:dyDescent="0.3">
      <c r="A111" s="28">
        <v>46453058</v>
      </c>
      <c r="B111" s="28"/>
      <c r="C111" s="28" t="s">
        <v>2352</v>
      </c>
      <c r="D111" s="28" t="s">
        <v>2711</v>
      </c>
      <c r="E111" s="29">
        <v>3115928602</v>
      </c>
      <c r="F111" s="28" t="s">
        <v>3047</v>
      </c>
      <c r="G111" s="28">
        <v>15516</v>
      </c>
      <c r="H111" s="28">
        <v>211</v>
      </c>
      <c r="I111" s="30">
        <v>1001344</v>
      </c>
      <c r="J111" s="31">
        <v>0</v>
      </c>
      <c r="K111" s="31">
        <v>0</v>
      </c>
      <c r="L111" s="31">
        <v>0</v>
      </c>
    </row>
    <row r="112" spans="1:12" x14ac:dyDescent="0.3">
      <c r="A112" s="28">
        <v>46680568</v>
      </c>
      <c r="B112" s="28"/>
      <c r="C112" s="28" t="s">
        <v>2353</v>
      </c>
      <c r="D112" s="28" t="s">
        <v>2712</v>
      </c>
      <c r="E112" s="29">
        <v>3143048629</v>
      </c>
      <c r="F112" s="28" t="s">
        <v>3048</v>
      </c>
      <c r="G112" s="28">
        <v>15516</v>
      </c>
      <c r="H112" s="28">
        <v>211</v>
      </c>
      <c r="I112" s="30">
        <v>1212000</v>
      </c>
      <c r="J112" s="31">
        <v>0</v>
      </c>
      <c r="K112" s="31">
        <v>0</v>
      </c>
      <c r="L112" s="31">
        <v>0</v>
      </c>
    </row>
    <row r="113" spans="1:12" x14ac:dyDescent="0.3">
      <c r="A113" s="28">
        <v>46681879</v>
      </c>
      <c r="B113" s="28"/>
      <c r="C113" s="28" t="s">
        <v>2354</v>
      </c>
      <c r="D113" s="28" t="s">
        <v>2713</v>
      </c>
      <c r="E113" s="29">
        <v>3143225152</v>
      </c>
      <c r="F113" s="28" t="s">
        <v>3049</v>
      </c>
      <c r="G113" s="28">
        <v>15516</v>
      </c>
      <c r="H113" s="28">
        <v>211</v>
      </c>
      <c r="I113" s="30">
        <v>140403</v>
      </c>
      <c r="J113" s="31">
        <v>0</v>
      </c>
      <c r="K113" s="31">
        <v>0</v>
      </c>
      <c r="L113" s="31">
        <v>0</v>
      </c>
    </row>
    <row r="114" spans="1:12" x14ac:dyDescent="0.3">
      <c r="A114" s="28">
        <v>51668386</v>
      </c>
      <c r="B114" s="28"/>
      <c r="C114" s="28" t="s">
        <v>2355</v>
      </c>
      <c r="D114" s="28" t="s">
        <v>2714</v>
      </c>
      <c r="E114" s="29">
        <v>3209460670</v>
      </c>
      <c r="F114" s="28" t="s">
        <v>2976</v>
      </c>
      <c r="G114" s="28">
        <v>15516</v>
      </c>
      <c r="H114" s="28">
        <v>211</v>
      </c>
      <c r="I114" s="30">
        <v>58655</v>
      </c>
      <c r="J114" s="31">
        <v>0</v>
      </c>
      <c r="K114" s="31">
        <v>0</v>
      </c>
      <c r="L114" s="31">
        <v>0</v>
      </c>
    </row>
    <row r="115" spans="1:12" x14ac:dyDescent="0.3">
      <c r="A115" s="28">
        <v>51903235</v>
      </c>
      <c r="B115" s="28"/>
      <c r="C115" s="28" t="s">
        <v>2356</v>
      </c>
      <c r="D115" s="28" t="s">
        <v>2715</v>
      </c>
      <c r="E115" s="29">
        <v>3008108546</v>
      </c>
      <c r="F115" s="28" t="s">
        <v>3050</v>
      </c>
      <c r="G115" s="28">
        <v>15516</v>
      </c>
      <c r="H115" s="28">
        <v>211</v>
      </c>
      <c r="I115" s="30">
        <v>552100</v>
      </c>
      <c r="J115" s="31">
        <v>0</v>
      </c>
      <c r="K115" s="31">
        <v>0</v>
      </c>
      <c r="L115" s="31">
        <v>0</v>
      </c>
    </row>
    <row r="116" spans="1:12" x14ac:dyDescent="0.3">
      <c r="A116" s="28">
        <v>51993689</v>
      </c>
      <c r="B116" s="28"/>
      <c r="C116" s="28" t="s">
        <v>2357</v>
      </c>
      <c r="D116" s="28" t="s">
        <v>2716</v>
      </c>
      <c r="E116" s="29">
        <v>3002129599</v>
      </c>
      <c r="F116" s="28" t="s">
        <v>3051</v>
      </c>
      <c r="G116" s="28">
        <v>15516</v>
      </c>
      <c r="H116" s="28">
        <v>211</v>
      </c>
      <c r="I116" s="30">
        <v>376500</v>
      </c>
      <c r="J116" s="31">
        <v>0</v>
      </c>
      <c r="K116" s="31">
        <v>0</v>
      </c>
      <c r="L116" s="31">
        <v>0</v>
      </c>
    </row>
    <row r="117" spans="1:12" x14ac:dyDescent="0.3">
      <c r="A117" s="28">
        <v>52260754</v>
      </c>
      <c r="B117" s="28"/>
      <c r="C117" s="28" t="s">
        <v>2358</v>
      </c>
      <c r="D117" s="28" t="s">
        <v>2717</v>
      </c>
      <c r="E117" s="29">
        <v>0</v>
      </c>
      <c r="F117" s="28" t="s">
        <v>3052</v>
      </c>
      <c r="G117" s="28">
        <v>15516</v>
      </c>
      <c r="H117" s="28">
        <v>211</v>
      </c>
      <c r="I117" s="30">
        <v>68908</v>
      </c>
      <c r="J117" s="31">
        <v>0</v>
      </c>
      <c r="K117" s="31">
        <v>0</v>
      </c>
      <c r="L117" s="31">
        <v>0</v>
      </c>
    </row>
    <row r="118" spans="1:12" x14ac:dyDescent="0.3">
      <c r="A118" s="28">
        <v>52970508</v>
      </c>
      <c r="B118" s="28"/>
      <c r="C118" s="28" t="s">
        <v>2359</v>
      </c>
      <c r="D118" s="28" t="s">
        <v>2718</v>
      </c>
      <c r="E118" s="29">
        <v>0</v>
      </c>
      <c r="F118" s="28" t="s">
        <v>3053</v>
      </c>
      <c r="G118" s="28">
        <v>15516</v>
      </c>
      <c r="H118" s="28">
        <v>211</v>
      </c>
      <c r="I118" s="30">
        <v>3408478</v>
      </c>
      <c r="J118" s="31">
        <v>0</v>
      </c>
      <c r="K118" s="31">
        <v>0</v>
      </c>
      <c r="L118" s="31">
        <v>0</v>
      </c>
    </row>
    <row r="119" spans="1:12" x14ac:dyDescent="0.3">
      <c r="A119" s="28">
        <v>5712840</v>
      </c>
      <c r="B119" s="28"/>
      <c r="C119" s="28" t="s">
        <v>2360</v>
      </c>
      <c r="D119" s="28" t="s">
        <v>2719</v>
      </c>
      <c r="E119" s="29">
        <v>3105355868</v>
      </c>
      <c r="F119" s="28" t="s">
        <v>3054</v>
      </c>
      <c r="G119" s="28">
        <v>15516</v>
      </c>
      <c r="H119" s="28">
        <v>211</v>
      </c>
      <c r="I119" s="30">
        <v>1364286</v>
      </c>
      <c r="J119" s="31">
        <v>0</v>
      </c>
      <c r="K119" s="31">
        <v>0</v>
      </c>
      <c r="L119" s="31">
        <v>0</v>
      </c>
    </row>
    <row r="120" spans="1:12" x14ac:dyDescent="0.3">
      <c r="A120" s="28">
        <v>5775376</v>
      </c>
      <c r="B120" s="28"/>
      <c r="C120" s="28" t="s">
        <v>2361</v>
      </c>
      <c r="D120" s="28" t="s">
        <v>2720</v>
      </c>
      <c r="E120" s="29">
        <v>3114812420</v>
      </c>
      <c r="F120" s="28" t="s">
        <v>3055</v>
      </c>
      <c r="G120" s="28">
        <v>15516</v>
      </c>
      <c r="H120" s="28">
        <v>211</v>
      </c>
      <c r="I120" s="30">
        <v>43697</v>
      </c>
      <c r="J120" s="31">
        <v>0</v>
      </c>
      <c r="K120" s="31">
        <v>0</v>
      </c>
      <c r="L120" s="31">
        <v>0</v>
      </c>
    </row>
    <row r="121" spans="1:12" x14ac:dyDescent="0.3">
      <c r="A121" s="28">
        <v>6756518</v>
      </c>
      <c r="B121" s="28"/>
      <c r="C121" s="28" t="s">
        <v>2362</v>
      </c>
      <c r="D121" s="28" t="s">
        <v>2721</v>
      </c>
      <c r="E121" s="29">
        <v>3005710631</v>
      </c>
      <c r="F121" s="28" t="s">
        <v>3056</v>
      </c>
      <c r="G121" s="28">
        <v>15516</v>
      </c>
      <c r="H121" s="28">
        <v>211</v>
      </c>
      <c r="I121" s="30">
        <v>538731</v>
      </c>
      <c r="J121" s="31">
        <v>0</v>
      </c>
      <c r="K121" s="31">
        <v>0</v>
      </c>
      <c r="L121" s="31">
        <v>0</v>
      </c>
    </row>
    <row r="122" spans="1:12" x14ac:dyDescent="0.3">
      <c r="A122" s="28">
        <v>6757858</v>
      </c>
      <c r="B122" s="28"/>
      <c r="C122" s="28" t="s">
        <v>2363</v>
      </c>
      <c r="D122" s="28" t="s">
        <v>2722</v>
      </c>
      <c r="E122" s="29">
        <v>0</v>
      </c>
      <c r="F122" s="28" t="s">
        <v>3057</v>
      </c>
      <c r="G122" s="28">
        <v>15516</v>
      </c>
      <c r="H122" s="28">
        <v>211</v>
      </c>
      <c r="I122" s="30">
        <v>147479</v>
      </c>
      <c r="J122" s="31">
        <v>0</v>
      </c>
      <c r="K122" s="31">
        <v>0</v>
      </c>
      <c r="L122" s="31">
        <v>0</v>
      </c>
    </row>
    <row r="123" spans="1:12" ht="28.8" x14ac:dyDescent="0.3">
      <c r="A123" s="28">
        <v>6763826</v>
      </c>
      <c r="B123" s="28"/>
      <c r="C123" s="28" t="s">
        <v>2364</v>
      </c>
      <c r="D123" s="28" t="s">
        <v>2723</v>
      </c>
      <c r="E123" s="29">
        <v>3132095324</v>
      </c>
      <c r="F123" s="33" t="s">
        <v>3277</v>
      </c>
      <c r="G123" s="28">
        <v>15516</v>
      </c>
      <c r="H123" s="28">
        <v>211</v>
      </c>
      <c r="I123" s="30">
        <v>5959219</v>
      </c>
      <c r="J123" s="31">
        <v>0</v>
      </c>
      <c r="K123" s="31">
        <v>0</v>
      </c>
      <c r="L123" s="31">
        <v>0</v>
      </c>
    </row>
    <row r="124" spans="1:12" x14ac:dyDescent="0.3">
      <c r="A124" s="28">
        <v>7163723</v>
      </c>
      <c r="B124" s="28"/>
      <c r="C124" s="28" t="s">
        <v>2365</v>
      </c>
      <c r="D124" s="28" t="s">
        <v>2724</v>
      </c>
      <c r="E124" s="29">
        <v>3207999092</v>
      </c>
      <c r="F124" s="28" t="s">
        <v>3058</v>
      </c>
      <c r="G124" s="28">
        <v>15516</v>
      </c>
      <c r="H124" s="28">
        <v>211</v>
      </c>
      <c r="I124" s="30">
        <f>256412-I125</f>
        <v>229412</v>
      </c>
      <c r="J124" s="31">
        <v>0</v>
      </c>
      <c r="K124" s="31">
        <v>0</v>
      </c>
      <c r="L124" s="31">
        <v>0</v>
      </c>
    </row>
    <row r="125" spans="1:12" x14ac:dyDescent="0.3">
      <c r="A125" s="28">
        <v>7163723</v>
      </c>
      <c r="B125" s="28"/>
      <c r="C125" s="28" t="s">
        <v>2365</v>
      </c>
      <c r="D125" s="28" t="s">
        <v>2724</v>
      </c>
      <c r="E125" s="29">
        <v>3207999092</v>
      </c>
      <c r="F125" s="28" t="s">
        <v>3058</v>
      </c>
      <c r="G125" s="28">
        <v>15516</v>
      </c>
      <c r="H125" s="28">
        <v>301</v>
      </c>
      <c r="I125" s="30">
        <v>27000</v>
      </c>
      <c r="J125" s="31">
        <v>0</v>
      </c>
      <c r="K125" s="31">
        <v>0</v>
      </c>
      <c r="L125" s="31">
        <v>0</v>
      </c>
    </row>
    <row r="126" spans="1:12" x14ac:dyDescent="0.3">
      <c r="A126" s="28">
        <v>7163866</v>
      </c>
      <c r="B126" s="28"/>
      <c r="C126" s="28" t="s">
        <v>2366</v>
      </c>
      <c r="D126" s="28" t="s">
        <v>2725</v>
      </c>
      <c r="E126" s="29">
        <v>3134448576</v>
      </c>
      <c r="F126" s="28" t="s">
        <v>3059</v>
      </c>
      <c r="G126" s="28">
        <v>15516</v>
      </c>
      <c r="H126" s="28">
        <v>211</v>
      </c>
      <c r="I126" s="30">
        <v>32773</v>
      </c>
      <c r="J126" s="31">
        <v>0</v>
      </c>
      <c r="K126" s="31">
        <v>0</v>
      </c>
      <c r="L126" s="31">
        <v>0</v>
      </c>
    </row>
    <row r="127" spans="1:12" x14ac:dyDescent="0.3">
      <c r="A127" s="28">
        <v>7173254</v>
      </c>
      <c r="B127" s="28"/>
      <c r="C127" s="28" t="s">
        <v>2367</v>
      </c>
      <c r="D127" s="28" t="s">
        <v>2726</v>
      </c>
      <c r="E127" s="29">
        <v>3208585811</v>
      </c>
      <c r="F127" s="28" t="s">
        <v>2967</v>
      </c>
      <c r="G127" s="28">
        <v>15516</v>
      </c>
      <c r="H127" s="28">
        <v>211</v>
      </c>
      <c r="I127" s="30">
        <v>136807</v>
      </c>
      <c r="J127" s="31">
        <v>0</v>
      </c>
      <c r="K127" s="31">
        <v>0</v>
      </c>
      <c r="L127" s="31">
        <v>0</v>
      </c>
    </row>
    <row r="128" spans="1:12" x14ac:dyDescent="0.3">
      <c r="A128" s="28">
        <v>7173903</v>
      </c>
      <c r="B128" s="28"/>
      <c r="C128" s="28" t="s">
        <v>2368</v>
      </c>
      <c r="D128" s="28" t="s">
        <v>2727</v>
      </c>
      <c r="E128" s="29">
        <v>3112182422</v>
      </c>
      <c r="F128" s="28" t="s">
        <v>3060</v>
      </c>
      <c r="G128" s="28">
        <v>15516</v>
      </c>
      <c r="H128" s="28">
        <v>211</v>
      </c>
      <c r="I128" s="30">
        <v>670588</v>
      </c>
      <c r="J128" s="31">
        <v>0</v>
      </c>
      <c r="K128" s="31">
        <v>0</v>
      </c>
      <c r="L128" s="31">
        <v>0</v>
      </c>
    </row>
    <row r="129" spans="1:12" x14ac:dyDescent="0.3">
      <c r="A129" s="28">
        <v>7188418</v>
      </c>
      <c r="B129" s="28"/>
      <c r="C129" s="28" t="s">
        <v>2369</v>
      </c>
      <c r="D129" s="28" t="s">
        <v>2728</v>
      </c>
      <c r="E129" s="29">
        <v>3167584483</v>
      </c>
      <c r="F129" s="28" t="s">
        <v>2985</v>
      </c>
      <c r="G129" s="28">
        <v>15516</v>
      </c>
      <c r="H129" s="28">
        <v>211</v>
      </c>
      <c r="I129" s="30">
        <v>202479</v>
      </c>
      <c r="J129" s="31">
        <v>0</v>
      </c>
      <c r="K129" s="31">
        <v>0</v>
      </c>
      <c r="L129" s="31">
        <v>0</v>
      </c>
    </row>
    <row r="130" spans="1:12" x14ac:dyDescent="0.3">
      <c r="A130" s="28">
        <v>7210498</v>
      </c>
      <c r="B130" s="28"/>
      <c r="C130" s="28" t="s">
        <v>2370</v>
      </c>
      <c r="D130" s="28" t="s">
        <v>2729</v>
      </c>
      <c r="E130" s="29">
        <v>3153164388</v>
      </c>
      <c r="F130" s="28" t="s">
        <v>3027</v>
      </c>
      <c r="G130" s="28">
        <v>15516</v>
      </c>
      <c r="H130" s="28">
        <v>211</v>
      </c>
      <c r="I130" s="30">
        <v>1098092</v>
      </c>
      <c r="J130" s="31">
        <v>0</v>
      </c>
      <c r="K130" s="31">
        <v>0</v>
      </c>
      <c r="L130" s="31">
        <v>0</v>
      </c>
    </row>
    <row r="131" spans="1:12" x14ac:dyDescent="0.3">
      <c r="A131" s="28">
        <v>7221554</v>
      </c>
      <c r="B131" s="28"/>
      <c r="C131" s="28" t="s">
        <v>2371</v>
      </c>
      <c r="D131" s="28" t="s">
        <v>2730</v>
      </c>
      <c r="E131" s="29">
        <v>3132700904</v>
      </c>
      <c r="F131" s="28" t="s">
        <v>3061</v>
      </c>
      <c r="G131" s="28">
        <v>15516</v>
      </c>
      <c r="H131" s="28">
        <v>211</v>
      </c>
      <c r="I131" s="30">
        <v>63866</v>
      </c>
      <c r="J131" s="31">
        <v>0</v>
      </c>
      <c r="K131" s="31">
        <v>0</v>
      </c>
      <c r="L131" s="31">
        <v>0</v>
      </c>
    </row>
    <row r="132" spans="1:12" x14ac:dyDescent="0.3">
      <c r="A132" s="28">
        <v>74130139</v>
      </c>
      <c r="B132" s="28"/>
      <c r="C132" s="28" t="s">
        <v>2372</v>
      </c>
      <c r="D132" s="28" t="s">
        <v>2731</v>
      </c>
      <c r="E132" s="29">
        <v>3202301568</v>
      </c>
      <c r="F132" s="28" t="s">
        <v>3062</v>
      </c>
      <c r="G132" s="28">
        <v>15516</v>
      </c>
      <c r="H132" s="28">
        <v>211</v>
      </c>
      <c r="I132" s="30">
        <v>111765</v>
      </c>
      <c r="J132" s="31">
        <v>0</v>
      </c>
      <c r="K132" s="31">
        <v>0</v>
      </c>
      <c r="L132" s="31">
        <v>0</v>
      </c>
    </row>
    <row r="133" spans="1:12" ht="14.4" customHeight="1" x14ac:dyDescent="0.3">
      <c r="A133" s="28">
        <v>74130481</v>
      </c>
      <c r="B133" s="28"/>
      <c r="C133" s="28" t="s">
        <v>2373</v>
      </c>
      <c r="D133" s="28" t="s">
        <v>2732</v>
      </c>
      <c r="E133" s="29">
        <v>0</v>
      </c>
      <c r="F133" s="28" t="s">
        <v>3063</v>
      </c>
      <c r="G133" s="28">
        <v>15516</v>
      </c>
      <c r="H133" s="28">
        <v>211</v>
      </c>
      <c r="I133" s="30">
        <v>5586933</v>
      </c>
      <c r="J133" s="31">
        <v>0</v>
      </c>
      <c r="K133" s="31">
        <v>0</v>
      </c>
      <c r="L133" s="31">
        <v>0</v>
      </c>
    </row>
    <row r="134" spans="1:12" ht="14.4" customHeight="1" x14ac:dyDescent="0.3">
      <c r="A134" s="28">
        <v>74130510</v>
      </c>
      <c r="B134" s="28"/>
      <c r="C134" s="28" t="s">
        <v>2374</v>
      </c>
      <c r="D134" s="28" t="s">
        <v>2733</v>
      </c>
      <c r="E134" s="29">
        <v>0</v>
      </c>
      <c r="F134" s="28" t="s">
        <v>3064</v>
      </c>
      <c r="G134" s="28">
        <v>15516</v>
      </c>
      <c r="H134" s="28">
        <v>211</v>
      </c>
      <c r="I134" s="30">
        <v>137815</v>
      </c>
      <c r="J134" s="31">
        <v>0</v>
      </c>
      <c r="K134" s="31">
        <v>0</v>
      </c>
      <c r="L134" s="31">
        <v>0</v>
      </c>
    </row>
    <row r="135" spans="1:12" x14ac:dyDescent="0.3">
      <c r="A135" s="28">
        <v>74130529</v>
      </c>
      <c r="B135" s="28"/>
      <c r="C135" s="28" t="s">
        <v>2375</v>
      </c>
      <c r="D135" s="28" t="s">
        <v>2691</v>
      </c>
      <c r="E135" s="29">
        <v>3138449519</v>
      </c>
      <c r="F135" s="28" t="s">
        <v>3065</v>
      </c>
      <c r="G135" s="28">
        <v>15516</v>
      </c>
      <c r="H135" s="28">
        <v>211</v>
      </c>
      <c r="I135" s="30">
        <v>89580</v>
      </c>
      <c r="J135" s="31">
        <v>0</v>
      </c>
      <c r="K135" s="31">
        <v>0</v>
      </c>
      <c r="L135" s="31">
        <v>0</v>
      </c>
    </row>
    <row r="136" spans="1:12" x14ac:dyDescent="0.3">
      <c r="A136" s="28">
        <v>74130545</v>
      </c>
      <c r="B136" s="28"/>
      <c r="C136" s="28" t="s">
        <v>2376</v>
      </c>
      <c r="D136" s="28" t="s">
        <v>2734</v>
      </c>
      <c r="E136" s="29">
        <v>3113973503</v>
      </c>
      <c r="F136" s="28" t="s">
        <v>3066</v>
      </c>
      <c r="G136" s="28">
        <v>15516</v>
      </c>
      <c r="H136" s="28">
        <v>211</v>
      </c>
      <c r="I136" s="30">
        <v>4199321</v>
      </c>
      <c r="J136" s="31">
        <v>0</v>
      </c>
      <c r="K136" s="31">
        <v>0</v>
      </c>
      <c r="L136" s="31">
        <v>0</v>
      </c>
    </row>
    <row r="137" spans="1:12" x14ac:dyDescent="0.3">
      <c r="A137" s="28">
        <v>74130613</v>
      </c>
      <c r="B137" s="28"/>
      <c r="C137" s="28" t="s">
        <v>2377</v>
      </c>
      <c r="D137" s="28" t="s">
        <v>2735</v>
      </c>
      <c r="E137" s="29">
        <v>3103204635</v>
      </c>
      <c r="F137" s="28" t="s">
        <v>3067</v>
      </c>
      <c r="G137" s="28">
        <v>15516</v>
      </c>
      <c r="H137" s="28">
        <v>211</v>
      </c>
      <c r="I137" s="30">
        <v>321622</v>
      </c>
      <c r="J137" s="31">
        <v>0</v>
      </c>
      <c r="K137" s="31">
        <v>0</v>
      </c>
      <c r="L137" s="31">
        <v>0</v>
      </c>
    </row>
    <row r="138" spans="1:12" x14ac:dyDescent="0.3">
      <c r="A138" s="28">
        <v>74130616</v>
      </c>
      <c r="B138" s="28"/>
      <c r="C138" s="28" t="s">
        <v>2378</v>
      </c>
      <c r="D138" s="28" t="s">
        <v>2736</v>
      </c>
      <c r="E138" s="29">
        <v>3154737406</v>
      </c>
      <c r="F138" s="28" t="s">
        <v>2967</v>
      </c>
      <c r="G138" s="28">
        <v>15516</v>
      </c>
      <c r="H138" s="28">
        <v>211</v>
      </c>
      <c r="I138" s="30">
        <v>1559399</v>
      </c>
      <c r="J138" s="31">
        <v>0</v>
      </c>
      <c r="K138" s="31">
        <v>0</v>
      </c>
      <c r="L138" s="31">
        <v>0</v>
      </c>
    </row>
    <row r="139" spans="1:12" x14ac:dyDescent="0.3">
      <c r="A139" s="28">
        <v>74130658</v>
      </c>
      <c r="B139" s="28"/>
      <c r="C139" s="28" t="s">
        <v>2379</v>
      </c>
      <c r="D139" s="28" t="s">
        <v>2737</v>
      </c>
      <c r="E139" s="29">
        <v>3174194538</v>
      </c>
      <c r="F139" s="28" t="s">
        <v>3068</v>
      </c>
      <c r="G139" s="28">
        <v>15516</v>
      </c>
      <c r="H139" s="28">
        <v>211</v>
      </c>
      <c r="I139" s="30">
        <v>386555</v>
      </c>
      <c r="J139" s="31">
        <v>0</v>
      </c>
      <c r="K139" s="31">
        <v>0</v>
      </c>
      <c r="L139" s="31">
        <v>0</v>
      </c>
    </row>
    <row r="140" spans="1:12" x14ac:dyDescent="0.3">
      <c r="A140" s="28">
        <v>74130899</v>
      </c>
      <c r="B140" s="28"/>
      <c r="C140" s="28" t="s">
        <v>2380</v>
      </c>
      <c r="D140" s="28" t="s">
        <v>2738</v>
      </c>
      <c r="E140" s="29">
        <v>3144143417</v>
      </c>
      <c r="F140" s="28" t="s">
        <v>3069</v>
      </c>
      <c r="G140" s="28">
        <v>15516</v>
      </c>
      <c r="H140" s="28">
        <v>211</v>
      </c>
      <c r="I140" s="30">
        <v>99118</v>
      </c>
      <c r="J140" s="31">
        <v>0</v>
      </c>
      <c r="K140" s="31">
        <v>0</v>
      </c>
      <c r="L140" s="31">
        <v>0</v>
      </c>
    </row>
    <row r="141" spans="1:12" x14ac:dyDescent="0.3">
      <c r="A141" s="28">
        <v>74300843</v>
      </c>
      <c r="B141" s="28"/>
      <c r="C141" s="28" t="s">
        <v>2381</v>
      </c>
      <c r="D141" s="28" t="s">
        <v>2739</v>
      </c>
      <c r="E141" s="29">
        <v>3160450945</v>
      </c>
      <c r="F141" s="28" t="s">
        <v>2976</v>
      </c>
      <c r="G141" s="28">
        <v>15516</v>
      </c>
      <c r="H141" s="28">
        <v>211</v>
      </c>
      <c r="I141" s="30">
        <v>42017</v>
      </c>
      <c r="J141" s="31">
        <v>0</v>
      </c>
      <c r="K141" s="31">
        <v>0</v>
      </c>
      <c r="L141" s="31">
        <v>0</v>
      </c>
    </row>
    <row r="142" spans="1:12" x14ac:dyDescent="0.3">
      <c r="A142" s="28">
        <v>74322006</v>
      </c>
      <c r="B142" s="28"/>
      <c r="C142" s="28" t="s">
        <v>2382</v>
      </c>
      <c r="D142" s="28" t="s">
        <v>2691</v>
      </c>
      <c r="E142" s="29">
        <v>3132628364</v>
      </c>
      <c r="F142" s="28" t="s">
        <v>3070</v>
      </c>
      <c r="G142" s="28">
        <v>15516</v>
      </c>
      <c r="H142" s="28">
        <v>211</v>
      </c>
      <c r="I142" s="30">
        <v>54605</v>
      </c>
      <c r="J142" s="31">
        <v>0</v>
      </c>
      <c r="K142" s="31">
        <v>0</v>
      </c>
      <c r="L142" s="31">
        <v>0</v>
      </c>
    </row>
    <row r="143" spans="1:12" x14ac:dyDescent="0.3">
      <c r="A143" s="28">
        <v>74322826</v>
      </c>
      <c r="B143" s="28"/>
      <c r="C143" s="28" t="s">
        <v>2383</v>
      </c>
      <c r="D143" s="28" t="s">
        <v>2740</v>
      </c>
      <c r="E143" s="29">
        <v>3157826563</v>
      </c>
      <c r="F143" s="28" t="s">
        <v>3071</v>
      </c>
      <c r="G143" s="28">
        <v>15516</v>
      </c>
      <c r="H143" s="28">
        <v>211</v>
      </c>
      <c r="I143" s="30">
        <v>322689</v>
      </c>
      <c r="J143" s="31">
        <v>0</v>
      </c>
      <c r="K143" s="31">
        <v>0</v>
      </c>
      <c r="L143" s="31">
        <v>0</v>
      </c>
    </row>
    <row r="144" spans="1:12" x14ac:dyDescent="0.3">
      <c r="A144" s="28">
        <v>74323114</v>
      </c>
      <c r="B144" s="28"/>
      <c r="C144" s="28" t="s">
        <v>2384</v>
      </c>
      <c r="D144" s="28" t="s">
        <v>2691</v>
      </c>
      <c r="E144" s="29">
        <v>3204490433</v>
      </c>
      <c r="F144" s="28" t="s">
        <v>3071</v>
      </c>
      <c r="G144" s="28">
        <v>15516</v>
      </c>
      <c r="H144" s="28">
        <v>211</v>
      </c>
      <c r="I144" s="30">
        <v>442857</v>
      </c>
      <c r="J144" s="31">
        <v>0</v>
      </c>
      <c r="K144" s="31">
        <v>0</v>
      </c>
      <c r="L144" s="31">
        <v>0</v>
      </c>
    </row>
    <row r="145" spans="1:12" x14ac:dyDescent="0.3">
      <c r="A145" s="28">
        <v>74323223</v>
      </c>
      <c r="B145" s="28"/>
      <c r="C145" s="28" t="s">
        <v>2385</v>
      </c>
      <c r="D145" s="28" t="s">
        <v>2741</v>
      </c>
      <c r="E145" s="29">
        <v>0</v>
      </c>
      <c r="F145" s="28" t="s">
        <v>3072</v>
      </c>
      <c r="G145" s="28">
        <v>15516</v>
      </c>
      <c r="H145" s="28">
        <v>211</v>
      </c>
      <c r="I145" s="30">
        <v>846219</v>
      </c>
      <c r="J145" s="31">
        <v>0</v>
      </c>
      <c r="K145" s="31">
        <v>0</v>
      </c>
      <c r="L145" s="31">
        <v>0</v>
      </c>
    </row>
    <row r="146" spans="1:12" x14ac:dyDescent="0.3">
      <c r="A146" s="28">
        <v>74323681</v>
      </c>
      <c r="B146" s="28"/>
      <c r="C146" s="28" t="s">
        <v>2386</v>
      </c>
      <c r="D146" s="28" t="s">
        <v>2742</v>
      </c>
      <c r="E146" s="29">
        <v>3208789347</v>
      </c>
      <c r="F146" s="28" t="s">
        <v>3073</v>
      </c>
      <c r="G146" s="28">
        <v>15516</v>
      </c>
      <c r="H146" s="28">
        <v>211</v>
      </c>
      <c r="I146" s="30">
        <v>109395</v>
      </c>
      <c r="J146" s="31">
        <v>0</v>
      </c>
      <c r="K146" s="31">
        <v>0</v>
      </c>
      <c r="L146" s="31">
        <v>0</v>
      </c>
    </row>
    <row r="147" spans="1:12" x14ac:dyDescent="0.3">
      <c r="A147" s="28">
        <v>74323830</v>
      </c>
      <c r="B147" s="28"/>
      <c r="C147" s="28" t="s">
        <v>2387</v>
      </c>
      <c r="D147" s="28" t="s">
        <v>2743</v>
      </c>
      <c r="E147" s="29">
        <v>3178681418</v>
      </c>
      <c r="F147" s="28" t="s">
        <v>3074</v>
      </c>
      <c r="G147" s="28">
        <v>15516</v>
      </c>
      <c r="H147" s="28">
        <v>211</v>
      </c>
      <c r="I147" s="30">
        <v>408824</v>
      </c>
      <c r="J147" s="31">
        <v>0</v>
      </c>
      <c r="K147" s="31">
        <v>0</v>
      </c>
      <c r="L147" s="31">
        <v>0</v>
      </c>
    </row>
    <row r="148" spans="1:12" x14ac:dyDescent="0.3">
      <c r="A148" s="28">
        <v>74323891</v>
      </c>
      <c r="B148" s="28"/>
      <c r="C148" s="28" t="s">
        <v>2388</v>
      </c>
      <c r="D148" s="28" t="s">
        <v>2744</v>
      </c>
      <c r="E148" s="29">
        <v>3022994579</v>
      </c>
      <c r="F148" s="28" t="s">
        <v>3075</v>
      </c>
      <c r="G148" s="28">
        <v>15516</v>
      </c>
      <c r="H148" s="28">
        <v>211</v>
      </c>
      <c r="I148" s="30">
        <v>32773</v>
      </c>
      <c r="J148" s="31">
        <v>0</v>
      </c>
      <c r="K148" s="31">
        <v>0</v>
      </c>
      <c r="L148" s="31">
        <v>0</v>
      </c>
    </row>
    <row r="149" spans="1:12" x14ac:dyDescent="0.3">
      <c r="A149" s="28">
        <v>74323912</v>
      </c>
      <c r="B149" s="28"/>
      <c r="C149" s="28" t="s">
        <v>2389</v>
      </c>
      <c r="D149" s="28" t="s">
        <v>2745</v>
      </c>
      <c r="E149" s="29">
        <v>3214626765</v>
      </c>
      <c r="F149" s="28" t="s">
        <v>3076</v>
      </c>
      <c r="G149" s="28">
        <v>15516</v>
      </c>
      <c r="H149" s="28">
        <v>211</v>
      </c>
      <c r="I149" s="30">
        <v>100840</v>
      </c>
      <c r="J149" s="31">
        <v>0</v>
      </c>
      <c r="K149" s="31">
        <v>0</v>
      </c>
      <c r="L149" s="31">
        <v>0</v>
      </c>
    </row>
    <row r="150" spans="1:12" x14ac:dyDescent="0.3">
      <c r="A150" s="28">
        <v>74324341</v>
      </c>
      <c r="B150" s="28"/>
      <c r="C150" s="28" t="s">
        <v>2390</v>
      </c>
      <c r="D150" s="28" t="s">
        <v>2746</v>
      </c>
      <c r="E150" s="29">
        <v>3132524264</v>
      </c>
      <c r="F150" s="28" t="s">
        <v>3077</v>
      </c>
      <c r="G150" s="28">
        <v>15516</v>
      </c>
      <c r="H150" s="28">
        <v>211</v>
      </c>
      <c r="I150" s="30">
        <v>1567727</v>
      </c>
      <c r="J150" s="31">
        <v>0</v>
      </c>
      <c r="K150" s="31">
        <v>0</v>
      </c>
      <c r="L150" s="31">
        <v>0</v>
      </c>
    </row>
    <row r="151" spans="1:12" x14ac:dyDescent="0.3">
      <c r="A151" s="28">
        <v>74358777</v>
      </c>
      <c r="B151" s="28"/>
      <c r="C151" s="28" t="s">
        <v>2391</v>
      </c>
      <c r="D151" s="28" t="s">
        <v>2747</v>
      </c>
      <c r="E151" s="29">
        <v>0</v>
      </c>
      <c r="F151" s="28" t="s">
        <v>3071</v>
      </c>
      <c r="G151" s="28">
        <v>15516</v>
      </c>
      <c r="H151" s="28">
        <v>211</v>
      </c>
      <c r="I151" s="30">
        <v>3673663</v>
      </c>
      <c r="J151" s="31">
        <v>0</v>
      </c>
      <c r="K151" s="31">
        <v>0</v>
      </c>
      <c r="L151" s="31">
        <v>0</v>
      </c>
    </row>
    <row r="152" spans="1:12" x14ac:dyDescent="0.3">
      <c r="A152" s="28">
        <v>74358777</v>
      </c>
      <c r="B152" s="28"/>
      <c r="C152" s="28" t="s">
        <v>2391</v>
      </c>
      <c r="D152" s="28" t="s">
        <v>2747</v>
      </c>
      <c r="E152" s="29">
        <v>0</v>
      </c>
      <c r="F152" s="28" t="s">
        <v>3071</v>
      </c>
      <c r="G152" s="28">
        <v>15516</v>
      </c>
      <c r="H152" s="28">
        <v>301</v>
      </c>
      <c r="I152" s="30">
        <v>10000</v>
      </c>
      <c r="J152" s="31">
        <v>0</v>
      </c>
      <c r="K152" s="31">
        <v>0</v>
      </c>
      <c r="L152" s="31">
        <v>0</v>
      </c>
    </row>
    <row r="153" spans="1:12" x14ac:dyDescent="0.3">
      <c r="A153" s="28">
        <v>74358852</v>
      </c>
      <c r="B153" s="28"/>
      <c r="C153" s="28" t="s">
        <v>2392</v>
      </c>
      <c r="D153" s="28" t="s">
        <v>2748</v>
      </c>
      <c r="E153" s="29">
        <v>7853385</v>
      </c>
      <c r="F153" s="28" t="s">
        <v>3078</v>
      </c>
      <c r="G153" s="28">
        <v>15516</v>
      </c>
      <c r="H153" s="28">
        <v>211</v>
      </c>
      <c r="I153" s="30">
        <v>1722689</v>
      </c>
      <c r="J153" s="31">
        <v>0</v>
      </c>
      <c r="K153" s="31">
        <v>0</v>
      </c>
      <c r="L153" s="31">
        <v>0</v>
      </c>
    </row>
    <row r="154" spans="1:12" x14ac:dyDescent="0.3">
      <c r="A154" s="28">
        <v>74358870</v>
      </c>
      <c r="B154" s="28"/>
      <c r="C154" s="28" t="s">
        <v>2393</v>
      </c>
      <c r="D154" s="28" t="s">
        <v>2691</v>
      </c>
      <c r="E154" s="29">
        <v>3213034760</v>
      </c>
      <c r="F154" s="28" t="s">
        <v>3079</v>
      </c>
      <c r="G154" s="28">
        <v>15516</v>
      </c>
      <c r="H154" s="28">
        <v>211</v>
      </c>
      <c r="I154" s="30">
        <v>457143</v>
      </c>
      <c r="J154" s="31">
        <v>0</v>
      </c>
      <c r="K154" s="31">
        <v>0</v>
      </c>
      <c r="L154" s="31">
        <v>0</v>
      </c>
    </row>
    <row r="155" spans="1:12" x14ac:dyDescent="0.3">
      <c r="A155" s="28">
        <v>74358968</v>
      </c>
      <c r="B155" s="28"/>
      <c r="C155" s="28" t="s">
        <v>2394</v>
      </c>
      <c r="D155" s="28" t="s">
        <v>2749</v>
      </c>
      <c r="E155" s="29">
        <v>3112189141</v>
      </c>
      <c r="F155" s="28" t="s">
        <v>3080</v>
      </c>
      <c r="G155" s="28">
        <v>15516</v>
      </c>
      <c r="H155" s="28">
        <v>211</v>
      </c>
      <c r="I155" s="30">
        <v>43311</v>
      </c>
      <c r="J155" s="31">
        <v>0</v>
      </c>
      <c r="K155" s="31">
        <v>0</v>
      </c>
      <c r="L155" s="31">
        <v>0</v>
      </c>
    </row>
    <row r="156" spans="1:12" x14ac:dyDescent="0.3">
      <c r="A156" s="28">
        <v>74359096</v>
      </c>
      <c r="B156" s="28"/>
      <c r="C156" s="28" t="s">
        <v>2395</v>
      </c>
      <c r="D156" s="28" t="s">
        <v>2750</v>
      </c>
      <c r="E156" s="29">
        <v>0</v>
      </c>
      <c r="F156" s="28" t="s">
        <v>3081</v>
      </c>
      <c r="G156" s="28">
        <v>15516</v>
      </c>
      <c r="H156" s="28">
        <v>211</v>
      </c>
      <c r="I156" s="30">
        <v>207563</v>
      </c>
      <c r="J156" s="31">
        <v>0</v>
      </c>
      <c r="K156" s="31">
        <v>0</v>
      </c>
      <c r="L156" s="31">
        <v>0</v>
      </c>
    </row>
    <row r="157" spans="1:12" x14ac:dyDescent="0.3">
      <c r="A157" s="28">
        <v>74359108</v>
      </c>
      <c r="B157" s="28"/>
      <c r="C157" s="28" t="s">
        <v>2396</v>
      </c>
      <c r="D157" s="28" t="s">
        <v>2751</v>
      </c>
      <c r="E157" s="29">
        <v>0</v>
      </c>
      <c r="F157" s="28" t="s">
        <v>3082</v>
      </c>
      <c r="G157" s="28">
        <v>15516</v>
      </c>
      <c r="H157" s="28">
        <v>211</v>
      </c>
      <c r="I157" s="30">
        <v>570214</v>
      </c>
      <c r="J157" s="31">
        <v>0</v>
      </c>
      <c r="K157" s="31">
        <v>0</v>
      </c>
      <c r="L157" s="31">
        <v>0</v>
      </c>
    </row>
    <row r="158" spans="1:12" x14ac:dyDescent="0.3">
      <c r="A158" s="28">
        <v>74359250</v>
      </c>
      <c r="B158" s="28"/>
      <c r="C158" s="28" t="s">
        <v>2397</v>
      </c>
      <c r="D158" s="28" t="s">
        <v>2752</v>
      </c>
      <c r="E158" s="29">
        <v>3114667811</v>
      </c>
      <c r="F158" s="28" t="s">
        <v>3083</v>
      </c>
      <c r="G158" s="28">
        <v>15516</v>
      </c>
      <c r="H158" s="28">
        <v>211</v>
      </c>
      <c r="I158" s="30">
        <v>304101</v>
      </c>
      <c r="J158" s="31">
        <v>0</v>
      </c>
      <c r="K158" s="31">
        <v>0</v>
      </c>
      <c r="L158" s="31">
        <v>0</v>
      </c>
    </row>
    <row r="159" spans="1:12" x14ac:dyDescent="0.3">
      <c r="A159" s="28">
        <v>74359315</v>
      </c>
      <c r="B159" s="28"/>
      <c r="C159" s="28" t="s">
        <v>2398</v>
      </c>
      <c r="D159" s="28" t="s">
        <v>2753</v>
      </c>
      <c r="E159" s="29">
        <v>3144385261</v>
      </c>
      <c r="F159" s="28" t="s">
        <v>2985</v>
      </c>
      <c r="G159" s="28">
        <v>15516</v>
      </c>
      <c r="H159" s="28">
        <v>211</v>
      </c>
      <c r="I159" s="30">
        <v>125975</v>
      </c>
      <c r="J159" s="31">
        <v>0</v>
      </c>
      <c r="K159" s="31">
        <v>0</v>
      </c>
      <c r="L159" s="31">
        <v>0</v>
      </c>
    </row>
    <row r="160" spans="1:12" x14ac:dyDescent="0.3">
      <c r="A160" s="28">
        <v>74359390</v>
      </c>
      <c r="B160" s="28"/>
      <c r="C160" s="28" t="s">
        <v>2399</v>
      </c>
      <c r="D160" s="28" t="s">
        <v>2754</v>
      </c>
      <c r="E160" s="29">
        <v>0</v>
      </c>
      <c r="F160" s="28" t="s">
        <v>3084</v>
      </c>
      <c r="G160" s="28">
        <v>15516</v>
      </c>
      <c r="H160" s="28">
        <v>211</v>
      </c>
      <c r="I160" s="30">
        <v>881773</v>
      </c>
      <c r="J160" s="31">
        <v>0</v>
      </c>
      <c r="K160" s="31">
        <v>0</v>
      </c>
      <c r="L160" s="31">
        <v>0</v>
      </c>
    </row>
    <row r="161" spans="1:12" x14ac:dyDescent="0.3">
      <c r="A161" s="28">
        <v>74359518</v>
      </c>
      <c r="B161" s="28"/>
      <c r="C161" s="28" t="s">
        <v>2400</v>
      </c>
      <c r="D161" s="28" t="s">
        <v>2755</v>
      </c>
      <c r="E161" s="29">
        <v>3218283960</v>
      </c>
      <c r="F161" s="28" t="s">
        <v>3085</v>
      </c>
      <c r="G161" s="28">
        <v>15516</v>
      </c>
      <c r="H161" s="28">
        <v>211</v>
      </c>
      <c r="I161" s="30">
        <v>1270924</v>
      </c>
      <c r="J161" s="31">
        <v>0</v>
      </c>
      <c r="K161" s="31">
        <v>0</v>
      </c>
      <c r="L161" s="31">
        <v>0</v>
      </c>
    </row>
    <row r="162" spans="1:12" x14ac:dyDescent="0.3">
      <c r="A162" s="28">
        <v>74359520</v>
      </c>
      <c r="B162" s="28"/>
      <c r="C162" s="28" t="s">
        <v>2401</v>
      </c>
      <c r="D162" s="28" t="s">
        <v>2756</v>
      </c>
      <c r="E162" s="29">
        <v>7851240</v>
      </c>
      <c r="F162" s="28" t="s">
        <v>3086</v>
      </c>
      <c r="G162" s="28">
        <v>15516</v>
      </c>
      <c r="H162" s="28">
        <v>211</v>
      </c>
      <c r="I162" s="30">
        <v>748320</v>
      </c>
      <c r="J162" s="31">
        <v>0</v>
      </c>
      <c r="K162" s="31">
        <v>0</v>
      </c>
      <c r="L162" s="31">
        <v>0</v>
      </c>
    </row>
    <row r="163" spans="1:12" x14ac:dyDescent="0.3">
      <c r="A163" s="28">
        <v>74359641</v>
      </c>
      <c r="B163" s="28"/>
      <c r="C163" s="28" t="s">
        <v>2402</v>
      </c>
      <c r="D163" s="28" t="s">
        <v>2757</v>
      </c>
      <c r="E163" s="29">
        <v>3133390238</v>
      </c>
      <c r="F163" s="28" t="s">
        <v>3087</v>
      </c>
      <c r="G163" s="28">
        <v>15516</v>
      </c>
      <c r="H163" s="28">
        <v>211</v>
      </c>
      <c r="I163" s="30">
        <v>2652407</v>
      </c>
      <c r="J163" s="31">
        <v>0</v>
      </c>
      <c r="K163" s="31">
        <v>0</v>
      </c>
      <c r="L163" s="31">
        <v>0</v>
      </c>
    </row>
    <row r="164" spans="1:12" x14ac:dyDescent="0.3">
      <c r="A164" s="28">
        <v>74359731</v>
      </c>
      <c r="B164" s="28"/>
      <c r="C164" s="28" t="s">
        <v>2403</v>
      </c>
      <c r="D164" s="28" t="s">
        <v>2758</v>
      </c>
      <c r="E164" s="29">
        <v>3143718466</v>
      </c>
      <c r="F164" s="28" t="s">
        <v>3088</v>
      </c>
      <c r="G164" s="28">
        <v>15516</v>
      </c>
      <c r="H164" s="28">
        <v>211</v>
      </c>
      <c r="I164" s="30">
        <v>550000</v>
      </c>
      <c r="J164" s="31">
        <v>0</v>
      </c>
      <c r="K164" s="31">
        <v>0</v>
      </c>
      <c r="L164" s="31">
        <v>0</v>
      </c>
    </row>
    <row r="165" spans="1:12" x14ac:dyDescent="0.3">
      <c r="A165" s="28">
        <v>74360184</v>
      </c>
      <c r="B165" s="28"/>
      <c r="C165" s="28" t="s">
        <v>2404</v>
      </c>
      <c r="D165" s="28" t="s">
        <v>2759</v>
      </c>
      <c r="E165" s="29">
        <v>0</v>
      </c>
      <c r="F165" s="28" t="s">
        <v>3089</v>
      </c>
      <c r="G165" s="28">
        <v>15516</v>
      </c>
      <c r="H165" s="28">
        <v>211</v>
      </c>
      <c r="I165" s="30">
        <v>770176</v>
      </c>
      <c r="J165" s="31">
        <v>0</v>
      </c>
      <c r="K165" s="31">
        <v>0</v>
      </c>
      <c r="L165" s="31">
        <v>0</v>
      </c>
    </row>
    <row r="166" spans="1:12" x14ac:dyDescent="0.3">
      <c r="A166" s="28">
        <v>74360214</v>
      </c>
      <c r="B166" s="28"/>
      <c r="C166" s="28" t="s">
        <v>2405</v>
      </c>
      <c r="D166" s="28" t="s">
        <v>2760</v>
      </c>
      <c r="E166" s="29">
        <v>3112392953</v>
      </c>
      <c r="F166" s="28" t="s">
        <v>3090</v>
      </c>
      <c r="G166" s="28">
        <v>15516</v>
      </c>
      <c r="H166" s="28">
        <v>211</v>
      </c>
      <c r="I166" s="30">
        <v>383471</v>
      </c>
      <c r="J166" s="31">
        <v>0</v>
      </c>
      <c r="K166" s="31">
        <v>0</v>
      </c>
      <c r="L166" s="31">
        <v>0</v>
      </c>
    </row>
    <row r="167" spans="1:12" x14ac:dyDescent="0.3">
      <c r="A167" s="28">
        <v>74360321</v>
      </c>
      <c r="B167" s="28"/>
      <c r="C167" s="28" t="s">
        <v>2406</v>
      </c>
      <c r="D167" s="28" t="s">
        <v>2761</v>
      </c>
      <c r="E167" s="29">
        <v>0</v>
      </c>
      <c r="F167" s="28" t="s">
        <v>3091</v>
      </c>
      <c r="G167" s="28">
        <v>15516</v>
      </c>
      <c r="H167" s="28">
        <v>211</v>
      </c>
      <c r="I167" s="30">
        <v>1409243</v>
      </c>
      <c r="J167" s="31">
        <v>0</v>
      </c>
      <c r="K167" s="31">
        <v>0</v>
      </c>
      <c r="L167" s="31">
        <v>0</v>
      </c>
    </row>
    <row r="168" spans="1:12" x14ac:dyDescent="0.3">
      <c r="A168" s="28">
        <v>74360358</v>
      </c>
      <c r="B168" s="28"/>
      <c r="C168" s="28" t="s">
        <v>2407</v>
      </c>
      <c r="D168" s="28" t="s">
        <v>2762</v>
      </c>
      <c r="E168" s="29">
        <v>3168725264</v>
      </c>
      <c r="F168" s="28" t="s">
        <v>3003</v>
      </c>
      <c r="G168" s="28">
        <v>15516</v>
      </c>
      <c r="H168" s="28">
        <v>211</v>
      </c>
      <c r="I168" s="30">
        <v>1004202</v>
      </c>
      <c r="J168" s="31">
        <v>0</v>
      </c>
      <c r="K168" s="31">
        <v>0</v>
      </c>
      <c r="L168" s="31">
        <v>0</v>
      </c>
    </row>
    <row r="169" spans="1:12" x14ac:dyDescent="0.3">
      <c r="A169" s="28">
        <v>74360610</v>
      </c>
      <c r="B169" s="28"/>
      <c r="C169" s="28" t="s">
        <v>2408</v>
      </c>
      <c r="D169" s="28" t="s">
        <v>2763</v>
      </c>
      <c r="E169" s="29">
        <v>3102652567</v>
      </c>
      <c r="F169" s="28" t="s">
        <v>3027</v>
      </c>
      <c r="G169" s="28">
        <v>15516</v>
      </c>
      <c r="H169" s="28">
        <v>211</v>
      </c>
      <c r="I169" s="30">
        <v>521008</v>
      </c>
      <c r="J169" s="31">
        <v>0</v>
      </c>
      <c r="K169" s="31">
        <v>0</v>
      </c>
      <c r="L169" s="31">
        <v>0</v>
      </c>
    </row>
    <row r="170" spans="1:12" x14ac:dyDescent="0.3">
      <c r="A170" s="28">
        <v>74360630</v>
      </c>
      <c r="B170" s="28"/>
      <c r="C170" s="28" t="s">
        <v>2409</v>
      </c>
      <c r="D170" s="28" t="s">
        <v>2764</v>
      </c>
      <c r="E170" s="29">
        <v>3147314186</v>
      </c>
      <c r="F170" s="28" t="s">
        <v>2956</v>
      </c>
      <c r="G170" s="28">
        <v>15516</v>
      </c>
      <c r="H170" s="28">
        <v>211</v>
      </c>
      <c r="I170" s="30">
        <v>85714</v>
      </c>
      <c r="J170" s="31">
        <v>0</v>
      </c>
      <c r="K170" s="31">
        <v>0</v>
      </c>
      <c r="L170" s="31">
        <v>0</v>
      </c>
    </row>
    <row r="171" spans="1:12" x14ac:dyDescent="0.3">
      <c r="A171" s="28">
        <v>74360694</v>
      </c>
      <c r="B171" s="28"/>
      <c r="C171" s="28" t="s">
        <v>2410</v>
      </c>
      <c r="D171" s="28" t="s">
        <v>2765</v>
      </c>
      <c r="E171" s="29">
        <v>0</v>
      </c>
      <c r="F171" s="28" t="s">
        <v>3092</v>
      </c>
      <c r="G171" s="28">
        <v>15516</v>
      </c>
      <c r="H171" s="28">
        <v>211</v>
      </c>
      <c r="I171" s="30">
        <v>4787920</v>
      </c>
      <c r="J171" s="31">
        <v>0</v>
      </c>
      <c r="K171" s="31">
        <v>0</v>
      </c>
      <c r="L171" s="31">
        <v>0</v>
      </c>
    </row>
    <row r="172" spans="1:12" x14ac:dyDescent="0.3">
      <c r="A172" s="28">
        <v>74367825</v>
      </c>
      <c r="B172" s="28"/>
      <c r="C172" s="28" t="s">
        <v>2411</v>
      </c>
      <c r="D172" s="28" t="s">
        <v>2766</v>
      </c>
      <c r="E172" s="29">
        <v>3227156446</v>
      </c>
      <c r="F172" s="28" t="s">
        <v>3061</v>
      </c>
      <c r="G172" s="28">
        <v>15516</v>
      </c>
      <c r="H172" s="28">
        <v>211</v>
      </c>
      <c r="I172" s="30">
        <v>323109</v>
      </c>
      <c r="J172" s="31">
        <v>0</v>
      </c>
      <c r="K172" s="31">
        <v>0</v>
      </c>
      <c r="L172" s="31">
        <v>0</v>
      </c>
    </row>
    <row r="173" spans="1:12" x14ac:dyDescent="0.3">
      <c r="A173" s="28">
        <v>74370939</v>
      </c>
      <c r="B173" s="28"/>
      <c r="C173" s="28" t="s">
        <v>2412</v>
      </c>
      <c r="D173" s="28" t="s">
        <v>2767</v>
      </c>
      <c r="E173" s="29">
        <v>3212098442</v>
      </c>
      <c r="F173" s="28" t="s">
        <v>3093</v>
      </c>
      <c r="G173" s="28">
        <v>15516</v>
      </c>
      <c r="H173" s="28">
        <v>211</v>
      </c>
      <c r="I173" s="30">
        <v>294118</v>
      </c>
      <c r="J173" s="31">
        <v>0</v>
      </c>
      <c r="K173" s="31">
        <v>0</v>
      </c>
      <c r="L173" s="31">
        <v>0</v>
      </c>
    </row>
    <row r="174" spans="1:12" x14ac:dyDescent="0.3">
      <c r="A174" s="28">
        <v>74371268</v>
      </c>
      <c r="B174" s="28"/>
      <c r="C174" s="28" t="s">
        <v>2413</v>
      </c>
      <c r="D174" s="28" t="s">
        <v>2768</v>
      </c>
      <c r="E174" s="29">
        <v>3144477064</v>
      </c>
      <c r="F174" s="28" t="s">
        <v>3094</v>
      </c>
      <c r="G174" s="28">
        <v>15516</v>
      </c>
      <c r="H174" s="28">
        <v>211</v>
      </c>
      <c r="I174" s="30">
        <v>92437</v>
      </c>
      <c r="J174" s="31">
        <v>0</v>
      </c>
      <c r="K174" s="31">
        <v>0</v>
      </c>
      <c r="L174" s="31">
        <v>0</v>
      </c>
    </row>
    <row r="175" spans="1:12" x14ac:dyDescent="0.3">
      <c r="A175" s="28">
        <v>74371282</v>
      </c>
      <c r="B175" s="28"/>
      <c r="C175" s="28" t="s">
        <v>2414</v>
      </c>
      <c r="D175" s="28" t="s">
        <v>2769</v>
      </c>
      <c r="E175" s="29">
        <v>3227003769</v>
      </c>
      <c r="F175" s="28" t="s">
        <v>3095</v>
      </c>
      <c r="G175" s="28">
        <v>15516</v>
      </c>
      <c r="H175" s="28">
        <v>211</v>
      </c>
      <c r="I175" s="30">
        <v>267962</v>
      </c>
      <c r="J175" s="31">
        <v>0</v>
      </c>
      <c r="K175" s="31">
        <v>0</v>
      </c>
      <c r="L175" s="31">
        <v>0</v>
      </c>
    </row>
    <row r="176" spans="1:12" x14ac:dyDescent="0.3">
      <c r="A176" s="28">
        <v>74373025</v>
      </c>
      <c r="B176" s="28"/>
      <c r="C176" s="28" t="s">
        <v>2415</v>
      </c>
      <c r="D176" s="28" t="s">
        <v>2770</v>
      </c>
      <c r="E176" s="29">
        <v>3203439018</v>
      </c>
      <c r="F176" s="28" t="s">
        <v>3096</v>
      </c>
      <c r="G176" s="28">
        <v>15516</v>
      </c>
      <c r="H176" s="28">
        <v>211</v>
      </c>
      <c r="I176" s="30">
        <v>74286</v>
      </c>
      <c r="J176" s="31">
        <v>0</v>
      </c>
      <c r="K176" s="31">
        <v>0</v>
      </c>
      <c r="L176" s="31">
        <v>0</v>
      </c>
    </row>
    <row r="177" spans="1:12" x14ac:dyDescent="0.3">
      <c r="A177" s="28">
        <v>74373246</v>
      </c>
      <c r="B177" s="28"/>
      <c r="C177" s="28" t="s">
        <v>2416</v>
      </c>
      <c r="D177" s="28" t="s">
        <v>2771</v>
      </c>
      <c r="E177" s="29">
        <v>3135487484</v>
      </c>
      <c r="F177" s="28" t="s">
        <v>3097</v>
      </c>
      <c r="G177" s="28">
        <v>15516</v>
      </c>
      <c r="H177" s="28">
        <v>211</v>
      </c>
      <c r="I177" s="30">
        <v>335550</v>
      </c>
      <c r="J177" s="31">
        <v>0</v>
      </c>
      <c r="K177" s="31">
        <v>0</v>
      </c>
      <c r="L177" s="31">
        <v>0</v>
      </c>
    </row>
    <row r="178" spans="1:12" x14ac:dyDescent="0.3">
      <c r="A178" s="28">
        <v>78209741</v>
      </c>
      <c r="B178" s="28"/>
      <c r="C178" s="28" t="s">
        <v>2417</v>
      </c>
      <c r="D178" s="28" t="s">
        <v>2772</v>
      </c>
      <c r="E178" s="29">
        <v>3107851271</v>
      </c>
      <c r="F178" s="28" t="s">
        <v>3079</v>
      </c>
      <c r="G178" s="28">
        <v>15516</v>
      </c>
      <c r="H178" s="28">
        <v>211</v>
      </c>
      <c r="I178" s="30">
        <v>95294</v>
      </c>
      <c r="J178" s="31">
        <v>0</v>
      </c>
      <c r="K178" s="31">
        <v>0</v>
      </c>
      <c r="L178" s="31">
        <v>0</v>
      </c>
    </row>
    <row r="179" spans="1:12" x14ac:dyDescent="0.3">
      <c r="A179" s="28">
        <v>79132118</v>
      </c>
      <c r="B179" s="28"/>
      <c r="C179" s="28" t="s">
        <v>2418</v>
      </c>
      <c r="D179" s="28" t="s">
        <v>2773</v>
      </c>
      <c r="E179" s="29">
        <v>3208253597</v>
      </c>
      <c r="F179" s="28" t="s">
        <v>3098</v>
      </c>
      <c r="G179" s="28">
        <v>15516</v>
      </c>
      <c r="H179" s="28">
        <v>211</v>
      </c>
      <c r="I179" s="30">
        <v>564706</v>
      </c>
      <c r="J179" s="31">
        <v>0</v>
      </c>
      <c r="K179" s="31">
        <v>0</v>
      </c>
      <c r="L179" s="31">
        <v>0</v>
      </c>
    </row>
    <row r="180" spans="1:12" x14ac:dyDescent="0.3">
      <c r="A180" s="28">
        <v>79296337</v>
      </c>
      <c r="B180" s="28"/>
      <c r="C180" s="28" t="s">
        <v>2419</v>
      </c>
      <c r="D180" s="28" t="s">
        <v>2774</v>
      </c>
      <c r="E180" s="29">
        <v>3106890074</v>
      </c>
      <c r="F180" s="28" t="s">
        <v>3099</v>
      </c>
      <c r="G180" s="28">
        <v>15516</v>
      </c>
      <c r="H180" s="28">
        <v>211</v>
      </c>
      <c r="I180" s="30">
        <v>525500</v>
      </c>
      <c r="J180" s="31">
        <v>0</v>
      </c>
      <c r="K180" s="31">
        <v>0</v>
      </c>
      <c r="L180" s="31">
        <v>0</v>
      </c>
    </row>
    <row r="181" spans="1:12" x14ac:dyDescent="0.3">
      <c r="A181" s="28">
        <v>79342052</v>
      </c>
      <c r="B181" s="28"/>
      <c r="C181" s="28" t="s">
        <v>2420</v>
      </c>
      <c r="D181" s="28" t="s">
        <v>2775</v>
      </c>
      <c r="E181" s="29">
        <v>0</v>
      </c>
      <c r="F181" s="28" t="s">
        <v>3100</v>
      </c>
      <c r="G181" s="28">
        <v>15516</v>
      </c>
      <c r="H181" s="28">
        <v>211</v>
      </c>
      <c r="I181" s="30">
        <v>4071261</v>
      </c>
      <c r="J181" s="31">
        <v>0</v>
      </c>
      <c r="K181" s="31">
        <v>0</v>
      </c>
      <c r="L181" s="31">
        <v>0</v>
      </c>
    </row>
    <row r="182" spans="1:12" x14ac:dyDescent="0.3">
      <c r="A182" s="28">
        <v>79349819</v>
      </c>
      <c r="B182" s="28"/>
      <c r="C182" s="28" t="s">
        <v>2421</v>
      </c>
      <c r="D182" s="28" t="s">
        <v>2776</v>
      </c>
      <c r="E182" s="29">
        <v>0</v>
      </c>
      <c r="F182" s="28" t="s">
        <v>3101</v>
      </c>
      <c r="G182" s="28">
        <v>15516</v>
      </c>
      <c r="H182" s="28">
        <v>211</v>
      </c>
      <c r="I182" s="30">
        <v>152941</v>
      </c>
      <c r="J182" s="31">
        <v>0</v>
      </c>
      <c r="K182" s="31">
        <v>0</v>
      </c>
      <c r="L182" s="31">
        <v>0</v>
      </c>
    </row>
    <row r="183" spans="1:12" x14ac:dyDescent="0.3">
      <c r="A183" s="28">
        <v>79485860</v>
      </c>
      <c r="B183" s="28"/>
      <c r="C183" s="28" t="s">
        <v>2422</v>
      </c>
      <c r="D183" s="28" t="s">
        <v>2777</v>
      </c>
      <c r="E183" s="29">
        <v>3105513087</v>
      </c>
      <c r="F183" s="28" t="s">
        <v>3102</v>
      </c>
      <c r="G183" s="28">
        <v>15516</v>
      </c>
      <c r="H183" s="28">
        <v>211</v>
      </c>
      <c r="I183" s="30">
        <v>16202</v>
      </c>
      <c r="J183" s="31">
        <v>0</v>
      </c>
      <c r="K183" s="31">
        <v>0</v>
      </c>
      <c r="L183" s="31">
        <v>0</v>
      </c>
    </row>
    <row r="184" spans="1:12" x14ac:dyDescent="0.3">
      <c r="A184" s="28">
        <v>79529202</v>
      </c>
      <c r="B184" s="28"/>
      <c r="C184" s="28" t="s">
        <v>2423</v>
      </c>
      <c r="D184" s="28" t="s">
        <v>2778</v>
      </c>
      <c r="E184" s="29">
        <v>3158168221</v>
      </c>
      <c r="F184" s="28" t="s">
        <v>3050</v>
      </c>
      <c r="G184" s="28">
        <v>15516</v>
      </c>
      <c r="H184" s="28">
        <v>211</v>
      </c>
      <c r="I184" s="30">
        <v>806428</v>
      </c>
      <c r="J184" s="31">
        <v>0</v>
      </c>
      <c r="K184" s="31">
        <v>0</v>
      </c>
      <c r="L184" s="31">
        <v>0</v>
      </c>
    </row>
    <row r="185" spans="1:12" x14ac:dyDescent="0.3">
      <c r="A185" s="28">
        <v>79531097</v>
      </c>
      <c r="B185" s="28"/>
      <c r="C185" s="28" t="s">
        <v>2424</v>
      </c>
      <c r="D185" s="28" t="s">
        <v>2779</v>
      </c>
      <c r="E185" s="29">
        <v>3134053521</v>
      </c>
      <c r="F185" s="28" t="s">
        <v>3103</v>
      </c>
      <c r="G185" s="28">
        <v>15516</v>
      </c>
      <c r="H185" s="28">
        <v>211</v>
      </c>
      <c r="I185" s="30">
        <v>79832</v>
      </c>
      <c r="J185" s="31">
        <v>0</v>
      </c>
      <c r="K185" s="31">
        <v>0</v>
      </c>
      <c r="L185" s="31">
        <v>0</v>
      </c>
    </row>
    <row r="186" spans="1:12" x14ac:dyDescent="0.3">
      <c r="A186" s="28">
        <v>79610364</v>
      </c>
      <c r="B186" s="28"/>
      <c r="C186" s="28" t="s">
        <v>2425</v>
      </c>
      <c r="D186" s="28" t="s">
        <v>2780</v>
      </c>
      <c r="E186" s="29">
        <v>3133946595</v>
      </c>
      <c r="F186" s="28" t="s">
        <v>3104</v>
      </c>
      <c r="G186" s="28">
        <v>15516</v>
      </c>
      <c r="H186" s="28">
        <v>211</v>
      </c>
      <c r="I186" s="30">
        <v>276975</v>
      </c>
      <c r="J186" s="31">
        <v>0</v>
      </c>
      <c r="K186" s="31">
        <v>0</v>
      </c>
      <c r="L186" s="31">
        <v>0</v>
      </c>
    </row>
    <row r="187" spans="1:12" x14ac:dyDescent="0.3">
      <c r="A187" s="28">
        <v>79653838</v>
      </c>
      <c r="B187" s="28"/>
      <c r="C187" s="28" t="s">
        <v>2426</v>
      </c>
      <c r="D187" s="28" t="s">
        <v>2781</v>
      </c>
      <c r="E187" s="29">
        <v>3132914646</v>
      </c>
      <c r="F187" s="28" t="s">
        <v>3105</v>
      </c>
      <c r="G187" s="28">
        <v>15516</v>
      </c>
      <c r="H187" s="28">
        <v>211</v>
      </c>
      <c r="I187" s="30">
        <v>99916</v>
      </c>
      <c r="J187" s="31">
        <v>0</v>
      </c>
      <c r="K187" s="31">
        <v>0</v>
      </c>
      <c r="L187" s="31">
        <v>0</v>
      </c>
    </row>
    <row r="188" spans="1:12" ht="28.8" x14ac:dyDescent="0.3">
      <c r="A188" s="28">
        <v>79755334</v>
      </c>
      <c r="B188" s="28"/>
      <c r="C188" s="28" t="s">
        <v>2427</v>
      </c>
      <c r="D188" s="28" t="s">
        <v>2782</v>
      </c>
      <c r="E188" s="29">
        <v>3188372216</v>
      </c>
      <c r="F188" s="33" t="s">
        <v>3106</v>
      </c>
      <c r="G188" s="28">
        <v>15516</v>
      </c>
      <c r="H188" s="28">
        <v>211</v>
      </c>
      <c r="I188" s="30">
        <v>484874</v>
      </c>
      <c r="J188" s="31">
        <v>0</v>
      </c>
      <c r="K188" s="31">
        <v>0</v>
      </c>
      <c r="L188" s="31">
        <v>0</v>
      </c>
    </row>
    <row r="189" spans="1:12" x14ac:dyDescent="0.3">
      <c r="A189" s="28">
        <v>79871969</v>
      </c>
      <c r="B189" s="28"/>
      <c r="C189" s="28" t="s">
        <v>2428</v>
      </c>
      <c r="D189" s="28" t="s">
        <v>2783</v>
      </c>
      <c r="E189" s="29">
        <v>3162785137</v>
      </c>
      <c r="F189" s="28" t="s">
        <v>2958</v>
      </c>
      <c r="G189" s="28">
        <v>15516</v>
      </c>
      <c r="H189" s="28">
        <v>211</v>
      </c>
      <c r="I189" s="30">
        <v>148739</v>
      </c>
      <c r="J189" s="31">
        <v>0</v>
      </c>
      <c r="K189" s="31">
        <v>0</v>
      </c>
      <c r="L189" s="31">
        <v>0</v>
      </c>
    </row>
    <row r="190" spans="1:12" x14ac:dyDescent="0.3">
      <c r="A190" s="28">
        <v>79946413</v>
      </c>
      <c r="B190" s="28"/>
      <c r="C190" s="28" t="s">
        <v>2429</v>
      </c>
      <c r="D190" s="28" t="s">
        <v>2784</v>
      </c>
      <c r="E190" s="29">
        <v>3103432987</v>
      </c>
      <c r="F190" s="28" t="s">
        <v>3107</v>
      </c>
      <c r="G190" s="28">
        <v>15516</v>
      </c>
      <c r="H190" s="28">
        <v>211</v>
      </c>
      <c r="I190" s="30">
        <v>175849</v>
      </c>
      <c r="J190" s="31">
        <v>0</v>
      </c>
      <c r="K190" s="31">
        <v>0</v>
      </c>
      <c r="L190" s="31">
        <v>0</v>
      </c>
    </row>
    <row r="191" spans="1:12" x14ac:dyDescent="0.3">
      <c r="A191" s="28">
        <v>80414185</v>
      </c>
      <c r="B191" s="28"/>
      <c r="C191" s="28" t="s">
        <v>2430</v>
      </c>
      <c r="D191" s="28" t="s">
        <v>2785</v>
      </c>
      <c r="E191" s="29">
        <v>3112236877</v>
      </c>
      <c r="F191" s="28" t="s">
        <v>3108</v>
      </c>
      <c r="G191" s="28">
        <v>15516</v>
      </c>
      <c r="H191" s="28">
        <v>211</v>
      </c>
      <c r="I191" s="30">
        <v>273109</v>
      </c>
      <c r="J191" s="31">
        <v>0</v>
      </c>
      <c r="K191" s="31">
        <v>0</v>
      </c>
      <c r="L191" s="31">
        <v>0</v>
      </c>
    </row>
    <row r="192" spans="1:12" x14ac:dyDescent="0.3">
      <c r="A192" s="28">
        <v>80816585</v>
      </c>
      <c r="B192" s="28"/>
      <c r="C192" s="28" t="s">
        <v>2431</v>
      </c>
      <c r="D192" s="28" t="s">
        <v>2786</v>
      </c>
      <c r="E192" s="29">
        <v>3192150312</v>
      </c>
      <c r="F192" s="28" t="s">
        <v>3109</v>
      </c>
      <c r="G192" s="28">
        <v>15516</v>
      </c>
      <c r="H192" s="28">
        <v>211</v>
      </c>
      <c r="I192" s="30">
        <v>628966</v>
      </c>
      <c r="J192" s="31">
        <v>0</v>
      </c>
      <c r="K192" s="31">
        <v>0</v>
      </c>
      <c r="L192" s="31">
        <v>0</v>
      </c>
    </row>
    <row r="193" spans="1:12" x14ac:dyDescent="0.3">
      <c r="A193" s="28">
        <v>80833896</v>
      </c>
      <c r="B193" s="28"/>
      <c r="C193" s="28" t="s">
        <v>2432</v>
      </c>
      <c r="D193" s="28" t="s">
        <v>2787</v>
      </c>
      <c r="E193" s="29">
        <v>3118920193</v>
      </c>
      <c r="F193" s="28" t="s">
        <v>3069</v>
      </c>
      <c r="G193" s="28">
        <v>15516</v>
      </c>
      <c r="H193" s="28">
        <v>211</v>
      </c>
      <c r="I193" s="30">
        <v>348739</v>
      </c>
      <c r="J193" s="31">
        <v>0</v>
      </c>
      <c r="K193" s="31">
        <v>0</v>
      </c>
      <c r="L193" s="31">
        <v>0</v>
      </c>
    </row>
    <row r="194" spans="1:12" x14ac:dyDescent="0.3">
      <c r="A194" s="28">
        <v>80895690</v>
      </c>
      <c r="B194" s="28"/>
      <c r="C194" s="28" t="s">
        <v>2433</v>
      </c>
      <c r="D194" s="28" t="s">
        <v>2788</v>
      </c>
      <c r="E194" s="29">
        <v>3023876323</v>
      </c>
      <c r="F194" s="28" t="s">
        <v>2985</v>
      </c>
      <c r="G194" s="28">
        <v>15516</v>
      </c>
      <c r="H194" s="28">
        <v>211</v>
      </c>
      <c r="I194" s="30">
        <v>226622</v>
      </c>
      <c r="J194" s="31">
        <v>0</v>
      </c>
      <c r="K194" s="31">
        <v>0</v>
      </c>
      <c r="L194" s="31">
        <v>0</v>
      </c>
    </row>
    <row r="195" spans="1:12" x14ac:dyDescent="0.3">
      <c r="A195" s="28">
        <v>80895690</v>
      </c>
      <c r="B195" s="28"/>
      <c r="C195" s="28" t="s">
        <v>2433</v>
      </c>
      <c r="D195" s="28" t="s">
        <v>2788</v>
      </c>
      <c r="E195" s="29">
        <v>3023876323</v>
      </c>
      <c r="F195" s="28" t="s">
        <v>2985</v>
      </c>
      <c r="G195" s="28">
        <v>15516</v>
      </c>
      <c r="H195" s="28">
        <v>301</v>
      </c>
      <c r="I195" s="30">
        <v>10000</v>
      </c>
      <c r="J195" s="31">
        <v>0</v>
      </c>
      <c r="K195" s="31">
        <v>0</v>
      </c>
      <c r="L195" s="31">
        <v>0</v>
      </c>
    </row>
    <row r="196" spans="1:12" x14ac:dyDescent="0.3">
      <c r="A196" s="28">
        <v>901401142</v>
      </c>
      <c r="B196" s="28"/>
      <c r="C196" s="28" t="s">
        <v>2434</v>
      </c>
      <c r="D196" s="28" t="s">
        <v>2789</v>
      </c>
      <c r="E196" s="29">
        <v>3106783939</v>
      </c>
      <c r="F196" s="28" t="s">
        <v>3110</v>
      </c>
      <c r="G196" s="28">
        <v>15516</v>
      </c>
      <c r="H196" s="28">
        <v>211</v>
      </c>
      <c r="I196" s="30">
        <v>816722</v>
      </c>
      <c r="J196" s="31">
        <v>0</v>
      </c>
      <c r="K196" s="31">
        <v>0</v>
      </c>
      <c r="L196" s="31">
        <v>0</v>
      </c>
    </row>
    <row r="197" spans="1:12" x14ac:dyDescent="0.3">
      <c r="A197" s="28">
        <v>91224658</v>
      </c>
      <c r="B197" s="28"/>
      <c r="C197" s="28" t="s">
        <v>2435</v>
      </c>
      <c r="D197" s="28" t="s">
        <v>2790</v>
      </c>
      <c r="E197" s="29">
        <v>3249848736</v>
      </c>
      <c r="F197" s="28" t="s">
        <v>3111</v>
      </c>
      <c r="G197" s="28">
        <v>15516</v>
      </c>
      <c r="H197" s="28">
        <v>211</v>
      </c>
      <c r="I197" s="30">
        <v>2099592</v>
      </c>
      <c r="J197" s="31">
        <v>0</v>
      </c>
      <c r="K197" s="31">
        <v>0</v>
      </c>
      <c r="L197" s="31">
        <v>0</v>
      </c>
    </row>
    <row r="198" spans="1:12" x14ac:dyDescent="0.3">
      <c r="A198" s="28">
        <v>9519837</v>
      </c>
      <c r="B198" s="28"/>
      <c r="C198" s="28" t="s">
        <v>2436</v>
      </c>
      <c r="D198" s="28" t="s">
        <v>2791</v>
      </c>
      <c r="E198" s="29">
        <v>3106805153</v>
      </c>
      <c r="F198" s="28" t="s">
        <v>3112</v>
      </c>
      <c r="G198" s="28">
        <v>15516</v>
      </c>
      <c r="H198" s="28">
        <v>211</v>
      </c>
      <c r="I198" s="30">
        <v>313555</v>
      </c>
      <c r="J198" s="31">
        <v>0</v>
      </c>
      <c r="K198" s="31">
        <v>0</v>
      </c>
      <c r="L198" s="31">
        <v>0</v>
      </c>
    </row>
    <row r="199" spans="1:12" x14ac:dyDescent="0.3">
      <c r="A199" s="28">
        <v>11949388</v>
      </c>
      <c r="B199" s="28"/>
      <c r="C199" s="28" t="s">
        <v>2437</v>
      </c>
      <c r="D199" s="28" t="s">
        <v>2792</v>
      </c>
      <c r="E199" s="29">
        <v>0</v>
      </c>
      <c r="F199" s="28" t="s">
        <v>3113</v>
      </c>
      <c r="G199" s="28">
        <v>15516</v>
      </c>
      <c r="H199" s="28">
        <v>211</v>
      </c>
      <c r="I199" s="30">
        <v>6356162</v>
      </c>
      <c r="J199" s="31">
        <v>0</v>
      </c>
      <c r="K199" s="31">
        <v>0</v>
      </c>
      <c r="L199" s="31">
        <v>0</v>
      </c>
    </row>
    <row r="200" spans="1:12" x14ac:dyDescent="0.3">
      <c r="A200" s="28">
        <v>1007305365</v>
      </c>
      <c r="B200" s="28"/>
      <c r="C200" s="28" t="s">
        <v>2438</v>
      </c>
      <c r="D200" s="28" t="s">
        <v>2793</v>
      </c>
      <c r="E200" s="29">
        <v>3102576703</v>
      </c>
      <c r="F200" s="28" t="s">
        <v>3114</v>
      </c>
      <c r="G200" s="28">
        <v>15516</v>
      </c>
      <c r="H200" s="28">
        <v>211</v>
      </c>
      <c r="I200" s="30">
        <v>4438425</v>
      </c>
      <c r="J200" s="31">
        <v>0</v>
      </c>
      <c r="K200" s="31">
        <v>0</v>
      </c>
      <c r="L200" s="31">
        <v>0</v>
      </c>
    </row>
    <row r="201" spans="1:12" x14ac:dyDescent="0.3">
      <c r="A201" s="28">
        <v>1013605183</v>
      </c>
      <c r="B201" s="28"/>
      <c r="C201" s="28" t="s">
        <v>2439</v>
      </c>
      <c r="D201" s="28" t="s">
        <v>2691</v>
      </c>
      <c r="E201" s="29">
        <v>2373459</v>
      </c>
      <c r="F201" s="28" t="s">
        <v>3115</v>
      </c>
      <c r="G201" s="28">
        <v>15516</v>
      </c>
      <c r="H201" s="28">
        <v>211</v>
      </c>
      <c r="I201" s="30">
        <v>161345</v>
      </c>
      <c r="J201" s="31">
        <v>0</v>
      </c>
      <c r="K201" s="31">
        <v>0</v>
      </c>
      <c r="L201" s="31">
        <v>0</v>
      </c>
    </row>
    <row r="202" spans="1:12" x14ac:dyDescent="0.3">
      <c r="A202" s="28">
        <v>1053607525</v>
      </c>
      <c r="B202" s="28"/>
      <c r="C202" s="28" t="s">
        <v>2440</v>
      </c>
      <c r="D202" s="28" t="s">
        <v>2794</v>
      </c>
      <c r="E202" s="29">
        <v>3202649467</v>
      </c>
      <c r="F202" s="28" t="s">
        <v>3116</v>
      </c>
      <c r="G202" s="28">
        <v>15516</v>
      </c>
      <c r="H202" s="28">
        <v>211</v>
      </c>
      <c r="I202" s="30">
        <v>52124600</v>
      </c>
      <c r="J202" s="31">
        <v>0</v>
      </c>
      <c r="K202" s="31">
        <v>0</v>
      </c>
      <c r="L202" s="31">
        <v>0</v>
      </c>
    </row>
    <row r="203" spans="1:12" x14ac:dyDescent="0.3">
      <c r="A203" s="28">
        <v>1053608322</v>
      </c>
      <c r="B203" s="28"/>
      <c r="C203" s="28" t="s">
        <v>2441</v>
      </c>
      <c r="D203" s="28" t="s">
        <v>2795</v>
      </c>
      <c r="E203" s="29">
        <v>0</v>
      </c>
      <c r="F203" s="28" t="s">
        <v>3117</v>
      </c>
      <c r="G203" s="28">
        <v>15516</v>
      </c>
      <c r="H203" s="28">
        <v>211</v>
      </c>
      <c r="I203" s="30">
        <v>3466256</v>
      </c>
      <c r="J203" s="31">
        <v>0</v>
      </c>
      <c r="K203" s="31">
        <v>0</v>
      </c>
      <c r="L203" s="31">
        <v>0</v>
      </c>
    </row>
    <row r="204" spans="1:12" x14ac:dyDescent="0.3">
      <c r="A204" s="28">
        <v>1053609937</v>
      </c>
      <c r="B204" s="28"/>
      <c r="C204" s="28" t="s">
        <v>2442</v>
      </c>
      <c r="D204" s="28" t="s">
        <v>2796</v>
      </c>
      <c r="E204" s="29">
        <v>3144822715</v>
      </c>
      <c r="F204" s="28" t="s">
        <v>3118</v>
      </c>
      <c r="G204" s="28">
        <v>15516</v>
      </c>
      <c r="H204" s="28">
        <v>211</v>
      </c>
      <c r="I204" s="30">
        <v>32891664</v>
      </c>
      <c r="J204" s="31">
        <v>0</v>
      </c>
      <c r="K204" s="31">
        <v>0</v>
      </c>
      <c r="L204" s="31">
        <v>0</v>
      </c>
    </row>
    <row r="205" spans="1:12" x14ac:dyDescent="0.3">
      <c r="A205" s="28">
        <v>1053611260</v>
      </c>
      <c r="B205" s="28"/>
      <c r="C205" s="28" t="s">
        <v>2443</v>
      </c>
      <c r="D205" s="28" t="s">
        <v>2797</v>
      </c>
      <c r="E205" s="29">
        <v>3163836523</v>
      </c>
      <c r="F205" s="28" t="s">
        <v>3119</v>
      </c>
      <c r="G205" s="28">
        <v>15516</v>
      </c>
      <c r="H205" s="28">
        <v>211</v>
      </c>
      <c r="I205" s="30">
        <v>12605</v>
      </c>
      <c r="J205" s="31">
        <v>0</v>
      </c>
      <c r="K205" s="31">
        <v>0</v>
      </c>
      <c r="L205" s="31">
        <v>0</v>
      </c>
    </row>
    <row r="206" spans="1:12" x14ac:dyDescent="0.3">
      <c r="A206" s="28">
        <v>1056572618</v>
      </c>
      <c r="B206" s="28"/>
      <c r="C206" s="28" t="s">
        <v>2444</v>
      </c>
      <c r="D206" s="28" t="s">
        <v>2798</v>
      </c>
      <c r="E206" s="29">
        <v>3138553731</v>
      </c>
      <c r="F206" s="28" t="s">
        <v>3120</v>
      </c>
      <c r="G206" s="28">
        <v>15516</v>
      </c>
      <c r="H206" s="28">
        <v>211</v>
      </c>
      <c r="I206" s="30">
        <v>12331315</v>
      </c>
      <c r="J206" s="31">
        <v>0</v>
      </c>
      <c r="K206" s="31">
        <v>0</v>
      </c>
      <c r="L206" s="31">
        <v>0</v>
      </c>
    </row>
    <row r="207" spans="1:12" x14ac:dyDescent="0.3">
      <c r="A207" s="28">
        <v>19217731</v>
      </c>
      <c r="B207" s="28"/>
      <c r="C207" s="28" t="s">
        <v>2445</v>
      </c>
      <c r="D207" s="28" t="s">
        <v>2799</v>
      </c>
      <c r="E207" s="29">
        <v>3310202908</v>
      </c>
      <c r="F207" s="28" t="s">
        <v>3121</v>
      </c>
      <c r="G207" s="28">
        <v>15516</v>
      </c>
      <c r="H207" s="28">
        <v>211</v>
      </c>
      <c r="I207" s="30">
        <v>12763026</v>
      </c>
      <c r="J207" s="31">
        <v>0</v>
      </c>
      <c r="K207" s="31">
        <v>0</v>
      </c>
      <c r="L207" s="31">
        <v>0</v>
      </c>
    </row>
    <row r="208" spans="1:12" x14ac:dyDescent="0.3">
      <c r="A208" s="28">
        <v>222222222</v>
      </c>
      <c r="B208" s="28"/>
      <c r="C208" s="28" t="s">
        <v>2446</v>
      </c>
      <c r="D208" s="28" t="s">
        <v>2691</v>
      </c>
      <c r="E208" s="29">
        <v>7853796</v>
      </c>
      <c r="F208" s="28" t="s">
        <v>3122</v>
      </c>
      <c r="G208" s="28">
        <v>15516</v>
      </c>
      <c r="H208" s="28">
        <v>211</v>
      </c>
      <c r="I208" s="30">
        <f>8798592-85959-105000</f>
        <v>8607633</v>
      </c>
      <c r="J208" s="31">
        <v>0</v>
      </c>
      <c r="K208" s="31">
        <v>0</v>
      </c>
      <c r="L208" s="31">
        <v>0</v>
      </c>
    </row>
    <row r="209" spans="1:12" x14ac:dyDescent="0.3">
      <c r="A209" s="28">
        <v>222222222</v>
      </c>
      <c r="B209" s="28"/>
      <c r="C209" s="28" t="s">
        <v>2446</v>
      </c>
      <c r="D209" s="28" t="s">
        <v>2691</v>
      </c>
      <c r="E209" s="29">
        <v>7853796</v>
      </c>
      <c r="F209" s="28" t="s">
        <v>3122</v>
      </c>
      <c r="G209" s="28">
        <v>15516</v>
      </c>
      <c r="H209" s="28">
        <v>301</v>
      </c>
      <c r="I209" s="30">
        <v>105000</v>
      </c>
      <c r="J209" s="31">
        <v>0</v>
      </c>
      <c r="K209" s="31">
        <v>0</v>
      </c>
      <c r="L209" s="31">
        <v>0</v>
      </c>
    </row>
    <row r="210" spans="1:12" x14ac:dyDescent="0.3">
      <c r="A210" s="28">
        <v>23853895</v>
      </c>
      <c r="B210" s="28"/>
      <c r="C210" s="28" t="s">
        <v>2447</v>
      </c>
      <c r="D210" s="28" t="s">
        <v>2800</v>
      </c>
      <c r="E210" s="29">
        <v>3125863017</v>
      </c>
      <c r="F210" s="28" t="s">
        <v>3123</v>
      </c>
      <c r="G210" s="28">
        <v>15516</v>
      </c>
      <c r="H210" s="28">
        <v>211</v>
      </c>
      <c r="I210" s="30">
        <v>57983</v>
      </c>
      <c r="J210" s="31">
        <v>0</v>
      </c>
      <c r="K210" s="31">
        <v>0</v>
      </c>
      <c r="L210" s="31">
        <v>0</v>
      </c>
    </row>
    <row r="211" spans="1:12" x14ac:dyDescent="0.3">
      <c r="A211" s="28">
        <v>24124997</v>
      </c>
      <c r="B211" s="28"/>
      <c r="C211" s="28" t="s">
        <v>2448</v>
      </c>
      <c r="D211" s="28" t="s">
        <v>2801</v>
      </c>
      <c r="E211" s="29">
        <v>3107964427</v>
      </c>
      <c r="F211" s="28" t="s">
        <v>3124</v>
      </c>
      <c r="G211" s="28">
        <v>15516</v>
      </c>
      <c r="H211" s="28">
        <v>211</v>
      </c>
      <c r="I211" s="30">
        <v>199580</v>
      </c>
      <c r="J211" s="31">
        <v>0</v>
      </c>
      <c r="K211" s="31">
        <v>0</v>
      </c>
      <c r="L211" s="31">
        <v>0</v>
      </c>
    </row>
    <row r="212" spans="1:12" x14ac:dyDescent="0.3">
      <c r="A212" s="28">
        <v>35328183</v>
      </c>
      <c r="B212" s="28"/>
      <c r="C212" s="28" t="s">
        <v>2449</v>
      </c>
      <c r="D212" s="28" t="s">
        <v>2802</v>
      </c>
      <c r="E212" s="29">
        <v>3102876011</v>
      </c>
      <c r="F212" s="28" t="s">
        <v>3125</v>
      </c>
      <c r="G212" s="28">
        <v>15516</v>
      </c>
      <c r="H212" s="28">
        <v>211</v>
      </c>
      <c r="I212" s="30">
        <v>235294</v>
      </c>
      <c r="J212" s="31">
        <v>0</v>
      </c>
      <c r="K212" s="31">
        <v>0</v>
      </c>
      <c r="L212" s="31">
        <v>0</v>
      </c>
    </row>
    <row r="213" spans="1:12" x14ac:dyDescent="0.3">
      <c r="A213" s="28">
        <v>4190773</v>
      </c>
      <c r="B213" s="28"/>
      <c r="C213" s="28" t="s">
        <v>2450</v>
      </c>
      <c r="D213" s="28" t="s">
        <v>2803</v>
      </c>
      <c r="E213" s="29">
        <v>3194750875</v>
      </c>
      <c r="F213" s="28" t="s">
        <v>3126</v>
      </c>
      <c r="G213" s="28">
        <v>15516</v>
      </c>
      <c r="H213" s="28">
        <v>211</v>
      </c>
      <c r="I213" s="30">
        <v>279370</v>
      </c>
      <c r="J213" s="31">
        <v>0</v>
      </c>
      <c r="K213" s="31">
        <v>0</v>
      </c>
      <c r="L213" s="31">
        <v>0</v>
      </c>
    </row>
    <row r="214" spans="1:12" x14ac:dyDescent="0.3">
      <c r="A214" s="28">
        <v>4191722</v>
      </c>
      <c r="B214" s="28"/>
      <c r="C214" s="28" t="s">
        <v>2451</v>
      </c>
      <c r="D214" s="28" t="s">
        <v>2804</v>
      </c>
      <c r="E214" s="29">
        <v>3156486110</v>
      </c>
      <c r="F214" s="28" t="s">
        <v>3127</v>
      </c>
      <c r="G214" s="28">
        <v>15516</v>
      </c>
      <c r="H214" s="28">
        <v>211</v>
      </c>
      <c r="I214" s="30">
        <v>4424382</v>
      </c>
      <c r="J214" s="31">
        <v>0</v>
      </c>
      <c r="K214" s="31">
        <v>0</v>
      </c>
      <c r="L214" s="31">
        <v>0</v>
      </c>
    </row>
    <row r="215" spans="1:12" x14ac:dyDescent="0.3">
      <c r="A215" s="28">
        <v>4191818</v>
      </c>
      <c r="B215" s="28"/>
      <c r="C215" s="28" t="s">
        <v>2452</v>
      </c>
      <c r="D215" s="28" t="s">
        <v>2805</v>
      </c>
      <c r="E215" s="29">
        <v>31380213050</v>
      </c>
      <c r="F215" s="28" t="s">
        <v>3128</v>
      </c>
      <c r="G215" s="28">
        <v>15516</v>
      </c>
      <c r="H215" s="28">
        <v>211</v>
      </c>
      <c r="I215" s="30">
        <v>9359160</v>
      </c>
      <c r="J215" s="31">
        <v>0</v>
      </c>
      <c r="K215" s="31">
        <v>0</v>
      </c>
      <c r="L215" s="31">
        <v>0</v>
      </c>
    </row>
    <row r="216" spans="1:12" x14ac:dyDescent="0.3">
      <c r="A216" s="28">
        <v>4192271</v>
      </c>
      <c r="B216" s="28"/>
      <c r="C216" s="28" t="s">
        <v>2453</v>
      </c>
      <c r="D216" s="28" t="s">
        <v>2806</v>
      </c>
      <c r="E216" s="29">
        <v>3115247991</v>
      </c>
      <c r="F216" s="28" t="s">
        <v>3129</v>
      </c>
      <c r="G216" s="28">
        <v>15516</v>
      </c>
      <c r="H216" s="28">
        <v>211</v>
      </c>
      <c r="I216" s="30">
        <v>1450344</v>
      </c>
      <c r="J216" s="31">
        <v>0</v>
      </c>
      <c r="K216" s="31">
        <v>0</v>
      </c>
      <c r="L216" s="31">
        <v>0</v>
      </c>
    </row>
    <row r="217" spans="1:12" x14ac:dyDescent="0.3">
      <c r="A217" s="28">
        <v>4194146</v>
      </c>
      <c r="B217" s="28"/>
      <c r="C217" s="28" t="s">
        <v>2454</v>
      </c>
      <c r="D217" s="28" t="s">
        <v>2807</v>
      </c>
      <c r="E217" s="29">
        <v>3123970773</v>
      </c>
      <c r="F217" s="28" t="s">
        <v>3130</v>
      </c>
      <c r="G217" s="28">
        <v>15516</v>
      </c>
      <c r="H217" s="28">
        <v>211</v>
      </c>
      <c r="I217" s="30">
        <v>164252</v>
      </c>
      <c r="J217" s="31">
        <v>0</v>
      </c>
      <c r="K217" s="31">
        <v>0</v>
      </c>
      <c r="L217" s="31">
        <v>0</v>
      </c>
    </row>
    <row r="218" spans="1:12" x14ac:dyDescent="0.3">
      <c r="A218" s="28">
        <v>4210736</v>
      </c>
      <c r="B218" s="28"/>
      <c r="C218" s="28" t="s">
        <v>2455</v>
      </c>
      <c r="D218" s="28" t="s">
        <v>2808</v>
      </c>
      <c r="E218" s="29">
        <v>3104788562</v>
      </c>
      <c r="F218" s="28" t="s">
        <v>3131</v>
      </c>
      <c r="G218" s="28">
        <v>15516</v>
      </c>
      <c r="H218" s="28">
        <v>211</v>
      </c>
      <c r="I218" s="30">
        <v>1591349</v>
      </c>
      <c r="J218" s="31">
        <v>0</v>
      </c>
      <c r="K218" s="31">
        <v>0</v>
      </c>
      <c r="L218" s="31">
        <v>0</v>
      </c>
    </row>
    <row r="219" spans="1:12" x14ac:dyDescent="0.3">
      <c r="A219" s="28">
        <v>4265013</v>
      </c>
      <c r="B219" s="28"/>
      <c r="C219" s="28" t="s">
        <v>2456</v>
      </c>
      <c r="D219" s="28" t="s">
        <v>2809</v>
      </c>
      <c r="E219" s="29">
        <v>3138545313</v>
      </c>
      <c r="F219" s="28" t="s">
        <v>3132</v>
      </c>
      <c r="G219" s="28">
        <v>15516</v>
      </c>
      <c r="H219" s="28">
        <v>211</v>
      </c>
      <c r="I219" s="30">
        <v>5592437</v>
      </c>
      <c r="J219" s="34">
        <v>1096639</v>
      </c>
      <c r="K219" s="31">
        <v>0</v>
      </c>
      <c r="L219" s="31">
        <v>0</v>
      </c>
    </row>
    <row r="220" spans="1:12" x14ac:dyDescent="0.3">
      <c r="A220" s="28">
        <v>4265385</v>
      </c>
      <c r="B220" s="28"/>
      <c r="C220" s="28" t="s">
        <v>2457</v>
      </c>
      <c r="D220" s="28" t="s">
        <v>2810</v>
      </c>
      <c r="E220" s="29">
        <v>3124334478</v>
      </c>
      <c r="F220" s="28" t="s">
        <v>3133</v>
      </c>
      <c r="G220" s="28">
        <v>15516</v>
      </c>
      <c r="H220" s="28">
        <v>211</v>
      </c>
      <c r="I220" s="30">
        <v>727126</v>
      </c>
      <c r="J220" s="34">
        <v>0</v>
      </c>
      <c r="K220" s="31">
        <v>0</v>
      </c>
      <c r="L220" s="31">
        <v>0</v>
      </c>
    </row>
    <row r="221" spans="1:12" x14ac:dyDescent="0.3">
      <c r="A221" s="28">
        <v>46450687</v>
      </c>
      <c r="B221" s="28"/>
      <c r="C221" s="28" t="s">
        <v>2458</v>
      </c>
      <c r="D221" s="28" t="s">
        <v>2811</v>
      </c>
      <c r="E221" s="29">
        <v>7852859</v>
      </c>
      <c r="F221" s="28" t="s">
        <v>3134</v>
      </c>
      <c r="G221" s="28">
        <v>15516</v>
      </c>
      <c r="H221" s="28">
        <v>211</v>
      </c>
      <c r="I221" s="30">
        <v>1476638</v>
      </c>
      <c r="J221" s="34">
        <v>0</v>
      </c>
      <c r="K221" s="31">
        <v>0</v>
      </c>
      <c r="L221" s="31">
        <v>0</v>
      </c>
    </row>
    <row r="222" spans="1:12" x14ac:dyDescent="0.3">
      <c r="A222" s="28">
        <v>46670929</v>
      </c>
      <c r="B222" s="28"/>
      <c r="C222" s="28" t="s">
        <v>2459</v>
      </c>
      <c r="D222" s="28" t="s">
        <v>2812</v>
      </c>
      <c r="E222" s="29">
        <v>3103298605</v>
      </c>
      <c r="F222" s="28" t="s">
        <v>3135</v>
      </c>
      <c r="G222" s="28">
        <v>15516</v>
      </c>
      <c r="H222" s="28">
        <v>211</v>
      </c>
      <c r="I222" s="30">
        <v>495798</v>
      </c>
      <c r="J222" s="34">
        <v>0</v>
      </c>
      <c r="K222" s="31">
        <v>0</v>
      </c>
      <c r="L222" s="31">
        <v>0</v>
      </c>
    </row>
    <row r="223" spans="1:12" x14ac:dyDescent="0.3">
      <c r="A223" s="28">
        <v>46680612</v>
      </c>
      <c r="B223" s="28"/>
      <c r="C223" s="28" t="s">
        <v>2460</v>
      </c>
      <c r="D223" s="28" t="s">
        <v>2813</v>
      </c>
      <c r="E223" s="29">
        <v>3143239509</v>
      </c>
      <c r="F223" s="28" t="s">
        <v>3136</v>
      </c>
      <c r="G223" s="28">
        <v>15516</v>
      </c>
      <c r="H223" s="28">
        <v>211</v>
      </c>
      <c r="I223" s="30">
        <v>522689</v>
      </c>
      <c r="J223" s="34">
        <v>0</v>
      </c>
      <c r="K223" s="31">
        <v>0</v>
      </c>
      <c r="L223" s="31">
        <v>0</v>
      </c>
    </row>
    <row r="224" spans="1:12" x14ac:dyDescent="0.3">
      <c r="A224" s="28">
        <v>6773757</v>
      </c>
      <c r="B224" s="28"/>
      <c r="C224" s="28" t="s">
        <v>2461</v>
      </c>
      <c r="D224" s="28" t="s">
        <v>2814</v>
      </c>
      <c r="E224" s="29">
        <v>3112383491</v>
      </c>
      <c r="F224" s="28" t="s">
        <v>3137</v>
      </c>
      <c r="G224" s="28">
        <v>15516</v>
      </c>
      <c r="H224" s="28">
        <v>211</v>
      </c>
      <c r="I224" s="30">
        <v>1750000</v>
      </c>
      <c r="J224" s="34">
        <v>0</v>
      </c>
      <c r="K224" s="31">
        <v>0</v>
      </c>
      <c r="L224" s="31">
        <v>0</v>
      </c>
    </row>
    <row r="225" spans="1:12" x14ac:dyDescent="0.3">
      <c r="A225" s="28">
        <v>7160936</v>
      </c>
      <c r="B225" s="28"/>
      <c r="C225" s="28" t="s">
        <v>2462</v>
      </c>
      <c r="D225" s="28" t="s">
        <v>2815</v>
      </c>
      <c r="E225" s="29">
        <v>31339261330</v>
      </c>
      <c r="F225" s="28" t="s">
        <v>3138</v>
      </c>
      <c r="G225" s="28">
        <v>15516</v>
      </c>
      <c r="H225" s="28">
        <v>211</v>
      </c>
      <c r="I225" s="30">
        <v>441598</v>
      </c>
      <c r="J225" s="34">
        <v>0</v>
      </c>
      <c r="K225" s="31">
        <v>0</v>
      </c>
      <c r="L225" s="31">
        <v>0</v>
      </c>
    </row>
    <row r="226" spans="1:12" x14ac:dyDescent="0.3">
      <c r="A226" s="28">
        <v>7218664</v>
      </c>
      <c r="B226" s="28"/>
      <c r="C226" s="28" t="s">
        <v>2463</v>
      </c>
      <c r="D226" s="28" t="s">
        <v>2816</v>
      </c>
      <c r="E226" s="29">
        <v>3208433820</v>
      </c>
      <c r="F226" s="28" t="s">
        <v>3139</v>
      </c>
      <c r="G226" s="28">
        <v>15516</v>
      </c>
      <c r="H226" s="28">
        <v>211</v>
      </c>
      <c r="I226" s="30">
        <v>693916</v>
      </c>
      <c r="J226" s="34">
        <v>0</v>
      </c>
      <c r="K226" s="31">
        <v>0</v>
      </c>
      <c r="L226" s="31">
        <v>0</v>
      </c>
    </row>
    <row r="227" spans="1:12" x14ac:dyDescent="0.3">
      <c r="A227" s="28">
        <v>7218841</v>
      </c>
      <c r="B227" s="28"/>
      <c r="C227" s="28" t="s">
        <v>2464</v>
      </c>
      <c r="D227" s="28" t="s">
        <v>2817</v>
      </c>
      <c r="E227" s="29">
        <v>3112356740</v>
      </c>
      <c r="F227" s="28" t="s">
        <v>3011</v>
      </c>
      <c r="G227" s="28">
        <v>15516</v>
      </c>
      <c r="H227" s="28">
        <v>211</v>
      </c>
      <c r="I227" s="30">
        <v>52724670</v>
      </c>
      <c r="J227" s="34">
        <v>0</v>
      </c>
      <c r="K227" s="31">
        <v>0</v>
      </c>
      <c r="L227" s="31">
        <v>0</v>
      </c>
    </row>
    <row r="228" spans="1:12" x14ac:dyDescent="0.3">
      <c r="A228" s="28">
        <v>74322117</v>
      </c>
      <c r="B228" s="28"/>
      <c r="C228" s="28" t="s">
        <v>2465</v>
      </c>
      <c r="D228" s="28" t="s">
        <v>2691</v>
      </c>
      <c r="E228" s="29">
        <v>3193970790</v>
      </c>
      <c r="F228" s="28" t="s">
        <v>3033</v>
      </c>
      <c r="G228" s="28">
        <v>15516</v>
      </c>
      <c r="H228" s="28">
        <v>211</v>
      </c>
      <c r="I228" s="30">
        <v>32891</v>
      </c>
      <c r="J228" s="34">
        <v>0</v>
      </c>
      <c r="K228" s="31">
        <v>0</v>
      </c>
      <c r="L228" s="31">
        <v>0</v>
      </c>
    </row>
    <row r="229" spans="1:12" x14ac:dyDescent="0.3">
      <c r="A229" s="28">
        <v>74323875</v>
      </c>
      <c r="B229" s="28"/>
      <c r="C229" s="28" t="s">
        <v>2466</v>
      </c>
      <c r="D229" s="28" t="s">
        <v>2818</v>
      </c>
      <c r="E229" s="29">
        <v>31152417991</v>
      </c>
      <c r="F229" s="28" t="s">
        <v>3140</v>
      </c>
      <c r="G229" s="28">
        <v>15516</v>
      </c>
      <c r="H229" s="28">
        <v>211</v>
      </c>
      <c r="I229" s="30">
        <v>7282701</v>
      </c>
      <c r="J229" s="34">
        <v>0</v>
      </c>
      <c r="K229" s="31">
        <v>0</v>
      </c>
      <c r="L229" s="31">
        <v>0</v>
      </c>
    </row>
    <row r="230" spans="1:12" x14ac:dyDescent="0.3">
      <c r="A230" s="28">
        <v>74358835</v>
      </c>
      <c r="B230" s="28"/>
      <c r="C230" s="28" t="s">
        <v>2467</v>
      </c>
      <c r="D230" s="28" t="s">
        <v>2819</v>
      </c>
      <c r="E230" s="29">
        <v>3108521792</v>
      </c>
      <c r="F230" s="28" t="s">
        <v>3141</v>
      </c>
      <c r="G230" s="28">
        <v>15516</v>
      </c>
      <c r="H230" s="28">
        <v>211</v>
      </c>
      <c r="I230" s="30">
        <v>1930042</v>
      </c>
      <c r="J230" s="34">
        <v>0</v>
      </c>
      <c r="K230" s="31">
        <v>0</v>
      </c>
      <c r="L230" s="31">
        <v>0</v>
      </c>
    </row>
    <row r="231" spans="1:12" x14ac:dyDescent="0.3">
      <c r="A231" s="28">
        <v>74359444</v>
      </c>
      <c r="B231" s="28"/>
      <c r="C231" s="28" t="s">
        <v>2468</v>
      </c>
      <c r="D231" s="28" t="s">
        <v>2820</v>
      </c>
      <c r="E231" s="29">
        <v>3132165858</v>
      </c>
      <c r="F231" s="28" t="s">
        <v>3142</v>
      </c>
      <c r="G231" s="28">
        <v>15516</v>
      </c>
      <c r="H231" s="28">
        <v>211</v>
      </c>
      <c r="I231" s="30">
        <v>1811470</v>
      </c>
      <c r="J231" s="34">
        <v>0</v>
      </c>
      <c r="K231" s="31">
        <v>0</v>
      </c>
      <c r="L231" s="31">
        <v>0</v>
      </c>
    </row>
    <row r="232" spans="1:12" x14ac:dyDescent="0.3">
      <c r="A232" s="28">
        <v>74360553</v>
      </c>
      <c r="B232" s="28"/>
      <c r="C232" s="28" t="s">
        <v>2469</v>
      </c>
      <c r="D232" s="28" t="s">
        <v>2821</v>
      </c>
      <c r="E232" s="29">
        <v>3112350526</v>
      </c>
      <c r="F232" s="28" t="s">
        <v>3143</v>
      </c>
      <c r="G232" s="28">
        <v>15516</v>
      </c>
      <c r="H232" s="28">
        <v>211</v>
      </c>
      <c r="I232" s="30">
        <v>705412</v>
      </c>
      <c r="J232" s="34">
        <v>0</v>
      </c>
      <c r="K232" s="31">
        <v>0</v>
      </c>
      <c r="L232" s="31">
        <v>0</v>
      </c>
    </row>
    <row r="233" spans="1:12" x14ac:dyDescent="0.3">
      <c r="A233" s="28">
        <v>74361000</v>
      </c>
      <c r="B233" s="28"/>
      <c r="C233" s="28" t="s">
        <v>2470</v>
      </c>
      <c r="D233" s="28" t="s">
        <v>2822</v>
      </c>
      <c r="E233" s="29">
        <v>3103420419</v>
      </c>
      <c r="F233" s="28" t="s">
        <v>3144</v>
      </c>
      <c r="G233" s="28">
        <v>15516</v>
      </c>
      <c r="H233" s="28">
        <v>211</v>
      </c>
      <c r="I233" s="30">
        <v>15066275</v>
      </c>
      <c r="J233" s="34">
        <v>0</v>
      </c>
      <c r="K233" s="31">
        <v>0</v>
      </c>
      <c r="L233" s="31">
        <v>0</v>
      </c>
    </row>
    <row r="234" spans="1:12" x14ac:dyDescent="0.3">
      <c r="A234" s="28">
        <v>79260360</v>
      </c>
      <c r="B234" s="28"/>
      <c r="C234" s="28" t="s">
        <v>2471</v>
      </c>
      <c r="D234" s="28" t="s">
        <v>2823</v>
      </c>
      <c r="E234" s="29">
        <v>2144223</v>
      </c>
      <c r="F234" s="28" t="s">
        <v>3145</v>
      </c>
      <c r="G234" s="28">
        <v>15516</v>
      </c>
      <c r="H234" s="28">
        <v>211</v>
      </c>
      <c r="I234" s="30">
        <v>113445</v>
      </c>
      <c r="J234" s="34">
        <v>0</v>
      </c>
      <c r="K234" s="31">
        <v>0</v>
      </c>
      <c r="L234" s="31">
        <v>0</v>
      </c>
    </row>
    <row r="235" spans="1:12" x14ac:dyDescent="0.3">
      <c r="A235" s="28">
        <v>79293242</v>
      </c>
      <c r="B235" s="28"/>
      <c r="C235" s="28" t="s">
        <v>2472</v>
      </c>
      <c r="D235" s="28" t="s">
        <v>2824</v>
      </c>
      <c r="E235" s="29">
        <v>3158133857</v>
      </c>
      <c r="F235" s="28" t="s">
        <v>3146</v>
      </c>
      <c r="G235" s="28">
        <v>15516</v>
      </c>
      <c r="H235" s="28">
        <v>211</v>
      </c>
      <c r="I235" s="30">
        <v>318756</v>
      </c>
      <c r="J235" s="34">
        <v>0</v>
      </c>
      <c r="K235" s="31">
        <v>0</v>
      </c>
      <c r="L235" s="31">
        <v>0</v>
      </c>
    </row>
    <row r="236" spans="1:12" x14ac:dyDescent="0.3">
      <c r="A236" s="28">
        <v>79982901</v>
      </c>
      <c r="B236" s="28"/>
      <c r="C236" s="28" t="s">
        <v>2473</v>
      </c>
      <c r="D236" s="28" t="s">
        <v>2825</v>
      </c>
      <c r="E236" s="29">
        <v>3103077325</v>
      </c>
      <c r="F236" s="28" t="s">
        <v>3147</v>
      </c>
      <c r="G236" s="28">
        <v>15516</v>
      </c>
      <c r="H236" s="28">
        <v>211</v>
      </c>
      <c r="I236" s="30">
        <v>7031513</v>
      </c>
      <c r="J236" s="34">
        <v>0</v>
      </c>
      <c r="K236" s="31">
        <v>0</v>
      </c>
      <c r="L236" s="31">
        <v>0</v>
      </c>
    </row>
    <row r="237" spans="1:12" x14ac:dyDescent="0.3">
      <c r="A237" s="28">
        <v>79982901</v>
      </c>
      <c r="B237" s="28"/>
      <c r="C237" s="28" t="s">
        <v>2473</v>
      </c>
      <c r="D237" s="28" t="s">
        <v>2825</v>
      </c>
      <c r="E237" s="29">
        <v>3103077325</v>
      </c>
      <c r="F237" s="28" t="s">
        <v>3147</v>
      </c>
      <c r="G237" s="28">
        <v>15516</v>
      </c>
      <c r="H237" s="28">
        <v>301</v>
      </c>
      <c r="I237" s="30">
        <v>50000</v>
      </c>
      <c r="J237" s="34">
        <v>0</v>
      </c>
      <c r="K237" s="31">
        <v>0</v>
      </c>
      <c r="L237" s="31">
        <v>0</v>
      </c>
    </row>
    <row r="238" spans="1:12" x14ac:dyDescent="0.3">
      <c r="A238" s="28">
        <v>800006073</v>
      </c>
      <c r="B238" s="28"/>
      <c r="C238" s="28" t="s">
        <v>2474</v>
      </c>
      <c r="D238" s="28" t="s">
        <v>2826</v>
      </c>
      <c r="E238" s="29">
        <v>7850872</v>
      </c>
      <c r="F238" s="28" t="s">
        <v>3148</v>
      </c>
      <c r="G238" s="28">
        <v>15516</v>
      </c>
      <c r="H238" s="28">
        <v>211</v>
      </c>
      <c r="I238" s="30">
        <v>2236134</v>
      </c>
      <c r="J238" s="34">
        <v>0</v>
      </c>
      <c r="K238" s="31">
        <v>0</v>
      </c>
      <c r="L238" s="31">
        <v>0</v>
      </c>
    </row>
    <row r="239" spans="1:12" x14ac:dyDescent="0.3">
      <c r="A239" s="28">
        <v>800130426</v>
      </c>
      <c r="B239" s="28"/>
      <c r="C239" s="28" t="s">
        <v>2475</v>
      </c>
      <c r="D239" s="28" t="s">
        <v>2691</v>
      </c>
      <c r="E239" s="29">
        <v>4202900</v>
      </c>
      <c r="F239" s="28" t="s">
        <v>3149</v>
      </c>
      <c r="G239" s="28">
        <v>15516</v>
      </c>
      <c r="H239" s="28">
        <v>211</v>
      </c>
      <c r="I239" s="30">
        <v>137</v>
      </c>
      <c r="J239" s="34">
        <v>0</v>
      </c>
      <c r="K239" s="31">
        <v>0</v>
      </c>
      <c r="L239" s="31">
        <v>0</v>
      </c>
    </row>
    <row r="240" spans="1:12" x14ac:dyDescent="0.3">
      <c r="A240" s="28">
        <v>800141903</v>
      </c>
      <c r="B240" s="28"/>
      <c r="C240" s="28" t="s">
        <v>2476</v>
      </c>
      <c r="D240" s="28" t="s">
        <v>2827</v>
      </c>
      <c r="E240" s="29">
        <v>3118468296</v>
      </c>
      <c r="F240" s="28" t="s">
        <v>3150</v>
      </c>
      <c r="G240" s="28">
        <v>15516</v>
      </c>
      <c r="H240" s="28">
        <v>211</v>
      </c>
      <c r="I240" s="30">
        <v>30872000</v>
      </c>
      <c r="J240" s="34">
        <v>0</v>
      </c>
      <c r="K240" s="31">
        <v>0</v>
      </c>
      <c r="L240" s="31">
        <v>0</v>
      </c>
    </row>
    <row r="241" spans="1:12" x14ac:dyDescent="0.3">
      <c r="A241" s="28">
        <v>800185511</v>
      </c>
      <c r="B241" s="28"/>
      <c r="C241" s="28" t="s">
        <v>2477</v>
      </c>
      <c r="D241" s="28" t="s">
        <v>2828</v>
      </c>
      <c r="E241" s="29">
        <v>7852396</v>
      </c>
      <c r="F241" s="28" t="s">
        <v>3151</v>
      </c>
      <c r="G241" s="28">
        <v>15516</v>
      </c>
      <c r="H241" s="28">
        <v>211</v>
      </c>
      <c r="I241" s="30">
        <v>102521</v>
      </c>
      <c r="J241" s="34">
        <v>0</v>
      </c>
      <c r="K241" s="31">
        <v>0</v>
      </c>
      <c r="L241" s="31">
        <v>0</v>
      </c>
    </row>
    <row r="242" spans="1:12" x14ac:dyDescent="0.3">
      <c r="A242" s="28">
        <v>800197268</v>
      </c>
      <c r="B242" s="28"/>
      <c r="C242" s="28" t="s">
        <v>2478</v>
      </c>
      <c r="D242" s="28"/>
      <c r="E242" s="29">
        <v>0</v>
      </c>
      <c r="F242" s="28"/>
      <c r="G242" s="28">
        <v>15516</v>
      </c>
      <c r="H242" s="28">
        <v>211</v>
      </c>
      <c r="I242" s="30">
        <v>2392.5</v>
      </c>
      <c r="J242" s="34">
        <v>0</v>
      </c>
      <c r="K242" s="31">
        <v>0</v>
      </c>
      <c r="L242" s="31">
        <v>0</v>
      </c>
    </row>
    <row r="243" spans="1:12" x14ac:dyDescent="0.3">
      <c r="A243" s="28">
        <v>800199713</v>
      </c>
      <c r="B243" s="28"/>
      <c r="C243" s="28" t="s">
        <v>2479</v>
      </c>
      <c r="D243" s="28" t="s">
        <v>2829</v>
      </c>
      <c r="E243" s="29">
        <v>3105758718</v>
      </c>
      <c r="F243" s="28" t="s">
        <v>3152</v>
      </c>
      <c r="G243" s="28">
        <v>15516</v>
      </c>
      <c r="H243" s="28">
        <v>211</v>
      </c>
      <c r="I243" s="30">
        <v>345058</v>
      </c>
      <c r="J243" s="34">
        <v>0</v>
      </c>
      <c r="K243" s="31">
        <v>0</v>
      </c>
      <c r="L243" s="31">
        <v>0</v>
      </c>
    </row>
    <row r="244" spans="1:12" x14ac:dyDescent="0.3">
      <c r="A244" s="28">
        <v>800229739</v>
      </c>
      <c r="B244" s="28"/>
      <c r="C244" s="28" t="s">
        <v>2480</v>
      </c>
      <c r="D244" s="28" t="s">
        <v>2830</v>
      </c>
      <c r="E244" s="29">
        <v>18000528000</v>
      </c>
      <c r="F244" s="28" t="s">
        <v>3153</v>
      </c>
      <c r="G244" s="28">
        <v>15516</v>
      </c>
      <c r="H244" s="28">
        <v>1</v>
      </c>
      <c r="I244" s="30">
        <v>16848000</v>
      </c>
      <c r="J244" s="34">
        <v>0</v>
      </c>
      <c r="K244" s="31">
        <v>0</v>
      </c>
      <c r="L244" s="31">
        <v>0</v>
      </c>
    </row>
    <row r="245" spans="1:12" x14ac:dyDescent="0.3">
      <c r="A245" s="28">
        <v>800251440</v>
      </c>
      <c r="B245" s="28"/>
      <c r="C245" s="28" t="s">
        <v>2481</v>
      </c>
      <c r="D245" s="28"/>
      <c r="E245" s="29">
        <v>0</v>
      </c>
      <c r="F245" s="28"/>
      <c r="G245" s="28">
        <v>15516</v>
      </c>
      <c r="H245" s="28">
        <v>211</v>
      </c>
      <c r="I245" s="30">
        <v>64458</v>
      </c>
      <c r="J245" s="34">
        <v>0</v>
      </c>
      <c r="K245" s="31">
        <v>0</v>
      </c>
      <c r="L245" s="31">
        <v>0</v>
      </c>
    </row>
    <row r="246" spans="1:12" x14ac:dyDescent="0.3">
      <c r="A246" s="28">
        <v>80411475</v>
      </c>
      <c r="B246" s="28"/>
      <c r="C246" s="28" t="s">
        <v>2482</v>
      </c>
      <c r="D246" s="28" t="s">
        <v>2831</v>
      </c>
      <c r="E246" s="29">
        <v>3102221616</v>
      </c>
      <c r="F246" s="28" t="s">
        <v>3154</v>
      </c>
      <c r="G246" s="28">
        <v>15516</v>
      </c>
      <c r="H246" s="28">
        <v>211</v>
      </c>
      <c r="I246" s="30">
        <v>186555</v>
      </c>
      <c r="J246" s="34">
        <v>0</v>
      </c>
      <c r="K246" s="31">
        <v>0</v>
      </c>
      <c r="L246" s="31">
        <v>0</v>
      </c>
    </row>
    <row r="247" spans="1:12" x14ac:dyDescent="0.3">
      <c r="A247" s="28">
        <v>826003190</v>
      </c>
      <c r="B247" s="28"/>
      <c r="C247" s="28" t="s">
        <v>2483</v>
      </c>
      <c r="D247" s="28" t="s">
        <v>2832</v>
      </c>
      <c r="E247" s="29">
        <v>7850417</v>
      </c>
      <c r="F247" s="28" t="s">
        <v>3155</v>
      </c>
      <c r="G247" s="28">
        <v>15516</v>
      </c>
      <c r="H247" s="28">
        <v>211</v>
      </c>
      <c r="I247" s="30">
        <v>845798</v>
      </c>
      <c r="J247" s="34">
        <v>0</v>
      </c>
      <c r="K247" s="31">
        <v>0</v>
      </c>
      <c r="L247" s="31">
        <v>0</v>
      </c>
    </row>
    <row r="248" spans="1:12" x14ac:dyDescent="0.3">
      <c r="A248" s="28">
        <v>830005568</v>
      </c>
      <c r="B248" s="28"/>
      <c r="C248" s="28" t="s">
        <v>2484</v>
      </c>
      <c r="D248" s="28" t="s">
        <v>2802</v>
      </c>
      <c r="E248" s="29">
        <v>3102876011</v>
      </c>
      <c r="F248" s="28" t="s">
        <v>3156</v>
      </c>
      <c r="G248" s="28">
        <v>15516</v>
      </c>
      <c r="H248" s="28">
        <v>211</v>
      </c>
      <c r="I248" s="30">
        <v>171429</v>
      </c>
      <c r="J248" s="34">
        <v>0</v>
      </c>
      <c r="K248" s="31">
        <v>0</v>
      </c>
      <c r="L248" s="31">
        <v>0</v>
      </c>
    </row>
    <row r="249" spans="1:12" x14ac:dyDescent="0.3">
      <c r="A249" s="28">
        <v>830026491</v>
      </c>
      <c r="B249" s="28"/>
      <c r="C249" s="28" t="s">
        <v>2485</v>
      </c>
      <c r="D249" s="28" t="s">
        <v>2833</v>
      </c>
      <c r="E249" s="29">
        <v>2605465</v>
      </c>
      <c r="F249" s="28" t="s">
        <v>3157</v>
      </c>
      <c r="G249" s="28">
        <v>15516</v>
      </c>
      <c r="H249" s="28">
        <v>211</v>
      </c>
      <c r="I249" s="30">
        <v>1010</v>
      </c>
      <c r="J249" s="34">
        <v>0</v>
      </c>
      <c r="K249" s="31">
        <v>0</v>
      </c>
      <c r="L249" s="31">
        <v>0</v>
      </c>
    </row>
    <row r="250" spans="1:12" x14ac:dyDescent="0.3">
      <c r="A250" s="28">
        <v>830126518</v>
      </c>
      <c r="B250" s="28"/>
      <c r="C250" s="28" t="s">
        <v>2486</v>
      </c>
      <c r="D250" s="28" t="s">
        <v>2834</v>
      </c>
      <c r="E250" s="29">
        <v>3114796470</v>
      </c>
      <c r="F250" s="28" t="s">
        <v>3158</v>
      </c>
      <c r="G250" s="28">
        <v>15516</v>
      </c>
      <c r="H250" s="28">
        <v>211</v>
      </c>
      <c r="I250" s="30">
        <v>96227</v>
      </c>
      <c r="J250" s="34">
        <v>0</v>
      </c>
      <c r="K250" s="31">
        <v>0</v>
      </c>
      <c r="L250" s="31">
        <v>0</v>
      </c>
    </row>
    <row r="251" spans="1:12" x14ac:dyDescent="0.3">
      <c r="A251" s="28">
        <v>830502580</v>
      </c>
      <c r="B251" s="28"/>
      <c r="C251" s="28" t="s">
        <v>2487</v>
      </c>
      <c r="D251" s="28" t="s">
        <v>2835</v>
      </c>
      <c r="E251" s="29">
        <v>3102176012</v>
      </c>
      <c r="F251" s="28" t="s">
        <v>3159</v>
      </c>
      <c r="G251" s="28">
        <v>15516</v>
      </c>
      <c r="H251" s="28">
        <v>211</v>
      </c>
      <c r="I251" s="30">
        <v>12605</v>
      </c>
      <c r="J251" s="34">
        <v>0</v>
      </c>
      <c r="K251" s="31">
        <v>0</v>
      </c>
      <c r="L251" s="31">
        <v>0</v>
      </c>
    </row>
    <row r="252" spans="1:12" x14ac:dyDescent="0.3">
      <c r="A252" s="28">
        <v>844003058</v>
      </c>
      <c r="B252" s="28"/>
      <c r="C252" s="28" t="s">
        <v>2488</v>
      </c>
      <c r="D252" s="28" t="s">
        <v>2836</v>
      </c>
      <c r="E252" s="29">
        <v>6324321</v>
      </c>
      <c r="F252" s="28" t="s">
        <v>3160</v>
      </c>
      <c r="G252" s="28">
        <v>15516</v>
      </c>
      <c r="H252" s="28">
        <v>211</v>
      </c>
      <c r="I252" s="30">
        <v>2877528</v>
      </c>
      <c r="J252" s="34">
        <v>0</v>
      </c>
      <c r="K252" s="31">
        <v>0</v>
      </c>
      <c r="L252" s="31">
        <v>0</v>
      </c>
    </row>
    <row r="253" spans="1:12" x14ac:dyDescent="0.3">
      <c r="A253" s="28">
        <v>860009694</v>
      </c>
      <c r="B253" s="28"/>
      <c r="C253" s="28" t="s">
        <v>2489</v>
      </c>
      <c r="D253" s="28" t="s">
        <v>2837</v>
      </c>
      <c r="E253" s="29">
        <v>6003900</v>
      </c>
      <c r="F253" s="28" t="s">
        <v>3161</v>
      </c>
      <c r="G253" s="28">
        <v>15516</v>
      </c>
      <c r="H253" s="28">
        <v>211</v>
      </c>
      <c r="I253" s="30">
        <v>163</v>
      </c>
      <c r="J253" s="34">
        <v>0</v>
      </c>
      <c r="K253" s="31">
        <v>0</v>
      </c>
      <c r="L253" s="31">
        <v>0</v>
      </c>
    </row>
    <row r="254" spans="1:12" x14ac:dyDescent="0.3">
      <c r="A254" s="28">
        <v>860034313</v>
      </c>
      <c r="B254" s="28"/>
      <c r="C254" s="28" t="s">
        <v>2490</v>
      </c>
      <c r="D254" s="28"/>
      <c r="E254" s="29">
        <v>0</v>
      </c>
      <c r="F254" s="28"/>
      <c r="G254" s="28">
        <v>15516</v>
      </c>
      <c r="H254" s="28">
        <v>211</v>
      </c>
      <c r="I254" s="30">
        <v>40373</v>
      </c>
      <c r="J254" s="34">
        <v>0</v>
      </c>
      <c r="K254" s="31">
        <v>0</v>
      </c>
      <c r="L254" s="31">
        <v>0</v>
      </c>
    </row>
    <row r="255" spans="1:12" x14ac:dyDescent="0.3">
      <c r="A255" s="28">
        <v>860038861</v>
      </c>
      <c r="B255" s="28"/>
      <c r="C255" s="28" t="s">
        <v>2491</v>
      </c>
      <c r="D255" s="28" t="s">
        <v>2838</v>
      </c>
      <c r="E255" s="29">
        <v>7207020</v>
      </c>
      <c r="F255" s="28" t="s">
        <v>3162</v>
      </c>
      <c r="G255" s="28">
        <v>15516</v>
      </c>
      <c r="H255" s="28">
        <v>211</v>
      </c>
      <c r="I255" s="30">
        <v>9816766</v>
      </c>
      <c r="J255" s="34">
        <v>0</v>
      </c>
      <c r="K255" s="31">
        <v>0</v>
      </c>
      <c r="L255" s="31">
        <v>0</v>
      </c>
    </row>
    <row r="256" spans="1:12" x14ac:dyDescent="0.3">
      <c r="A256" s="28">
        <v>860527709</v>
      </c>
      <c r="B256" s="28"/>
      <c r="C256" s="28" t="s">
        <v>2492</v>
      </c>
      <c r="D256" s="28" t="s">
        <v>2839</v>
      </c>
      <c r="E256" s="29">
        <v>6330111</v>
      </c>
      <c r="F256" s="28" t="s">
        <v>3163</v>
      </c>
      <c r="G256" s="28">
        <v>15516</v>
      </c>
      <c r="H256" s="28">
        <v>211</v>
      </c>
      <c r="I256" s="30">
        <v>2</v>
      </c>
      <c r="J256" s="34">
        <v>0</v>
      </c>
      <c r="K256" s="31">
        <v>0</v>
      </c>
      <c r="L256" s="31">
        <v>0</v>
      </c>
    </row>
    <row r="257" spans="1:12" x14ac:dyDescent="0.3">
      <c r="A257" s="28">
        <v>890900118</v>
      </c>
      <c r="B257" s="28"/>
      <c r="C257" s="28" t="s">
        <v>2493</v>
      </c>
      <c r="D257" s="28" t="s">
        <v>2840</v>
      </c>
      <c r="E257" s="29">
        <v>48493346</v>
      </c>
      <c r="F257" s="28" t="s">
        <v>3164</v>
      </c>
      <c r="G257" s="28">
        <v>15516</v>
      </c>
      <c r="H257" s="28">
        <v>211</v>
      </c>
      <c r="I257" s="30">
        <v>13971900</v>
      </c>
      <c r="J257" s="34">
        <v>3546900</v>
      </c>
      <c r="K257" s="31">
        <v>0</v>
      </c>
      <c r="L257" s="31">
        <v>0</v>
      </c>
    </row>
    <row r="258" spans="1:12" x14ac:dyDescent="0.3">
      <c r="A258" s="28">
        <v>890981395</v>
      </c>
      <c r="B258" s="28"/>
      <c r="C258" s="28" t="s">
        <v>2494</v>
      </c>
      <c r="D258" s="28" t="s">
        <v>2830</v>
      </c>
      <c r="E258" s="29">
        <v>7605622</v>
      </c>
      <c r="F258" s="28" t="s">
        <v>3165</v>
      </c>
      <c r="G258" s="28">
        <v>15516</v>
      </c>
      <c r="H258" s="28">
        <v>211</v>
      </c>
      <c r="I258" s="30">
        <v>257707</v>
      </c>
      <c r="J258" s="34">
        <v>0</v>
      </c>
      <c r="K258" s="31">
        <v>0</v>
      </c>
      <c r="L258" s="31">
        <v>0</v>
      </c>
    </row>
    <row r="259" spans="1:12" x14ac:dyDescent="0.3">
      <c r="A259" s="28">
        <v>891800111</v>
      </c>
      <c r="B259" s="28"/>
      <c r="C259" s="28" t="s">
        <v>2495</v>
      </c>
      <c r="D259" s="28" t="s">
        <v>2841</v>
      </c>
      <c r="E259" s="29">
        <v>7426350</v>
      </c>
      <c r="F259" s="28" t="s">
        <v>3166</v>
      </c>
      <c r="G259" s="28">
        <v>15516</v>
      </c>
      <c r="H259" s="28">
        <v>211</v>
      </c>
      <c r="I259" s="30">
        <v>151618500</v>
      </c>
      <c r="J259" s="34">
        <v>0</v>
      </c>
      <c r="K259" s="31">
        <v>0</v>
      </c>
      <c r="L259" s="31">
        <v>0</v>
      </c>
    </row>
    <row r="260" spans="1:12" x14ac:dyDescent="0.3">
      <c r="A260" s="28">
        <v>891801193</v>
      </c>
      <c r="B260" s="28"/>
      <c r="C260" s="28" t="s">
        <v>2496</v>
      </c>
      <c r="D260" s="28" t="s">
        <v>2842</v>
      </c>
      <c r="E260" s="29">
        <v>3208528047</v>
      </c>
      <c r="F260" s="28" t="s">
        <v>3167</v>
      </c>
      <c r="G260" s="28">
        <v>15516</v>
      </c>
      <c r="H260" s="28">
        <v>211</v>
      </c>
      <c r="I260" s="30">
        <v>321008</v>
      </c>
      <c r="J260" s="34">
        <v>0</v>
      </c>
      <c r="K260" s="31">
        <v>0</v>
      </c>
      <c r="L260" s="31">
        <v>0</v>
      </c>
    </row>
    <row r="261" spans="1:12" x14ac:dyDescent="0.3">
      <c r="A261" s="28">
        <v>891855322</v>
      </c>
      <c r="B261" s="28"/>
      <c r="C261" s="28" t="s">
        <v>2497</v>
      </c>
      <c r="D261" s="28" t="s">
        <v>2843</v>
      </c>
      <c r="E261" s="29">
        <v>7850147</v>
      </c>
      <c r="F261" s="28" t="s">
        <v>2985</v>
      </c>
      <c r="G261" s="28">
        <v>15516</v>
      </c>
      <c r="H261" s="28">
        <v>211</v>
      </c>
      <c r="I261" s="30">
        <v>1279206</v>
      </c>
      <c r="J261" s="34">
        <v>0</v>
      </c>
      <c r="K261" s="31">
        <v>0</v>
      </c>
      <c r="L261" s="31">
        <v>0</v>
      </c>
    </row>
    <row r="262" spans="1:12" x14ac:dyDescent="0.3">
      <c r="A262" s="28">
        <v>900034485</v>
      </c>
      <c r="B262" s="28"/>
      <c r="C262" s="28" t="s">
        <v>2498</v>
      </c>
      <c r="D262" s="28" t="s">
        <v>2844</v>
      </c>
      <c r="E262" s="29">
        <v>6018016741</v>
      </c>
      <c r="F262" s="28" t="s">
        <v>3168</v>
      </c>
      <c r="G262" s="28">
        <v>15516</v>
      </c>
      <c r="H262" s="28">
        <v>211</v>
      </c>
      <c r="I262" s="30">
        <v>1277378</v>
      </c>
      <c r="J262" s="34">
        <v>0</v>
      </c>
      <c r="K262" s="31">
        <v>0</v>
      </c>
      <c r="L262" s="31">
        <v>0</v>
      </c>
    </row>
    <row r="263" spans="1:12" x14ac:dyDescent="0.3">
      <c r="A263" s="28">
        <v>900040493</v>
      </c>
      <c r="B263" s="28"/>
      <c r="C263" s="28" t="s">
        <v>2499</v>
      </c>
      <c r="D263" s="28" t="s">
        <v>2845</v>
      </c>
      <c r="E263" s="29">
        <v>6623223</v>
      </c>
      <c r="F263" s="28" t="s">
        <v>3169</v>
      </c>
      <c r="G263" s="28">
        <v>15516</v>
      </c>
      <c r="H263" s="28">
        <v>211</v>
      </c>
      <c r="I263" s="30">
        <v>1648992</v>
      </c>
      <c r="J263" s="34">
        <v>0</v>
      </c>
      <c r="K263" s="31">
        <v>0</v>
      </c>
      <c r="L263" s="31">
        <v>0</v>
      </c>
    </row>
    <row r="264" spans="1:12" x14ac:dyDescent="0.3">
      <c r="A264" s="28">
        <v>900040852</v>
      </c>
      <c r="B264" s="28"/>
      <c r="C264" s="28" t="s">
        <v>2500</v>
      </c>
      <c r="D264" s="28" t="s">
        <v>2846</v>
      </c>
      <c r="E264" s="29">
        <v>0</v>
      </c>
      <c r="F264" s="28" t="s">
        <v>3170</v>
      </c>
      <c r="G264" s="28">
        <v>15516</v>
      </c>
      <c r="H264" s="28">
        <v>211</v>
      </c>
      <c r="I264" s="30">
        <v>94958</v>
      </c>
      <c r="J264" s="34">
        <v>0</v>
      </c>
      <c r="K264" s="31">
        <v>0</v>
      </c>
      <c r="L264" s="31">
        <v>0</v>
      </c>
    </row>
    <row r="265" spans="1:12" x14ac:dyDescent="0.3">
      <c r="A265" s="28">
        <v>900119778</v>
      </c>
      <c r="B265" s="28"/>
      <c r="C265" s="28" t="s">
        <v>2501</v>
      </c>
      <c r="D265" s="28" t="s">
        <v>2847</v>
      </c>
      <c r="E265" s="29">
        <v>9279485</v>
      </c>
      <c r="F265" s="28" t="s">
        <v>3171</v>
      </c>
      <c r="G265" s="28">
        <v>15516</v>
      </c>
      <c r="H265" s="28">
        <v>211</v>
      </c>
      <c r="I265" s="30">
        <v>26891</v>
      </c>
      <c r="J265" s="34">
        <v>0</v>
      </c>
      <c r="K265" s="31">
        <v>0</v>
      </c>
      <c r="L265" s="31">
        <v>0</v>
      </c>
    </row>
    <row r="266" spans="1:12" x14ac:dyDescent="0.3">
      <c r="A266" s="28">
        <v>900126500</v>
      </c>
      <c r="B266" s="28"/>
      <c r="C266" s="28" t="s">
        <v>2502</v>
      </c>
      <c r="D266" s="28" t="s">
        <v>2848</v>
      </c>
      <c r="E266" s="29">
        <v>616808141</v>
      </c>
      <c r="F266" s="28" t="s">
        <v>3172</v>
      </c>
      <c r="G266" s="28">
        <v>15516</v>
      </c>
      <c r="H266" s="28">
        <v>211</v>
      </c>
      <c r="I266" s="30">
        <v>1117647</v>
      </c>
      <c r="J266" s="34">
        <v>0</v>
      </c>
      <c r="K266" s="31">
        <v>0</v>
      </c>
      <c r="L266" s="31">
        <v>0</v>
      </c>
    </row>
    <row r="267" spans="1:12" x14ac:dyDescent="0.3">
      <c r="A267" s="28">
        <v>900148100</v>
      </c>
      <c r="B267" s="28"/>
      <c r="C267" s="28" t="s">
        <v>2503</v>
      </c>
      <c r="D267" s="28" t="s">
        <v>2849</v>
      </c>
      <c r="E267" s="29">
        <v>6017534079</v>
      </c>
      <c r="F267" s="28" t="s">
        <v>3173</v>
      </c>
      <c r="G267" s="28">
        <v>15516</v>
      </c>
      <c r="H267" s="28">
        <v>211</v>
      </c>
      <c r="I267" s="30">
        <v>3332772</v>
      </c>
      <c r="J267" s="34">
        <v>0</v>
      </c>
      <c r="K267" s="31">
        <v>0</v>
      </c>
      <c r="L267" s="31">
        <v>0</v>
      </c>
    </row>
    <row r="268" spans="1:12" x14ac:dyDescent="0.3">
      <c r="A268" s="28">
        <v>900148100</v>
      </c>
      <c r="B268" s="28"/>
      <c r="C268" s="28" t="s">
        <v>2503</v>
      </c>
      <c r="D268" s="28" t="s">
        <v>2849</v>
      </c>
      <c r="E268" s="29">
        <v>6017534079</v>
      </c>
      <c r="F268" s="28" t="s">
        <v>3173</v>
      </c>
      <c r="G268" s="28">
        <v>15516</v>
      </c>
      <c r="H268" s="28">
        <v>301</v>
      </c>
      <c r="I268" s="30">
        <v>10000</v>
      </c>
      <c r="J268" s="34">
        <v>0</v>
      </c>
      <c r="K268" s="31">
        <v>0</v>
      </c>
      <c r="L268" s="31">
        <v>0</v>
      </c>
    </row>
    <row r="269" spans="1:12" x14ac:dyDescent="0.3">
      <c r="A269" s="28">
        <v>900198625</v>
      </c>
      <c r="B269" s="28"/>
      <c r="C269" s="28" t="s">
        <v>2504</v>
      </c>
      <c r="D269" s="28" t="s">
        <v>2850</v>
      </c>
      <c r="E269" s="29">
        <v>3107777735</v>
      </c>
      <c r="F269" s="28" t="s">
        <v>3174</v>
      </c>
      <c r="G269" s="28">
        <v>15516</v>
      </c>
      <c r="H269" s="28">
        <v>211</v>
      </c>
      <c r="I269" s="30">
        <v>3038781</v>
      </c>
      <c r="J269" s="34">
        <v>0</v>
      </c>
      <c r="K269" s="31">
        <v>0</v>
      </c>
      <c r="L269" s="31">
        <v>0</v>
      </c>
    </row>
    <row r="270" spans="1:12" x14ac:dyDescent="0.3">
      <c r="A270" s="28">
        <v>900201982</v>
      </c>
      <c r="B270" s="28"/>
      <c r="C270" s="28" t="s">
        <v>2505</v>
      </c>
      <c r="D270" s="28" t="s">
        <v>2851</v>
      </c>
      <c r="E270" s="29">
        <v>3102770020</v>
      </c>
      <c r="F270" s="28" t="s">
        <v>3175</v>
      </c>
      <c r="G270" s="28">
        <v>15516</v>
      </c>
      <c r="H270" s="28">
        <v>211</v>
      </c>
      <c r="I270" s="30">
        <v>1257143</v>
      </c>
      <c r="J270" s="34">
        <v>0</v>
      </c>
      <c r="K270" s="31">
        <v>0</v>
      </c>
      <c r="L270" s="31">
        <v>0</v>
      </c>
    </row>
    <row r="271" spans="1:12" x14ac:dyDescent="0.3">
      <c r="A271" s="28">
        <v>900208439</v>
      </c>
      <c r="B271" s="28"/>
      <c r="C271" s="28" t="s">
        <v>2506</v>
      </c>
      <c r="D271" s="28" t="s">
        <v>2852</v>
      </c>
      <c r="E271" s="29">
        <v>6550060</v>
      </c>
      <c r="F271" s="28" t="s">
        <v>3176</v>
      </c>
      <c r="G271" s="28">
        <v>15516</v>
      </c>
      <c r="H271" s="28">
        <v>211</v>
      </c>
      <c r="I271" s="30">
        <v>205042</v>
      </c>
      <c r="J271" s="34">
        <v>0</v>
      </c>
      <c r="K271" s="31">
        <v>0</v>
      </c>
      <c r="L271" s="31">
        <v>0</v>
      </c>
    </row>
    <row r="272" spans="1:12" x14ac:dyDescent="0.3">
      <c r="A272" s="28">
        <v>900236200</v>
      </c>
      <c r="B272" s="28"/>
      <c r="C272" s="28" t="s">
        <v>2507</v>
      </c>
      <c r="D272" s="28" t="s">
        <v>2853</v>
      </c>
      <c r="E272" s="29">
        <v>2951464</v>
      </c>
      <c r="F272" s="28" t="s">
        <v>3177</v>
      </c>
      <c r="G272" s="28">
        <v>15516</v>
      </c>
      <c r="H272" s="28">
        <v>211</v>
      </c>
      <c r="I272" s="30">
        <v>141176</v>
      </c>
      <c r="J272" s="34">
        <v>0</v>
      </c>
      <c r="K272" s="31">
        <v>0</v>
      </c>
      <c r="L272" s="31">
        <v>0</v>
      </c>
    </row>
    <row r="273" spans="1:12" x14ac:dyDescent="0.3">
      <c r="A273" s="28">
        <v>900244577</v>
      </c>
      <c r="B273" s="28"/>
      <c r="C273" s="28" t="s">
        <v>2508</v>
      </c>
      <c r="D273" s="28" t="s">
        <v>2854</v>
      </c>
      <c r="E273" s="29">
        <v>3202752133</v>
      </c>
      <c r="F273" s="28" t="s">
        <v>3178</v>
      </c>
      <c r="G273" s="28">
        <v>15516</v>
      </c>
      <c r="H273" s="28">
        <v>211</v>
      </c>
      <c r="I273" s="30">
        <v>4090228</v>
      </c>
      <c r="J273" s="34">
        <v>0</v>
      </c>
      <c r="K273" s="31">
        <v>0</v>
      </c>
      <c r="L273" s="31">
        <v>0</v>
      </c>
    </row>
    <row r="274" spans="1:12" x14ac:dyDescent="0.3">
      <c r="A274" s="28">
        <v>900297127</v>
      </c>
      <c r="B274" s="28"/>
      <c r="C274" s="28" t="s">
        <v>2509</v>
      </c>
      <c r="D274" s="28" t="s">
        <v>2855</v>
      </c>
      <c r="E274" s="29">
        <v>7855900</v>
      </c>
      <c r="F274" s="28" t="s">
        <v>3179</v>
      </c>
      <c r="G274" s="28">
        <v>15516</v>
      </c>
      <c r="H274" s="28">
        <v>211</v>
      </c>
      <c r="I274" s="30">
        <v>112000</v>
      </c>
      <c r="J274" s="34">
        <v>0</v>
      </c>
      <c r="K274" s="31">
        <v>0</v>
      </c>
      <c r="L274" s="31">
        <v>0</v>
      </c>
    </row>
    <row r="275" spans="1:12" x14ac:dyDescent="0.3">
      <c r="A275" s="28">
        <v>900335782</v>
      </c>
      <c r="B275" s="28"/>
      <c r="C275" s="28" t="s">
        <v>2510</v>
      </c>
      <c r="D275" s="28" t="s">
        <v>2856</v>
      </c>
      <c r="E275" s="29">
        <v>3103222924</v>
      </c>
      <c r="F275" s="28" t="s">
        <v>3180</v>
      </c>
      <c r="G275" s="28">
        <v>15516</v>
      </c>
      <c r="H275" s="28">
        <v>211</v>
      </c>
      <c r="I275" s="30">
        <v>34242857</v>
      </c>
      <c r="J275" s="34">
        <v>0</v>
      </c>
      <c r="K275" s="31">
        <v>0</v>
      </c>
      <c r="L275" s="31">
        <v>0</v>
      </c>
    </row>
    <row r="276" spans="1:12" x14ac:dyDescent="0.3">
      <c r="A276" s="28">
        <v>900385078</v>
      </c>
      <c r="B276" s="28"/>
      <c r="C276" s="28" t="s">
        <v>2511</v>
      </c>
      <c r="D276" s="28" t="s">
        <v>2857</v>
      </c>
      <c r="E276" s="29">
        <v>8051362</v>
      </c>
      <c r="F276" s="28" t="s">
        <v>3181</v>
      </c>
      <c r="G276" s="28">
        <v>15516</v>
      </c>
      <c r="H276" s="28">
        <v>211</v>
      </c>
      <c r="I276" s="30">
        <v>886975</v>
      </c>
      <c r="J276" s="34">
        <v>0</v>
      </c>
      <c r="K276" s="31">
        <v>0</v>
      </c>
      <c r="L276" s="31">
        <v>0</v>
      </c>
    </row>
    <row r="277" spans="1:12" x14ac:dyDescent="0.3">
      <c r="A277" s="28">
        <v>900407819</v>
      </c>
      <c r="B277" s="28"/>
      <c r="C277" s="28" t="s">
        <v>2512</v>
      </c>
      <c r="D277" s="28" t="s">
        <v>2858</v>
      </c>
      <c r="E277" s="29">
        <v>3104808318</v>
      </c>
      <c r="F277" s="28" t="s">
        <v>3182</v>
      </c>
      <c r="G277" s="28">
        <v>15516</v>
      </c>
      <c r="H277" s="28">
        <v>211</v>
      </c>
      <c r="I277" s="30">
        <v>9226844</v>
      </c>
      <c r="J277" s="34">
        <v>0</v>
      </c>
      <c r="K277" s="31">
        <v>0</v>
      </c>
      <c r="L277" s="31">
        <v>0</v>
      </c>
    </row>
    <row r="278" spans="1:12" x14ac:dyDescent="0.3">
      <c r="A278" s="28">
        <v>900408392</v>
      </c>
      <c r="B278" s="28"/>
      <c r="C278" s="28" t="s">
        <v>2513</v>
      </c>
      <c r="D278" s="28" t="s">
        <v>2859</v>
      </c>
      <c r="E278" s="29">
        <v>2958992</v>
      </c>
      <c r="F278" s="28" t="s">
        <v>3183</v>
      </c>
      <c r="G278" s="28">
        <v>15516</v>
      </c>
      <c r="H278" s="28">
        <v>211</v>
      </c>
      <c r="I278" s="30">
        <v>838655</v>
      </c>
      <c r="J278" s="34">
        <v>0</v>
      </c>
      <c r="K278" s="31">
        <v>0</v>
      </c>
      <c r="L278" s="31">
        <v>0</v>
      </c>
    </row>
    <row r="279" spans="1:12" x14ac:dyDescent="0.3">
      <c r="A279" s="28">
        <v>900416144</v>
      </c>
      <c r="B279" s="28"/>
      <c r="C279" s="28" t="s">
        <v>2514</v>
      </c>
      <c r="D279" s="28" t="s">
        <v>2860</v>
      </c>
      <c r="E279" s="29">
        <v>0</v>
      </c>
      <c r="F279" s="28" t="s">
        <v>3184</v>
      </c>
      <c r="G279" s="28">
        <v>15516</v>
      </c>
      <c r="H279" s="28">
        <v>211</v>
      </c>
      <c r="I279" s="30">
        <v>4</v>
      </c>
      <c r="J279" s="34">
        <v>0</v>
      </c>
      <c r="K279" s="31">
        <v>0</v>
      </c>
      <c r="L279" s="31">
        <v>0</v>
      </c>
    </row>
    <row r="280" spans="1:12" x14ac:dyDescent="0.3">
      <c r="A280" s="28">
        <v>900489426</v>
      </c>
      <c r="B280" s="28"/>
      <c r="C280" s="28" t="s">
        <v>2515</v>
      </c>
      <c r="D280" s="28" t="s">
        <v>2861</v>
      </c>
      <c r="E280" s="29">
        <v>3405433</v>
      </c>
      <c r="F280" s="28" t="s">
        <v>3185</v>
      </c>
      <c r="G280" s="28">
        <v>15516</v>
      </c>
      <c r="H280" s="28">
        <v>211</v>
      </c>
      <c r="I280" s="30">
        <v>3526051</v>
      </c>
      <c r="J280" s="34">
        <v>0</v>
      </c>
      <c r="K280" s="31">
        <v>0</v>
      </c>
      <c r="L280" s="31">
        <v>0</v>
      </c>
    </row>
    <row r="281" spans="1:12" x14ac:dyDescent="0.3">
      <c r="A281" s="28">
        <v>900491537</v>
      </c>
      <c r="B281" s="28"/>
      <c r="C281" s="28" t="s">
        <v>2516</v>
      </c>
      <c r="D281" s="28" t="s">
        <v>2862</v>
      </c>
      <c r="E281" s="29">
        <v>3203446759</v>
      </c>
      <c r="F281" s="28" t="s">
        <v>3186</v>
      </c>
      <c r="G281" s="28">
        <v>15516</v>
      </c>
      <c r="H281" s="28">
        <v>211</v>
      </c>
      <c r="I281" s="30">
        <v>6939213</v>
      </c>
      <c r="J281" s="34">
        <v>0</v>
      </c>
      <c r="K281" s="31">
        <v>0</v>
      </c>
      <c r="L281" s="31">
        <v>0</v>
      </c>
    </row>
    <row r="282" spans="1:12" x14ac:dyDescent="0.3">
      <c r="A282" s="28">
        <v>900547088</v>
      </c>
      <c r="B282" s="28"/>
      <c r="C282" s="28" t="s">
        <v>2517</v>
      </c>
      <c r="D282" s="28" t="s">
        <v>2863</v>
      </c>
      <c r="E282" s="29">
        <v>3143329610</v>
      </c>
      <c r="F282" s="28" t="s">
        <v>3187</v>
      </c>
      <c r="G282" s="28">
        <v>15516</v>
      </c>
      <c r="H282" s="28">
        <v>211</v>
      </c>
      <c r="I282" s="30">
        <v>107143</v>
      </c>
      <c r="J282" s="34">
        <v>0</v>
      </c>
      <c r="K282" s="31">
        <v>0</v>
      </c>
      <c r="L282" s="31">
        <v>0</v>
      </c>
    </row>
    <row r="283" spans="1:12" x14ac:dyDescent="0.3">
      <c r="A283" s="28">
        <v>900566540</v>
      </c>
      <c r="B283" s="28"/>
      <c r="C283" s="28" t="s">
        <v>2518</v>
      </c>
      <c r="D283" s="28" t="s">
        <v>2864</v>
      </c>
      <c r="E283" s="29">
        <v>3102537292</v>
      </c>
      <c r="F283" s="28" t="s">
        <v>3188</v>
      </c>
      <c r="G283" s="28">
        <v>15516</v>
      </c>
      <c r="H283" s="28">
        <v>211</v>
      </c>
      <c r="I283" s="30">
        <v>128571</v>
      </c>
      <c r="J283" s="34">
        <v>0</v>
      </c>
      <c r="K283" s="31">
        <v>0</v>
      </c>
      <c r="L283" s="31">
        <v>0</v>
      </c>
    </row>
    <row r="284" spans="1:12" x14ac:dyDescent="0.3">
      <c r="A284" s="28">
        <v>900571824</v>
      </c>
      <c r="B284" s="28"/>
      <c r="C284" s="28" t="s">
        <v>2519</v>
      </c>
      <c r="D284" s="28" t="s">
        <v>2865</v>
      </c>
      <c r="E284" s="29">
        <v>0</v>
      </c>
      <c r="F284" s="28" t="s">
        <v>3189</v>
      </c>
      <c r="G284" s="28">
        <v>15516</v>
      </c>
      <c r="H284" s="28">
        <v>211</v>
      </c>
      <c r="I284" s="30">
        <v>116807</v>
      </c>
      <c r="J284" s="34">
        <v>0</v>
      </c>
      <c r="K284" s="31">
        <v>0</v>
      </c>
      <c r="L284" s="31">
        <v>0</v>
      </c>
    </row>
    <row r="285" spans="1:12" x14ac:dyDescent="0.3">
      <c r="A285" s="28">
        <v>900589881</v>
      </c>
      <c r="B285" s="28"/>
      <c r="C285" s="28" t="s">
        <v>2520</v>
      </c>
      <c r="D285" s="28" t="s">
        <v>2697</v>
      </c>
      <c r="E285" s="29">
        <v>3103288256</v>
      </c>
      <c r="F285" s="28" t="s">
        <v>3190</v>
      </c>
      <c r="G285" s="28">
        <v>15516</v>
      </c>
      <c r="H285" s="28">
        <v>211</v>
      </c>
      <c r="I285" s="30">
        <v>348638</v>
      </c>
      <c r="J285" s="34">
        <v>0</v>
      </c>
      <c r="K285" s="31">
        <v>0</v>
      </c>
      <c r="L285" s="31">
        <v>0</v>
      </c>
    </row>
    <row r="286" spans="1:12" x14ac:dyDescent="0.3">
      <c r="A286" s="28">
        <v>900606403</v>
      </c>
      <c r="B286" s="28"/>
      <c r="C286" s="28" t="s">
        <v>2521</v>
      </c>
      <c r="D286" s="28" t="s">
        <v>2866</v>
      </c>
      <c r="E286" s="29">
        <v>3102662876</v>
      </c>
      <c r="F286" s="28" t="s">
        <v>3191</v>
      </c>
      <c r="G286" s="28">
        <v>15516</v>
      </c>
      <c r="H286" s="28">
        <v>211</v>
      </c>
      <c r="I286" s="30">
        <v>898320</v>
      </c>
      <c r="J286" s="34">
        <v>0</v>
      </c>
      <c r="K286" s="31">
        <v>0</v>
      </c>
      <c r="L286" s="31">
        <v>0</v>
      </c>
    </row>
    <row r="287" spans="1:12" x14ac:dyDescent="0.3">
      <c r="A287" s="28">
        <v>900652216</v>
      </c>
      <c r="B287" s="28"/>
      <c r="C287" s="28" t="s">
        <v>2522</v>
      </c>
      <c r="D287" s="28" t="s">
        <v>2867</v>
      </c>
      <c r="E287" s="29">
        <v>0</v>
      </c>
      <c r="F287" s="28" t="s">
        <v>3192</v>
      </c>
      <c r="G287" s="28">
        <v>15516</v>
      </c>
      <c r="H287" s="28">
        <v>211</v>
      </c>
      <c r="I287" s="30">
        <v>892914</v>
      </c>
      <c r="J287" s="34">
        <v>0</v>
      </c>
      <c r="K287" s="31">
        <v>0</v>
      </c>
      <c r="L287" s="31">
        <v>0</v>
      </c>
    </row>
    <row r="288" spans="1:12" x14ac:dyDescent="0.3">
      <c r="A288" s="28">
        <v>900663861</v>
      </c>
      <c r="B288" s="28"/>
      <c r="C288" s="28" t="s">
        <v>2523</v>
      </c>
      <c r="D288" s="28" t="s">
        <v>2868</v>
      </c>
      <c r="E288" s="29">
        <v>7852123</v>
      </c>
      <c r="F288" s="28" t="s">
        <v>3193</v>
      </c>
      <c r="G288" s="28">
        <v>15516</v>
      </c>
      <c r="H288" s="28">
        <v>211</v>
      </c>
      <c r="I288" s="30">
        <v>1045227</v>
      </c>
      <c r="J288" s="34">
        <v>0</v>
      </c>
      <c r="K288" s="31">
        <v>0</v>
      </c>
      <c r="L288" s="31">
        <v>0</v>
      </c>
    </row>
    <row r="289" spans="1:12" x14ac:dyDescent="0.3">
      <c r="A289" s="28">
        <v>900670330</v>
      </c>
      <c r="B289" s="28"/>
      <c r="C289" s="28" t="s">
        <v>2524</v>
      </c>
      <c r="D289" s="28" t="s">
        <v>2868</v>
      </c>
      <c r="E289" s="29">
        <v>3204428533</v>
      </c>
      <c r="F289" s="28" t="s">
        <v>3194</v>
      </c>
      <c r="G289" s="28">
        <v>15516</v>
      </c>
      <c r="H289" s="28">
        <v>211</v>
      </c>
      <c r="I289" s="30">
        <v>102521</v>
      </c>
      <c r="J289" s="34">
        <v>0</v>
      </c>
      <c r="K289" s="31">
        <v>0</v>
      </c>
      <c r="L289" s="31">
        <v>0</v>
      </c>
    </row>
    <row r="290" spans="1:12" x14ac:dyDescent="0.3">
      <c r="A290" s="28">
        <v>900743879</v>
      </c>
      <c r="B290" s="28"/>
      <c r="C290" s="28" t="s">
        <v>2525</v>
      </c>
      <c r="D290" s="28" t="s">
        <v>2869</v>
      </c>
      <c r="E290" s="29">
        <v>7850241</v>
      </c>
      <c r="F290" s="28" t="s">
        <v>3195</v>
      </c>
      <c r="G290" s="28">
        <v>15516</v>
      </c>
      <c r="H290" s="28">
        <v>211</v>
      </c>
      <c r="I290" s="30">
        <v>76471</v>
      </c>
      <c r="J290" s="34">
        <v>0</v>
      </c>
      <c r="K290" s="31">
        <v>0</v>
      </c>
      <c r="L290" s="31">
        <v>0</v>
      </c>
    </row>
    <row r="291" spans="1:12" x14ac:dyDescent="0.3">
      <c r="A291" s="28">
        <v>900758272</v>
      </c>
      <c r="B291" s="28"/>
      <c r="C291" s="28" t="s">
        <v>2526</v>
      </c>
      <c r="D291" s="28" t="s">
        <v>2870</v>
      </c>
      <c r="E291" s="29">
        <v>3002989686</v>
      </c>
      <c r="F291" s="28" t="s">
        <v>3196</v>
      </c>
      <c r="G291" s="28">
        <v>15516</v>
      </c>
      <c r="H291" s="28">
        <v>211</v>
      </c>
      <c r="I291" s="30">
        <v>2573665</v>
      </c>
      <c r="J291" s="34">
        <v>0</v>
      </c>
      <c r="K291" s="31">
        <v>0</v>
      </c>
      <c r="L291" s="31">
        <v>0</v>
      </c>
    </row>
    <row r="292" spans="1:12" x14ac:dyDescent="0.3">
      <c r="A292" s="28">
        <v>900775402</v>
      </c>
      <c r="B292" s="28"/>
      <c r="C292" s="28" t="s">
        <v>2527</v>
      </c>
      <c r="D292" s="28" t="s">
        <v>2871</v>
      </c>
      <c r="E292" s="29">
        <v>3125211170</v>
      </c>
      <c r="F292" s="28" t="s">
        <v>3197</v>
      </c>
      <c r="G292" s="28">
        <v>15516</v>
      </c>
      <c r="H292" s="28">
        <v>211</v>
      </c>
      <c r="I292" s="30">
        <v>189076</v>
      </c>
      <c r="J292" s="34">
        <v>0</v>
      </c>
      <c r="K292" s="31">
        <v>0</v>
      </c>
      <c r="L292" s="31">
        <v>0</v>
      </c>
    </row>
    <row r="293" spans="1:12" x14ac:dyDescent="0.3">
      <c r="A293" s="28">
        <v>900781373</v>
      </c>
      <c r="B293" s="28"/>
      <c r="C293" s="28" t="s">
        <v>2528</v>
      </c>
      <c r="D293" s="28" t="s">
        <v>2872</v>
      </c>
      <c r="E293" s="29">
        <v>3108194312</v>
      </c>
      <c r="F293" s="28" t="s">
        <v>3198</v>
      </c>
      <c r="G293" s="28">
        <v>15516</v>
      </c>
      <c r="H293" s="28">
        <v>211</v>
      </c>
      <c r="I293" s="30">
        <v>357143</v>
      </c>
      <c r="J293" s="34">
        <v>0</v>
      </c>
      <c r="K293" s="31">
        <v>0</v>
      </c>
      <c r="L293" s="31">
        <v>0</v>
      </c>
    </row>
    <row r="294" spans="1:12" x14ac:dyDescent="0.3">
      <c r="A294" s="28">
        <v>900784167</v>
      </c>
      <c r="B294" s="28"/>
      <c r="C294" s="28" t="s">
        <v>2529</v>
      </c>
      <c r="D294" s="28" t="s">
        <v>2873</v>
      </c>
      <c r="E294" s="29">
        <v>3112116499</v>
      </c>
      <c r="F294" s="28" t="s">
        <v>3199</v>
      </c>
      <c r="G294" s="28">
        <v>15516</v>
      </c>
      <c r="H294" s="28">
        <v>211</v>
      </c>
      <c r="I294" s="30">
        <v>639496</v>
      </c>
      <c r="J294" s="34">
        <v>0</v>
      </c>
      <c r="K294" s="31">
        <v>0</v>
      </c>
      <c r="L294" s="31">
        <v>0</v>
      </c>
    </row>
    <row r="295" spans="1:12" x14ac:dyDescent="0.3">
      <c r="A295" s="28">
        <v>900784269</v>
      </c>
      <c r="B295" s="28"/>
      <c r="C295" s="28" t="s">
        <v>2530</v>
      </c>
      <c r="D295" s="28" t="s">
        <v>2874</v>
      </c>
      <c r="E295" s="29">
        <v>3187911674</v>
      </c>
      <c r="F295" s="28" t="s">
        <v>3200</v>
      </c>
      <c r="G295" s="28">
        <v>15516</v>
      </c>
      <c r="H295" s="28">
        <v>211</v>
      </c>
      <c r="I295" s="30">
        <v>2394000</v>
      </c>
      <c r="J295" s="34">
        <v>0</v>
      </c>
      <c r="K295" s="31">
        <v>0</v>
      </c>
      <c r="L295" s="31">
        <v>0</v>
      </c>
    </row>
    <row r="296" spans="1:12" x14ac:dyDescent="0.3">
      <c r="A296" s="28">
        <v>900831284</v>
      </c>
      <c r="B296" s="28"/>
      <c r="C296" s="28" t="s">
        <v>2531</v>
      </c>
      <c r="D296" s="28" t="s">
        <v>2875</v>
      </c>
      <c r="E296" s="29">
        <v>3125636248</v>
      </c>
      <c r="F296" s="28" t="s">
        <v>3201</v>
      </c>
      <c r="G296" s="28">
        <v>15516</v>
      </c>
      <c r="H296" s="28">
        <v>211</v>
      </c>
      <c r="I296" s="30">
        <v>2103810</v>
      </c>
      <c r="J296" s="34">
        <v>0</v>
      </c>
      <c r="K296" s="31">
        <v>0</v>
      </c>
      <c r="L296" s="31">
        <v>0</v>
      </c>
    </row>
    <row r="297" spans="1:12" x14ac:dyDescent="0.3">
      <c r="A297" s="28">
        <v>900891195</v>
      </c>
      <c r="B297" s="28"/>
      <c r="C297" s="28" t="s">
        <v>2532</v>
      </c>
      <c r="D297" s="28" t="s">
        <v>2876</v>
      </c>
      <c r="E297" s="29">
        <v>3112600365</v>
      </c>
      <c r="F297" s="28" t="s">
        <v>3202</v>
      </c>
      <c r="G297" s="28">
        <v>15516</v>
      </c>
      <c r="H297" s="28">
        <v>211</v>
      </c>
      <c r="I297" s="30">
        <v>320874714</v>
      </c>
      <c r="J297" s="34">
        <v>0</v>
      </c>
      <c r="K297" s="31">
        <v>0</v>
      </c>
      <c r="L297" s="31">
        <v>0</v>
      </c>
    </row>
    <row r="298" spans="1:12" x14ac:dyDescent="0.3">
      <c r="A298" s="28">
        <v>900943413</v>
      </c>
      <c r="B298" s="28"/>
      <c r="C298" s="28" t="s">
        <v>2533</v>
      </c>
      <c r="D298" s="28" t="s">
        <v>2877</v>
      </c>
      <c r="E298" s="29">
        <v>2468960</v>
      </c>
      <c r="F298" s="28" t="s">
        <v>3203</v>
      </c>
      <c r="G298" s="28">
        <v>15516</v>
      </c>
      <c r="H298" s="28">
        <v>211</v>
      </c>
      <c r="I298" s="30">
        <v>305110</v>
      </c>
      <c r="J298" s="34">
        <v>0</v>
      </c>
      <c r="K298" s="31">
        <v>0</v>
      </c>
      <c r="L298" s="31">
        <v>0</v>
      </c>
    </row>
    <row r="299" spans="1:12" x14ac:dyDescent="0.3">
      <c r="A299" s="28">
        <v>900979634</v>
      </c>
      <c r="B299" s="28"/>
      <c r="C299" s="28" t="s">
        <v>2534</v>
      </c>
      <c r="D299" s="28" t="s">
        <v>2878</v>
      </c>
      <c r="E299" s="29">
        <v>7851186</v>
      </c>
      <c r="F299" s="28" t="s">
        <v>3204</v>
      </c>
      <c r="G299" s="28">
        <v>15516</v>
      </c>
      <c r="H299" s="28">
        <v>211</v>
      </c>
      <c r="I299" s="30">
        <f>457134-I300</f>
        <v>437134</v>
      </c>
      <c r="J299" s="34">
        <v>0</v>
      </c>
      <c r="K299" s="31">
        <v>0</v>
      </c>
      <c r="L299" s="31">
        <v>0</v>
      </c>
    </row>
    <row r="300" spans="1:12" x14ac:dyDescent="0.3">
      <c r="A300" s="28">
        <v>900979634</v>
      </c>
      <c r="B300" s="28"/>
      <c r="C300" s="28" t="s">
        <v>2534</v>
      </c>
      <c r="D300" s="28" t="s">
        <v>2878</v>
      </c>
      <c r="E300" s="29">
        <v>7851186</v>
      </c>
      <c r="F300" s="28" t="s">
        <v>3204</v>
      </c>
      <c r="G300" s="28">
        <v>15516</v>
      </c>
      <c r="H300" s="28">
        <v>301</v>
      </c>
      <c r="I300" s="30">
        <v>20000</v>
      </c>
      <c r="J300" s="34">
        <v>0</v>
      </c>
      <c r="K300" s="31">
        <v>0</v>
      </c>
      <c r="L300" s="31">
        <v>0</v>
      </c>
    </row>
    <row r="301" spans="1:12" x14ac:dyDescent="0.3">
      <c r="A301" s="28">
        <v>901023297</v>
      </c>
      <c r="B301" s="28"/>
      <c r="C301" s="28" t="s">
        <v>2535</v>
      </c>
      <c r="D301" s="28" t="s">
        <v>2879</v>
      </c>
      <c r="E301" s="29">
        <v>0</v>
      </c>
      <c r="F301" s="28" t="s">
        <v>3205</v>
      </c>
      <c r="G301" s="28">
        <v>15516</v>
      </c>
      <c r="H301" s="28">
        <v>211</v>
      </c>
      <c r="I301" s="30">
        <v>7038545</v>
      </c>
      <c r="J301" s="34">
        <v>0</v>
      </c>
      <c r="K301" s="31">
        <v>0</v>
      </c>
      <c r="L301" s="31">
        <v>0</v>
      </c>
    </row>
    <row r="302" spans="1:12" x14ac:dyDescent="0.3">
      <c r="A302" s="28">
        <v>901025175</v>
      </c>
      <c r="B302" s="28"/>
      <c r="C302" s="28" t="s">
        <v>2536</v>
      </c>
      <c r="D302" s="28" t="s">
        <v>2880</v>
      </c>
      <c r="E302" s="29">
        <v>3115337711</v>
      </c>
      <c r="F302" s="28" t="s">
        <v>3206</v>
      </c>
      <c r="G302" s="28">
        <v>15516</v>
      </c>
      <c r="H302" s="28">
        <v>211</v>
      </c>
      <c r="I302" s="30">
        <v>5728992</v>
      </c>
      <c r="J302" s="34">
        <v>5728992</v>
      </c>
      <c r="K302" s="31">
        <v>0</v>
      </c>
      <c r="L302" s="31">
        <v>0</v>
      </c>
    </row>
    <row r="303" spans="1:12" x14ac:dyDescent="0.3">
      <c r="A303" s="28">
        <v>901045251</v>
      </c>
      <c r="B303" s="28"/>
      <c r="C303" s="28" t="s">
        <v>2537</v>
      </c>
      <c r="D303" s="28" t="s">
        <v>2881</v>
      </c>
      <c r="E303" s="29">
        <v>3118203775</v>
      </c>
      <c r="F303" s="28" t="s">
        <v>3207</v>
      </c>
      <c r="G303" s="28">
        <v>15516</v>
      </c>
      <c r="H303" s="28">
        <v>211</v>
      </c>
      <c r="I303" s="30">
        <v>648739</v>
      </c>
      <c r="J303" s="34">
        <v>0</v>
      </c>
      <c r="K303" s="31">
        <v>0</v>
      </c>
      <c r="L303" s="31">
        <v>0</v>
      </c>
    </row>
    <row r="304" spans="1:12" x14ac:dyDescent="0.3">
      <c r="A304" s="28">
        <v>901045484</v>
      </c>
      <c r="B304" s="28"/>
      <c r="C304" s="28" t="s">
        <v>2538</v>
      </c>
      <c r="D304" s="28" t="s">
        <v>2882</v>
      </c>
      <c r="E304" s="29">
        <v>3133355028</v>
      </c>
      <c r="F304" s="28" t="s">
        <v>3208</v>
      </c>
      <c r="G304" s="28">
        <v>15516</v>
      </c>
      <c r="H304" s="28">
        <v>211</v>
      </c>
      <c r="I304" s="30">
        <v>779832</v>
      </c>
      <c r="J304" s="34">
        <v>0</v>
      </c>
      <c r="K304" s="31">
        <v>0</v>
      </c>
      <c r="L304" s="31">
        <v>0</v>
      </c>
    </row>
    <row r="305" spans="1:12" x14ac:dyDescent="0.3">
      <c r="A305" s="28">
        <v>901053635</v>
      </c>
      <c r="B305" s="28"/>
      <c r="C305" s="28" t="s">
        <v>2539</v>
      </c>
      <c r="D305" s="28" t="s">
        <v>2883</v>
      </c>
      <c r="E305" s="29">
        <v>3133077866</v>
      </c>
      <c r="F305" s="28" t="s">
        <v>3209</v>
      </c>
      <c r="G305" s="28">
        <v>15516</v>
      </c>
      <c r="H305" s="28">
        <v>211</v>
      </c>
      <c r="I305" s="30">
        <v>176471</v>
      </c>
      <c r="J305" s="34">
        <v>0</v>
      </c>
      <c r="K305" s="31">
        <v>0</v>
      </c>
      <c r="L305" s="31">
        <v>0</v>
      </c>
    </row>
    <row r="306" spans="1:12" x14ac:dyDescent="0.3">
      <c r="A306" s="28">
        <v>901063297</v>
      </c>
      <c r="B306" s="28"/>
      <c r="C306" s="28" t="s">
        <v>2540</v>
      </c>
      <c r="D306" s="28" t="s">
        <v>2884</v>
      </c>
      <c r="E306" s="29">
        <v>0</v>
      </c>
      <c r="F306" s="28" t="s">
        <v>3210</v>
      </c>
      <c r="G306" s="28">
        <v>15516</v>
      </c>
      <c r="H306" s="28">
        <v>211</v>
      </c>
      <c r="I306" s="30">
        <v>6021118</v>
      </c>
      <c r="J306" s="34">
        <v>0</v>
      </c>
      <c r="K306" s="31">
        <v>0</v>
      </c>
      <c r="L306" s="31">
        <v>0</v>
      </c>
    </row>
    <row r="307" spans="1:12" x14ac:dyDescent="0.3">
      <c r="A307" s="28">
        <v>901077189</v>
      </c>
      <c r="B307" s="28"/>
      <c r="C307" s="28" t="s">
        <v>2541</v>
      </c>
      <c r="D307" s="28" t="s">
        <v>2885</v>
      </c>
      <c r="E307" s="29">
        <v>3017942323</v>
      </c>
      <c r="F307" s="28" t="s">
        <v>3211</v>
      </c>
      <c r="G307" s="28">
        <v>15516</v>
      </c>
      <c r="H307" s="28">
        <v>211</v>
      </c>
      <c r="I307" s="30">
        <v>3825378</v>
      </c>
      <c r="J307" s="34">
        <v>0</v>
      </c>
      <c r="K307" s="31">
        <v>0</v>
      </c>
      <c r="L307" s="31">
        <v>0</v>
      </c>
    </row>
    <row r="308" spans="1:12" x14ac:dyDescent="0.3">
      <c r="A308" s="28">
        <v>901077189</v>
      </c>
      <c r="B308" s="28"/>
      <c r="C308" s="28" t="s">
        <v>2541</v>
      </c>
      <c r="D308" s="28" t="s">
        <v>2885</v>
      </c>
      <c r="E308" s="29">
        <v>3017942323</v>
      </c>
      <c r="F308" s="28" t="s">
        <v>3211</v>
      </c>
      <c r="G308" s="28">
        <v>15516</v>
      </c>
      <c r="H308" s="28">
        <v>301</v>
      </c>
      <c r="I308" s="30">
        <v>20000</v>
      </c>
      <c r="J308" s="34">
        <v>0</v>
      </c>
      <c r="K308" s="31">
        <v>0</v>
      </c>
      <c r="L308" s="31">
        <v>0</v>
      </c>
    </row>
    <row r="309" spans="1:12" x14ac:dyDescent="0.3">
      <c r="A309" s="28">
        <v>901081919</v>
      </c>
      <c r="B309" s="28"/>
      <c r="C309" s="28" t="s">
        <v>2542</v>
      </c>
      <c r="D309" s="28" t="s">
        <v>2886</v>
      </c>
      <c r="E309" s="29">
        <v>3202674706</v>
      </c>
      <c r="F309" s="28" t="s">
        <v>3212</v>
      </c>
      <c r="G309" s="28">
        <v>15516</v>
      </c>
      <c r="H309" s="28">
        <v>211</v>
      </c>
      <c r="I309" s="30">
        <v>4253780</v>
      </c>
      <c r="J309" s="34">
        <v>0</v>
      </c>
      <c r="K309" s="31">
        <v>0</v>
      </c>
      <c r="L309" s="31">
        <v>0</v>
      </c>
    </row>
    <row r="310" spans="1:12" x14ac:dyDescent="0.3">
      <c r="A310" s="28">
        <v>901084969</v>
      </c>
      <c r="B310" s="28"/>
      <c r="C310" s="28" t="s">
        <v>2543</v>
      </c>
      <c r="D310" s="28" t="s">
        <v>2887</v>
      </c>
      <c r="E310" s="29">
        <v>3226819136</v>
      </c>
      <c r="F310" s="28" t="s">
        <v>3213</v>
      </c>
      <c r="G310" s="28">
        <v>15516</v>
      </c>
      <c r="H310" s="28">
        <v>211</v>
      </c>
      <c r="I310" s="30">
        <v>943769</v>
      </c>
      <c r="J310" s="34">
        <v>0</v>
      </c>
      <c r="K310" s="31">
        <v>0</v>
      </c>
      <c r="L310" s="31">
        <v>0</v>
      </c>
    </row>
    <row r="311" spans="1:12" x14ac:dyDescent="0.3">
      <c r="A311" s="28">
        <v>901087468</v>
      </c>
      <c r="B311" s="28"/>
      <c r="C311" s="28" t="s">
        <v>2544</v>
      </c>
      <c r="D311" s="28" t="s">
        <v>2888</v>
      </c>
      <c r="E311" s="29">
        <v>3188032523</v>
      </c>
      <c r="F311" s="28" t="s">
        <v>3214</v>
      </c>
      <c r="G311" s="28">
        <v>15516</v>
      </c>
      <c r="H311" s="28">
        <v>211</v>
      </c>
      <c r="I311" s="30">
        <v>18235210</v>
      </c>
      <c r="J311" s="34">
        <v>0</v>
      </c>
      <c r="K311" s="31">
        <v>0</v>
      </c>
      <c r="L311" s="31">
        <v>0</v>
      </c>
    </row>
    <row r="312" spans="1:12" x14ac:dyDescent="0.3">
      <c r="A312" s="28">
        <v>901093385</v>
      </c>
      <c r="B312" s="28"/>
      <c r="C312" s="28" t="s">
        <v>2545</v>
      </c>
      <c r="D312" s="28" t="s">
        <v>2889</v>
      </c>
      <c r="E312" s="29">
        <v>3135767930</v>
      </c>
      <c r="F312" s="28" t="s">
        <v>3215</v>
      </c>
      <c r="G312" s="28">
        <v>15516</v>
      </c>
      <c r="H312" s="28">
        <v>211</v>
      </c>
      <c r="I312" s="30">
        <v>43929641</v>
      </c>
      <c r="J312" s="34">
        <v>0</v>
      </c>
      <c r="K312" s="31">
        <v>0</v>
      </c>
      <c r="L312" s="31">
        <v>0</v>
      </c>
    </row>
    <row r="313" spans="1:12" x14ac:dyDescent="0.3">
      <c r="A313" s="28">
        <v>901102011</v>
      </c>
      <c r="B313" s="28"/>
      <c r="C313" s="28" t="s">
        <v>2546</v>
      </c>
      <c r="D313" s="28" t="s">
        <v>2890</v>
      </c>
      <c r="E313" s="29">
        <v>3208453085</v>
      </c>
      <c r="F313" s="28" t="s">
        <v>3216</v>
      </c>
      <c r="G313" s="28">
        <v>15516</v>
      </c>
      <c r="H313" s="28">
        <v>211</v>
      </c>
      <c r="I313" s="30">
        <v>3457983</v>
      </c>
      <c r="J313" s="34">
        <v>0</v>
      </c>
      <c r="K313" s="31">
        <v>0</v>
      </c>
      <c r="L313" s="31">
        <v>0</v>
      </c>
    </row>
    <row r="314" spans="1:12" x14ac:dyDescent="0.3">
      <c r="A314" s="28">
        <v>901106206</v>
      </c>
      <c r="B314" s="28"/>
      <c r="C314" s="28" t="s">
        <v>2547</v>
      </c>
      <c r="D314" s="28" t="s">
        <v>2891</v>
      </c>
      <c r="E314" s="29">
        <v>3156265455</v>
      </c>
      <c r="F314" s="28" t="s">
        <v>3217</v>
      </c>
      <c r="G314" s="28">
        <v>15516</v>
      </c>
      <c r="H314" s="28">
        <v>211</v>
      </c>
      <c r="I314" s="30">
        <v>163025</v>
      </c>
      <c r="J314" s="34">
        <v>0</v>
      </c>
      <c r="K314" s="31">
        <v>0</v>
      </c>
      <c r="L314" s="31">
        <v>0</v>
      </c>
    </row>
    <row r="315" spans="1:12" x14ac:dyDescent="0.3">
      <c r="A315" s="28">
        <v>901128826</v>
      </c>
      <c r="B315" s="28"/>
      <c r="C315" s="28" t="s">
        <v>2548</v>
      </c>
      <c r="D315" s="28" t="s">
        <v>2830</v>
      </c>
      <c r="E315" s="29">
        <v>3204679942</v>
      </c>
      <c r="F315" s="28" t="s">
        <v>3218</v>
      </c>
      <c r="G315" s="28">
        <v>15516</v>
      </c>
      <c r="H315" s="28">
        <v>211</v>
      </c>
      <c r="I315" s="30">
        <v>3379866</v>
      </c>
      <c r="J315" s="34">
        <v>0</v>
      </c>
      <c r="K315" s="31">
        <v>0</v>
      </c>
      <c r="L315" s="31">
        <v>0</v>
      </c>
    </row>
    <row r="316" spans="1:12" x14ac:dyDescent="0.3">
      <c r="A316" s="28">
        <v>901165299</v>
      </c>
      <c r="B316" s="28"/>
      <c r="C316" s="28" t="s">
        <v>2549</v>
      </c>
      <c r="D316" s="28" t="s">
        <v>2892</v>
      </c>
      <c r="E316" s="29">
        <v>3208983770</v>
      </c>
      <c r="F316" s="28" t="s">
        <v>3219</v>
      </c>
      <c r="G316" s="28">
        <v>15516</v>
      </c>
      <c r="H316" s="28">
        <v>211</v>
      </c>
      <c r="I316" s="30">
        <v>186705</v>
      </c>
      <c r="J316" s="34">
        <v>0</v>
      </c>
      <c r="K316" s="31">
        <v>0</v>
      </c>
      <c r="L316" s="31">
        <v>0</v>
      </c>
    </row>
    <row r="317" spans="1:12" x14ac:dyDescent="0.3">
      <c r="A317" s="28">
        <v>901168483</v>
      </c>
      <c r="B317" s="28"/>
      <c r="C317" s="28" t="s">
        <v>2550</v>
      </c>
      <c r="D317" s="28" t="s">
        <v>2893</v>
      </c>
      <c r="E317" s="29">
        <v>3114511885</v>
      </c>
      <c r="F317" s="28" t="s">
        <v>3220</v>
      </c>
      <c r="G317" s="28">
        <v>15516</v>
      </c>
      <c r="H317" s="28">
        <v>211</v>
      </c>
      <c r="I317" s="30">
        <v>544193</v>
      </c>
      <c r="J317" s="34">
        <v>0</v>
      </c>
      <c r="K317" s="31">
        <v>0</v>
      </c>
      <c r="L317" s="31">
        <v>0</v>
      </c>
    </row>
    <row r="318" spans="1:12" x14ac:dyDescent="0.3">
      <c r="A318" s="28">
        <v>901169158</v>
      </c>
      <c r="B318" s="28"/>
      <c r="C318" s="28" t="s">
        <v>2551</v>
      </c>
      <c r="D318" s="28" t="s">
        <v>2894</v>
      </c>
      <c r="E318" s="29">
        <v>3107990236</v>
      </c>
      <c r="F318" s="28" t="s">
        <v>3221</v>
      </c>
      <c r="G318" s="28">
        <v>15516</v>
      </c>
      <c r="H318" s="28">
        <v>211</v>
      </c>
      <c r="I318" s="30">
        <v>23950</v>
      </c>
      <c r="J318" s="34">
        <v>0</v>
      </c>
      <c r="K318" s="31">
        <v>0</v>
      </c>
      <c r="L318" s="31">
        <v>0</v>
      </c>
    </row>
    <row r="319" spans="1:12" x14ac:dyDescent="0.3">
      <c r="A319" s="28">
        <v>9011884410</v>
      </c>
      <c r="B319" s="28"/>
      <c r="C319" s="28" t="s">
        <v>2552</v>
      </c>
      <c r="D319" s="28" t="s">
        <v>2895</v>
      </c>
      <c r="E319" s="29">
        <v>0</v>
      </c>
      <c r="F319" s="28" t="s">
        <v>3222</v>
      </c>
      <c r="G319" s="28">
        <v>15516</v>
      </c>
      <c r="H319" s="28">
        <v>211</v>
      </c>
      <c r="I319" s="30">
        <v>225017</v>
      </c>
      <c r="J319" s="34">
        <v>0</v>
      </c>
      <c r="K319" s="31">
        <v>0</v>
      </c>
      <c r="L319" s="31">
        <v>0</v>
      </c>
    </row>
    <row r="320" spans="1:12" x14ac:dyDescent="0.3">
      <c r="A320" s="28">
        <v>901194997</v>
      </c>
      <c r="B320" s="28"/>
      <c r="C320" s="28" t="s">
        <v>2553</v>
      </c>
      <c r="D320" s="28" t="s">
        <v>2896</v>
      </c>
      <c r="E320" s="29">
        <v>3209520588</v>
      </c>
      <c r="F320" s="28" t="s">
        <v>3223</v>
      </c>
      <c r="G320" s="28">
        <v>15516</v>
      </c>
      <c r="H320" s="28">
        <v>211</v>
      </c>
      <c r="I320" s="30">
        <v>164697</v>
      </c>
      <c r="J320" s="34">
        <v>0</v>
      </c>
      <c r="K320" s="31">
        <v>0</v>
      </c>
      <c r="L320" s="31">
        <v>0</v>
      </c>
    </row>
    <row r="321" spans="1:12" x14ac:dyDescent="0.3">
      <c r="A321" s="28">
        <v>901269151</v>
      </c>
      <c r="B321" s="28"/>
      <c r="C321" s="28" t="s">
        <v>2554</v>
      </c>
      <c r="D321" s="28" t="s">
        <v>2897</v>
      </c>
      <c r="E321" s="29">
        <v>3115694861</v>
      </c>
      <c r="F321" s="28" t="s">
        <v>3224</v>
      </c>
      <c r="G321" s="28">
        <v>15516</v>
      </c>
      <c r="H321" s="28">
        <v>211</v>
      </c>
      <c r="I321" s="30">
        <v>674790</v>
      </c>
      <c r="J321" s="34">
        <v>0</v>
      </c>
      <c r="K321" s="31">
        <v>0</v>
      </c>
      <c r="L321" s="31">
        <v>0</v>
      </c>
    </row>
    <row r="322" spans="1:12" x14ac:dyDescent="0.3">
      <c r="A322" s="28">
        <v>901270067</v>
      </c>
      <c r="B322" s="28"/>
      <c r="C322" s="28" t="s">
        <v>2555</v>
      </c>
      <c r="D322" s="28" t="s">
        <v>2898</v>
      </c>
      <c r="E322" s="29">
        <v>3107745780</v>
      </c>
      <c r="F322" s="28" t="s">
        <v>3225</v>
      </c>
      <c r="G322" s="28">
        <v>15516</v>
      </c>
      <c r="H322" s="28">
        <v>211</v>
      </c>
      <c r="I322" s="30">
        <v>523949</v>
      </c>
      <c r="J322" s="34">
        <v>0</v>
      </c>
      <c r="K322" s="31">
        <v>0</v>
      </c>
      <c r="L322" s="31">
        <v>0</v>
      </c>
    </row>
    <row r="323" spans="1:12" x14ac:dyDescent="0.3">
      <c r="A323" s="28">
        <v>901273859</v>
      </c>
      <c r="B323" s="28"/>
      <c r="C323" s="28" t="s">
        <v>2556</v>
      </c>
      <c r="D323" s="28" t="s">
        <v>2899</v>
      </c>
      <c r="E323" s="29">
        <v>3103489801</v>
      </c>
      <c r="F323" s="28" t="s">
        <v>3226</v>
      </c>
      <c r="G323" s="28">
        <v>15516</v>
      </c>
      <c r="H323" s="28">
        <v>211</v>
      </c>
      <c r="I323" s="30">
        <v>308824</v>
      </c>
      <c r="J323" s="34">
        <v>0</v>
      </c>
      <c r="K323" s="31">
        <v>0</v>
      </c>
      <c r="L323" s="31">
        <v>0</v>
      </c>
    </row>
    <row r="324" spans="1:12" x14ac:dyDescent="0.3">
      <c r="A324" s="28">
        <v>901284585</v>
      </c>
      <c r="B324" s="28"/>
      <c r="C324" s="28" t="s">
        <v>2557</v>
      </c>
      <c r="D324" s="28" t="s">
        <v>2900</v>
      </c>
      <c r="E324" s="29">
        <v>3133670211</v>
      </c>
      <c r="F324" s="28" t="s">
        <v>3227</v>
      </c>
      <c r="G324" s="28">
        <v>15516</v>
      </c>
      <c r="H324" s="28">
        <v>211</v>
      </c>
      <c r="I324" s="30">
        <v>32773</v>
      </c>
      <c r="J324" s="34">
        <v>0</v>
      </c>
      <c r="K324" s="31">
        <v>0</v>
      </c>
      <c r="L324" s="31">
        <v>0</v>
      </c>
    </row>
    <row r="325" spans="1:12" x14ac:dyDescent="0.3">
      <c r="A325" s="28">
        <v>901292536</v>
      </c>
      <c r="B325" s="28"/>
      <c r="C325" s="28" t="s">
        <v>2558</v>
      </c>
      <c r="D325" s="28" t="s">
        <v>2901</v>
      </c>
      <c r="E325" s="29">
        <v>3126350847</v>
      </c>
      <c r="F325" s="28" t="s">
        <v>3228</v>
      </c>
      <c r="G325" s="28">
        <v>15516</v>
      </c>
      <c r="H325" s="28">
        <v>211</v>
      </c>
      <c r="I325" s="30">
        <v>21008</v>
      </c>
      <c r="J325" s="34">
        <v>0</v>
      </c>
      <c r="K325" s="31">
        <v>0</v>
      </c>
      <c r="L325" s="31">
        <v>0</v>
      </c>
    </row>
    <row r="326" spans="1:12" x14ac:dyDescent="0.3">
      <c r="A326" s="28">
        <v>901304203</v>
      </c>
      <c r="B326" s="28"/>
      <c r="C326" s="28" t="s">
        <v>2559</v>
      </c>
      <c r="D326" s="28" t="s">
        <v>2902</v>
      </c>
      <c r="E326" s="29">
        <v>3112874482</v>
      </c>
      <c r="F326" s="28" t="s">
        <v>3229</v>
      </c>
      <c r="G326" s="28">
        <v>15516</v>
      </c>
      <c r="H326" s="28">
        <v>211</v>
      </c>
      <c r="I326" s="30">
        <v>2681513</v>
      </c>
      <c r="J326" s="34">
        <v>0</v>
      </c>
      <c r="K326" s="31">
        <v>0</v>
      </c>
      <c r="L326" s="31">
        <v>0</v>
      </c>
    </row>
    <row r="327" spans="1:12" x14ac:dyDescent="0.3">
      <c r="A327" s="28">
        <v>901312316</v>
      </c>
      <c r="B327" s="28"/>
      <c r="C327" s="28" t="s">
        <v>2560</v>
      </c>
      <c r="D327" s="28" t="s">
        <v>2903</v>
      </c>
      <c r="E327" s="29">
        <v>3227464595</v>
      </c>
      <c r="F327" s="28" t="s">
        <v>3230</v>
      </c>
      <c r="G327" s="28">
        <v>15516</v>
      </c>
      <c r="H327" s="28">
        <v>211</v>
      </c>
      <c r="I327" s="30">
        <v>446639</v>
      </c>
      <c r="J327" s="34">
        <v>0</v>
      </c>
      <c r="K327" s="31">
        <v>0</v>
      </c>
      <c r="L327" s="31">
        <v>0</v>
      </c>
    </row>
    <row r="328" spans="1:12" x14ac:dyDescent="0.3">
      <c r="A328" s="28">
        <v>901312948</v>
      </c>
      <c r="B328" s="28"/>
      <c r="C328" s="28" t="s">
        <v>2561</v>
      </c>
      <c r="D328" s="28" t="s">
        <v>2904</v>
      </c>
      <c r="E328" s="29">
        <v>3115281872</v>
      </c>
      <c r="F328" s="28" t="s">
        <v>3231</v>
      </c>
      <c r="G328" s="28">
        <v>15516</v>
      </c>
      <c r="H328" s="28">
        <v>211</v>
      </c>
      <c r="I328" s="30">
        <v>121008</v>
      </c>
      <c r="J328" s="34">
        <v>0</v>
      </c>
      <c r="K328" s="31">
        <v>0</v>
      </c>
      <c r="L328" s="31">
        <v>0</v>
      </c>
    </row>
    <row r="329" spans="1:12" x14ac:dyDescent="0.3">
      <c r="A329" s="28">
        <v>901324134</v>
      </c>
      <c r="B329" s="28"/>
      <c r="C329" s="28" t="s">
        <v>2562</v>
      </c>
      <c r="D329" s="28" t="s">
        <v>2905</v>
      </c>
      <c r="E329" s="29">
        <v>3112781317</v>
      </c>
      <c r="F329" s="28" t="s">
        <v>3232</v>
      </c>
      <c r="G329" s="28">
        <v>15516</v>
      </c>
      <c r="H329" s="28">
        <v>211</v>
      </c>
      <c r="I329" s="30">
        <v>213571</v>
      </c>
      <c r="J329" s="34">
        <v>0</v>
      </c>
      <c r="K329" s="31">
        <v>0</v>
      </c>
      <c r="L329" s="31">
        <v>0</v>
      </c>
    </row>
    <row r="330" spans="1:12" x14ac:dyDescent="0.3">
      <c r="A330" s="28">
        <v>901329647</v>
      </c>
      <c r="B330" s="28"/>
      <c r="C330" s="28" t="s">
        <v>2563</v>
      </c>
      <c r="D330" s="28" t="s">
        <v>2906</v>
      </c>
      <c r="E330" s="29">
        <v>7779429</v>
      </c>
      <c r="F330" s="28" t="s">
        <v>3233</v>
      </c>
      <c r="G330" s="28">
        <v>15516</v>
      </c>
      <c r="H330" s="28">
        <v>211</v>
      </c>
      <c r="I330" s="30">
        <f>17353981-I331</f>
        <v>17333981</v>
      </c>
      <c r="J330" s="34">
        <v>0</v>
      </c>
      <c r="K330" s="31">
        <v>0</v>
      </c>
      <c r="L330" s="31">
        <v>0</v>
      </c>
    </row>
    <row r="331" spans="1:12" x14ac:dyDescent="0.3">
      <c r="A331" s="28">
        <v>901329647</v>
      </c>
      <c r="B331" s="28"/>
      <c r="C331" s="28" t="s">
        <v>2563</v>
      </c>
      <c r="D331" s="28" t="s">
        <v>2906</v>
      </c>
      <c r="E331" s="29">
        <v>7779429</v>
      </c>
      <c r="F331" s="28" t="s">
        <v>3233</v>
      </c>
      <c r="G331" s="28">
        <v>15516</v>
      </c>
      <c r="H331" s="28">
        <v>301</v>
      </c>
      <c r="I331" s="30">
        <v>20000</v>
      </c>
      <c r="J331" s="34">
        <v>0</v>
      </c>
      <c r="K331" s="31">
        <v>0</v>
      </c>
      <c r="L331" s="31">
        <v>0</v>
      </c>
    </row>
    <row r="332" spans="1:12" x14ac:dyDescent="0.3">
      <c r="A332" s="28">
        <v>901332287</v>
      </c>
      <c r="B332" s="28"/>
      <c r="C332" s="28" t="s">
        <v>2564</v>
      </c>
      <c r="D332" s="28" t="s">
        <v>2907</v>
      </c>
      <c r="E332" s="29">
        <v>3202319890</v>
      </c>
      <c r="F332" s="28" t="s">
        <v>3234</v>
      </c>
      <c r="G332" s="28">
        <v>15516</v>
      </c>
      <c r="H332" s="28">
        <v>211</v>
      </c>
      <c r="I332" s="30">
        <v>779634</v>
      </c>
      <c r="J332" s="34">
        <v>0</v>
      </c>
      <c r="K332" s="31">
        <v>0</v>
      </c>
      <c r="L332" s="31">
        <v>0</v>
      </c>
    </row>
    <row r="333" spans="1:12" x14ac:dyDescent="0.3">
      <c r="A333" s="28">
        <v>901335652</v>
      </c>
      <c r="B333" s="28"/>
      <c r="C333" s="28" t="s">
        <v>2565</v>
      </c>
      <c r="D333" s="28" t="s">
        <v>2908</v>
      </c>
      <c r="E333" s="29">
        <v>3134307743</v>
      </c>
      <c r="F333" s="28" t="s">
        <v>3235</v>
      </c>
      <c r="G333" s="28">
        <v>15516</v>
      </c>
      <c r="H333" s="28">
        <v>211</v>
      </c>
      <c r="I333" s="30">
        <v>6988351</v>
      </c>
      <c r="J333" s="34">
        <v>0</v>
      </c>
      <c r="K333" s="31">
        <v>0</v>
      </c>
      <c r="L333" s="31">
        <v>0</v>
      </c>
    </row>
    <row r="334" spans="1:12" x14ac:dyDescent="0.3">
      <c r="A334" s="28">
        <v>901354322</v>
      </c>
      <c r="B334" s="28"/>
      <c r="C334" s="28" t="s">
        <v>2566</v>
      </c>
      <c r="D334" s="28" t="s">
        <v>2909</v>
      </c>
      <c r="E334" s="29">
        <v>3202344118</v>
      </c>
      <c r="F334" s="28" t="s">
        <v>3236</v>
      </c>
      <c r="G334" s="28">
        <v>15516</v>
      </c>
      <c r="H334" s="28">
        <v>211</v>
      </c>
      <c r="I334" s="30">
        <v>1759622</v>
      </c>
      <c r="J334" s="34">
        <v>0</v>
      </c>
      <c r="K334" s="31">
        <v>0</v>
      </c>
      <c r="L334" s="31">
        <v>0</v>
      </c>
    </row>
    <row r="335" spans="1:12" x14ac:dyDescent="0.3">
      <c r="A335" s="28">
        <v>901359965</v>
      </c>
      <c r="B335" s="28"/>
      <c r="C335" s="28" t="s">
        <v>2567</v>
      </c>
      <c r="D335" s="28" t="s">
        <v>2910</v>
      </c>
      <c r="E335" s="29">
        <v>3138302238</v>
      </c>
      <c r="F335" s="28" t="s">
        <v>3237</v>
      </c>
      <c r="G335" s="28">
        <v>15516</v>
      </c>
      <c r="H335" s="28">
        <v>211</v>
      </c>
      <c r="I335" s="30">
        <v>1444520</v>
      </c>
      <c r="J335" s="34">
        <v>0</v>
      </c>
      <c r="K335" s="31">
        <v>0</v>
      </c>
      <c r="L335" s="31">
        <v>0</v>
      </c>
    </row>
    <row r="336" spans="1:12" x14ac:dyDescent="0.3">
      <c r="A336" s="28">
        <v>901386391</v>
      </c>
      <c r="B336" s="28"/>
      <c r="C336" s="28" t="s">
        <v>2568</v>
      </c>
      <c r="D336" s="28" t="s">
        <v>2911</v>
      </c>
      <c r="E336" s="29">
        <v>3103193509</v>
      </c>
      <c r="F336" s="28" t="s">
        <v>3238</v>
      </c>
      <c r="G336" s="28">
        <v>15516</v>
      </c>
      <c r="H336" s="28">
        <v>211</v>
      </c>
      <c r="I336" s="30">
        <v>1178034</v>
      </c>
      <c r="J336" s="34">
        <v>0</v>
      </c>
      <c r="K336" s="31">
        <v>0</v>
      </c>
      <c r="L336" s="31">
        <v>0</v>
      </c>
    </row>
    <row r="337" spans="1:12" x14ac:dyDescent="0.3">
      <c r="A337" s="28">
        <v>901388967</v>
      </c>
      <c r="B337" s="28"/>
      <c r="C337" s="28" t="s">
        <v>2569</v>
      </c>
      <c r="D337" s="28" t="s">
        <v>2912</v>
      </c>
      <c r="E337" s="29">
        <v>3012190259</v>
      </c>
      <c r="F337" s="28" t="s">
        <v>3239</v>
      </c>
      <c r="G337" s="28">
        <v>15516</v>
      </c>
      <c r="H337" s="28">
        <v>211</v>
      </c>
      <c r="I337" s="30">
        <v>251261</v>
      </c>
      <c r="J337" s="34">
        <v>0</v>
      </c>
      <c r="K337" s="31">
        <v>0</v>
      </c>
      <c r="L337" s="31">
        <v>0</v>
      </c>
    </row>
    <row r="338" spans="1:12" x14ac:dyDescent="0.3">
      <c r="A338" s="28">
        <v>901398562</v>
      </c>
      <c r="B338" s="28"/>
      <c r="C338" s="28" t="s">
        <v>2570</v>
      </c>
      <c r="D338" s="28" t="s">
        <v>2913</v>
      </c>
      <c r="E338" s="29">
        <v>3105589878</v>
      </c>
      <c r="F338" s="28" t="s">
        <v>3240</v>
      </c>
      <c r="G338" s="28">
        <v>15516</v>
      </c>
      <c r="H338" s="28">
        <v>211</v>
      </c>
      <c r="I338" s="30">
        <v>3620524</v>
      </c>
      <c r="J338" s="34">
        <v>0</v>
      </c>
      <c r="K338" s="31">
        <v>0</v>
      </c>
      <c r="L338" s="31">
        <v>0</v>
      </c>
    </row>
    <row r="339" spans="1:12" x14ac:dyDescent="0.3">
      <c r="A339" s="28">
        <v>901402351</v>
      </c>
      <c r="B339" s="28"/>
      <c r="C339" s="28" t="s">
        <v>2571</v>
      </c>
      <c r="D339" s="28" t="s">
        <v>2914</v>
      </c>
      <c r="E339" s="29">
        <v>3042450659</v>
      </c>
      <c r="F339" s="28" t="s">
        <v>3241</v>
      </c>
      <c r="G339" s="28">
        <v>15516</v>
      </c>
      <c r="H339" s="28">
        <v>211</v>
      </c>
      <c r="I339" s="30">
        <v>398822</v>
      </c>
      <c r="J339" s="34">
        <v>0</v>
      </c>
      <c r="K339" s="31">
        <v>0</v>
      </c>
      <c r="L339" s="31">
        <v>0</v>
      </c>
    </row>
    <row r="340" spans="1:12" x14ac:dyDescent="0.3">
      <c r="A340" s="28">
        <v>901406674</v>
      </c>
      <c r="B340" s="28"/>
      <c r="C340" s="28" t="s">
        <v>2572</v>
      </c>
      <c r="D340" s="28" t="s">
        <v>2915</v>
      </c>
      <c r="E340" s="29">
        <v>3107560421</v>
      </c>
      <c r="F340" s="28" t="s">
        <v>3242</v>
      </c>
      <c r="G340" s="28">
        <v>15516</v>
      </c>
      <c r="H340" s="28">
        <v>211</v>
      </c>
      <c r="I340" s="30">
        <v>2059581</v>
      </c>
      <c r="J340" s="34">
        <v>0</v>
      </c>
      <c r="K340" s="31">
        <v>0</v>
      </c>
      <c r="L340" s="31">
        <v>0</v>
      </c>
    </row>
    <row r="341" spans="1:12" x14ac:dyDescent="0.3">
      <c r="A341" s="28">
        <v>901424892</v>
      </c>
      <c r="B341" s="28"/>
      <c r="C341" s="28" t="s">
        <v>2573</v>
      </c>
      <c r="D341" s="28" t="s">
        <v>2868</v>
      </c>
      <c r="E341" s="29">
        <v>7852123</v>
      </c>
      <c r="F341" s="28" t="s">
        <v>3193</v>
      </c>
      <c r="G341" s="28">
        <v>15516</v>
      </c>
      <c r="H341" s="28">
        <v>211</v>
      </c>
      <c r="I341" s="30">
        <v>121849</v>
      </c>
      <c r="J341" s="34">
        <v>0</v>
      </c>
      <c r="K341" s="31">
        <v>0</v>
      </c>
      <c r="L341" s="31">
        <v>0</v>
      </c>
    </row>
    <row r="342" spans="1:12" x14ac:dyDescent="0.3">
      <c r="A342" s="28">
        <v>901430727</v>
      </c>
      <c r="B342" s="28"/>
      <c r="C342" s="28" t="s">
        <v>2574</v>
      </c>
      <c r="D342" s="28" t="s">
        <v>2916</v>
      </c>
      <c r="E342" s="29">
        <v>3006758969</v>
      </c>
      <c r="F342" s="28" t="s">
        <v>3243</v>
      </c>
      <c r="G342" s="28">
        <v>15516</v>
      </c>
      <c r="H342" s="28">
        <v>211</v>
      </c>
      <c r="I342" s="30">
        <v>7852859</v>
      </c>
      <c r="J342" s="34">
        <v>2960505</v>
      </c>
      <c r="K342" s="31">
        <v>0</v>
      </c>
      <c r="L342" s="31">
        <v>0</v>
      </c>
    </row>
    <row r="343" spans="1:12" x14ac:dyDescent="0.3">
      <c r="A343" s="28">
        <v>901442364</v>
      </c>
      <c r="B343" s="28"/>
      <c r="C343" s="28" t="s">
        <v>2575</v>
      </c>
      <c r="D343" s="28" t="s">
        <v>2917</v>
      </c>
      <c r="E343" s="29">
        <v>3124489464</v>
      </c>
      <c r="F343" s="28" t="s">
        <v>3244</v>
      </c>
      <c r="G343" s="28">
        <v>15516</v>
      </c>
      <c r="H343" s="28">
        <v>211</v>
      </c>
      <c r="I343" s="30">
        <v>901092</v>
      </c>
      <c r="J343" s="34">
        <v>0</v>
      </c>
      <c r="K343" s="31">
        <v>0</v>
      </c>
      <c r="L343" s="31">
        <v>0</v>
      </c>
    </row>
    <row r="344" spans="1:12" x14ac:dyDescent="0.3">
      <c r="A344" s="28">
        <v>901442364</v>
      </c>
      <c r="B344" s="28"/>
      <c r="C344" s="28" t="s">
        <v>2575</v>
      </c>
      <c r="D344" s="28" t="s">
        <v>2917</v>
      </c>
      <c r="E344" s="29">
        <v>3124489464</v>
      </c>
      <c r="F344" s="28" t="s">
        <v>3244</v>
      </c>
      <c r="G344" s="28">
        <v>15516</v>
      </c>
      <c r="H344" s="28">
        <v>301</v>
      </c>
      <c r="I344" s="30">
        <v>30000</v>
      </c>
      <c r="J344" s="34">
        <v>0</v>
      </c>
      <c r="K344" s="31">
        <v>0</v>
      </c>
      <c r="L344" s="31">
        <v>0</v>
      </c>
    </row>
    <row r="345" spans="1:12" x14ac:dyDescent="0.3">
      <c r="A345" s="28">
        <v>901447174</v>
      </c>
      <c r="B345" s="28"/>
      <c r="C345" s="28" t="s">
        <v>2576</v>
      </c>
      <c r="D345" s="28" t="s">
        <v>2918</v>
      </c>
      <c r="E345" s="29">
        <v>3156290430</v>
      </c>
      <c r="F345" s="28" t="s">
        <v>3101</v>
      </c>
      <c r="G345" s="28">
        <v>15516</v>
      </c>
      <c r="H345" s="28">
        <v>211</v>
      </c>
      <c r="I345" s="30">
        <v>480000</v>
      </c>
      <c r="J345" s="34">
        <v>0</v>
      </c>
      <c r="K345" s="31">
        <v>0</v>
      </c>
      <c r="L345" s="31">
        <v>0</v>
      </c>
    </row>
    <row r="346" spans="1:12" x14ac:dyDescent="0.3">
      <c r="A346" s="28">
        <v>901469126</v>
      </c>
      <c r="B346" s="28"/>
      <c r="C346" s="28" t="s">
        <v>2577</v>
      </c>
      <c r="D346" s="28" t="s">
        <v>2919</v>
      </c>
      <c r="E346" s="29">
        <v>3507849991</v>
      </c>
      <c r="F346" s="28" t="s">
        <v>3245</v>
      </c>
      <c r="G346" s="28">
        <v>15516</v>
      </c>
      <c r="H346" s="28">
        <v>211</v>
      </c>
      <c r="I346" s="30">
        <v>2</v>
      </c>
      <c r="J346" s="34">
        <v>0</v>
      </c>
      <c r="K346" s="31">
        <v>0</v>
      </c>
      <c r="L346" s="31">
        <v>0</v>
      </c>
    </row>
    <row r="347" spans="1:12" x14ac:dyDescent="0.3">
      <c r="A347" s="28">
        <v>901473112</v>
      </c>
      <c r="B347" s="28"/>
      <c r="C347" s="28" t="s">
        <v>2578</v>
      </c>
      <c r="D347" s="28" t="s">
        <v>2920</v>
      </c>
      <c r="E347" s="29">
        <v>3102799564</v>
      </c>
      <c r="F347" s="28" t="s">
        <v>3246</v>
      </c>
      <c r="G347" s="28">
        <v>15516</v>
      </c>
      <c r="H347" s="28">
        <v>211</v>
      </c>
      <c r="I347" s="30">
        <v>11449647</v>
      </c>
      <c r="J347" s="34">
        <v>0</v>
      </c>
      <c r="K347" s="31">
        <v>0</v>
      </c>
      <c r="L347" s="31">
        <v>0</v>
      </c>
    </row>
    <row r="348" spans="1:12" x14ac:dyDescent="0.3">
      <c r="A348" s="28">
        <v>901473112</v>
      </c>
      <c r="B348" s="28"/>
      <c r="C348" s="28" t="s">
        <v>2578</v>
      </c>
      <c r="D348" s="28" t="s">
        <v>2920</v>
      </c>
      <c r="E348" s="29">
        <v>3102799564</v>
      </c>
      <c r="F348" s="28" t="s">
        <v>3246</v>
      </c>
      <c r="G348" s="28">
        <v>15516</v>
      </c>
      <c r="H348" s="28">
        <v>301</v>
      </c>
      <c r="I348" s="30">
        <v>20000</v>
      </c>
      <c r="J348" s="34">
        <v>0</v>
      </c>
      <c r="K348" s="31">
        <v>0</v>
      </c>
      <c r="L348" s="31">
        <v>0</v>
      </c>
    </row>
    <row r="349" spans="1:12" x14ac:dyDescent="0.3">
      <c r="A349" s="28">
        <v>901485881</v>
      </c>
      <c r="B349" s="28"/>
      <c r="C349" s="28" t="s">
        <v>2579</v>
      </c>
      <c r="D349" s="28" t="s">
        <v>2921</v>
      </c>
      <c r="E349" s="29">
        <v>3204431810</v>
      </c>
      <c r="F349" s="28" t="s">
        <v>3247</v>
      </c>
      <c r="G349" s="28">
        <v>15516</v>
      </c>
      <c r="H349" s="28">
        <v>211</v>
      </c>
      <c r="I349" s="30">
        <v>114571</v>
      </c>
      <c r="J349" s="34">
        <v>0</v>
      </c>
      <c r="K349" s="31">
        <v>0</v>
      </c>
      <c r="L349" s="31">
        <v>0</v>
      </c>
    </row>
    <row r="350" spans="1:12" x14ac:dyDescent="0.3">
      <c r="A350" s="28">
        <v>901511836</v>
      </c>
      <c r="B350" s="28"/>
      <c r="C350" s="28" t="s">
        <v>2580</v>
      </c>
      <c r="D350" s="28" t="s">
        <v>2922</v>
      </c>
      <c r="E350" s="29">
        <v>3174309196</v>
      </c>
      <c r="F350" s="28" t="s">
        <v>3248</v>
      </c>
      <c r="G350" s="28">
        <v>15516</v>
      </c>
      <c r="H350" s="28">
        <v>211</v>
      </c>
      <c r="I350" s="30">
        <v>988235</v>
      </c>
      <c r="J350" s="34">
        <v>0</v>
      </c>
      <c r="K350" s="31">
        <v>0</v>
      </c>
      <c r="L350" s="31">
        <v>0</v>
      </c>
    </row>
    <row r="351" spans="1:12" x14ac:dyDescent="0.3">
      <c r="A351" s="28">
        <v>901511836</v>
      </c>
      <c r="B351" s="28"/>
      <c r="C351" s="28" t="s">
        <v>2580</v>
      </c>
      <c r="D351" s="28" t="s">
        <v>2922</v>
      </c>
      <c r="E351" s="29">
        <v>3174309196</v>
      </c>
      <c r="F351" s="28" t="s">
        <v>3248</v>
      </c>
      <c r="G351" s="28">
        <v>15516</v>
      </c>
      <c r="H351" s="28">
        <v>301</v>
      </c>
      <c r="I351" s="30">
        <v>30000</v>
      </c>
      <c r="J351" s="34">
        <v>0</v>
      </c>
      <c r="K351" s="31">
        <v>0</v>
      </c>
      <c r="L351" s="31">
        <v>0</v>
      </c>
    </row>
    <row r="352" spans="1:12" x14ac:dyDescent="0.3">
      <c r="A352" s="28">
        <v>901520727</v>
      </c>
      <c r="B352" s="28"/>
      <c r="C352" s="28" t="s">
        <v>2581</v>
      </c>
      <c r="D352" s="28" t="s">
        <v>2923</v>
      </c>
      <c r="E352" s="29">
        <v>3212151499</v>
      </c>
      <c r="F352" s="28" t="s">
        <v>2976</v>
      </c>
      <c r="G352" s="28">
        <v>15516</v>
      </c>
      <c r="H352" s="28">
        <v>211</v>
      </c>
      <c r="I352" s="30">
        <v>680537</v>
      </c>
      <c r="J352" s="34">
        <v>0</v>
      </c>
      <c r="K352" s="31">
        <v>0</v>
      </c>
      <c r="L352" s="31">
        <v>0</v>
      </c>
    </row>
    <row r="353" spans="1:12" x14ac:dyDescent="0.3">
      <c r="A353" s="28">
        <v>901521597</v>
      </c>
      <c r="B353" s="28"/>
      <c r="C353" s="28" t="s">
        <v>2582</v>
      </c>
      <c r="D353" s="28" t="s">
        <v>2924</v>
      </c>
      <c r="E353" s="29">
        <v>3106476987</v>
      </c>
      <c r="F353" s="28" t="s">
        <v>3249</v>
      </c>
      <c r="G353" s="28">
        <v>15516</v>
      </c>
      <c r="H353" s="28">
        <v>211</v>
      </c>
      <c r="I353" s="30">
        <v>19605</v>
      </c>
      <c r="J353" s="34">
        <v>0</v>
      </c>
      <c r="K353" s="31">
        <v>0</v>
      </c>
      <c r="L353" s="31">
        <v>0</v>
      </c>
    </row>
    <row r="354" spans="1:12" x14ac:dyDescent="0.3">
      <c r="A354" s="28">
        <v>901523946</v>
      </c>
      <c r="B354" s="28"/>
      <c r="C354" s="28" t="s">
        <v>2583</v>
      </c>
      <c r="D354" s="28" t="s">
        <v>2925</v>
      </c>
      <c r="E354" s="29">
        <v>3166934633</v>
      </c>
      <c r="F354" s="28" t="s">
        <v>3250</v>
      </c>
      <c r="G354" s="28">
        <v>15516</v>
      </c>
      <c r="H354" s="28">
        <v>211</v>
      </c>
      <c r="I354" s="30">
        <v>4751892</v>
      </c>
      <c r="J354" s="34">
        <v>0</v>
      </c>
      <c r="K354" s="31">
        <v>0</v>
      </c>
      <c r="L354" s="31">
        <v>0</v>
      </c>
    </row>
    <row r="355" spans="1:12" x14ac:dyDescent="0.3">
      <c r="A355" s="28">
        <v>901536601</v>
      </c>
      <c r="B355" s="28"/>
      <c r="C355" s="28" t="s">
        <v>2584</v>
      </c>
      <c r="D355" s="28" t="s">
        <v>2926</v>
      </c>
      <c r="E355" s="29">
        <v>0</v>
      </c>
      <c r="F355" s="28" t="s">
        <v>3251</v>
      </c>
      <c r="G355" s="28">
        <v>15516</v>
      </c>
      <c r="H355" s="28">
        <v>211</v>
      </c>
      <c r="I355" s="30">
        <v>13556765</v>
      </c>
      <c r="J355" s="34">
        <v>2268908</v>
      </c>
      <c r="K355" s="31">
        <v>0</v>
      </c>
      <c r="L355" s="31">
        <v>0</v>
      </c>
    </row>
    <row r="356" spans="1:12" x14ac:dyDescent="0.3">
      <c r="A356" s="28">
        <v>901537788</v>
      </c>
      <c r="B356" s="28"/>
      <c r="C356" s="28" t="s">
        <v>2585</v>
      </c>
      <c r="D356" s="28" t="s">
        <v>2927</v>
      </c>
      <c r="E356" s="29">
        <v>3114896270</v>
      </c>
      <c r="F356" s="28" t="s">
        <v>3033</v>
      </c>
      <c r="G356" s="28">
        <v>15516</v>
      </c>
      <c r="H356" s="28">
        <v>211</v>
      </c>
      <c r="I356" s="30">
        <v>3921041</v>
      </c>
      <c r="J356" s="34">
        <v>0</v>
      </c>
      <c r="K356" s="31">
        <v>0</v>
      </c>
      <c r="L356" s="31">
        <v>0</v>
      </c>
    </row>
    <row r="357" spans="1:12" x14ac:dyDescent="0.3">
      <c r="A357" s="28">
        <v>901551784</v>
      </c>
      <c r="B357" s="28"/>
      <c r="C357" s="28" t="s">
        <v>2586</v>
      </c>
      <c r="D357" s="28" t="s">
        <v>2928</v>
      </c>
      <c r="E357" s="29">
        <v>3153952056</v>
      </c>
      <c r="F357" s="28" t="s">
        <v>3252</v>
      </c>
      <c r="G357" s="28">
        <v>15516</v>
      </c>
      <c r="H357" s="28">
        <v>211</v>
      </c>
      <c r="I357" s="30">
        <v>873950</v>
      </c>
      <c r="J357" s="34">
        <v>0</v>
      </c>
      <c r="K357" s="31">
        <v>0</v>
      </c>
      <c r="L357" s="31">
        <v>0</v>
      </c>
    </row>
    <row r="358" spans="1:12" x14ac:dyDescent="0.3">
      <c r="A358" s="28">
        <v>901551792</v>
      </c>
      <c r="B358" s="28"/>
      <c r="C358" s="28" t="s">
        <v>2587</v>
      </c>
      <c r="D358" s="28" t="s">
        <v>2929</v>
      </c>
      <c r="E358" s="29">
        <v>3122879248</v>
      </c>
      <c r="F358" s="28" t="s">
        <v>3252</v>
      </c>
      <c r="G358" s="28">
        <v>15516</v>
      </c>
      <c r="H358" s="28">
        <v>211</v>
      </c>
      <c r="I358" s="30">
        <v>1248093</v>
      </c>
      <c r="J358" s="34">
        <v>0</v>
      </c>
      <c r="K358" s="31">
        <v>0</v>
      </c>
      <c r="L358" s="31">
        <v>0</v>
      </c>
    </row>
    <row r="359" spans="1:12" x14ac:dyDescent="0.3">
      <c r="A359" s="28">
        <v>901572753</v>
      </c>
      <c r="B359" s="28"/>
      <c r="C359" s="28" t="s">
        <v>2588</v>
      </c>
      <c r="D359" s="28" t="s">
        <v>2930</v>
      </c>
      <c r="E359" s="29">
        <v>3204413722</v>
      </c>
      <c r="F359" s="28" t="s">
        <v>3253</v>
      </c>
      <c r="G359" s="28">
        <v>15516</v>
      </c>
      <c r="H359" s="28">
        <v>211</v>
      </c>
      <c r="I359" s="30">
        <v>6745501</v>
      </c>
      <c r="J359" s="34">
        <v>0</v>
      </c>
      <c r="K359" s="31">
        <v>0</v>
      </c>
      <c r="L359" s="31">
        <v>0</v>
      </c>
    </row>
    <row r="360" spans="1:12" x14ac:dyDescent="0.3">
      <c r="A360" s="28">
        <v>901573440</v>
      </c>
      <c r="B360" s="28"/>
      <c r="C360" s="28" t="s">
        <v>2589</v>
      </c>
      <c r="D360" s="28" t="s">
        <v>2931</v>
      </c>
      <c r="E360" s="29">
        <v>3164501924</v>
      </c>
      <c r="F360" s="28" t="s">
        <v>3254</v>
      </c>
      <c r="G360" s="28">
        <v>15516</v>
      </c>
      <c r="H360" s="28">
        <v>211</v>
      </c>
      <c r="I360" s="30">
        <v>631849</v>
      </c>
      <c r="J360" s="34">
        <v>0</v>
      </c>
      <c r="K360" s="31">
        <v>0</v>
      </c>
      <c r="L360" s="31">
        <v>0</v>
      </c>
    </row>
    <row r="361" spans="1:12" x14ac:dyDescent="0.3">
      <c r="A361" s="28">
        <v>901575466</v>
      </c>
      <c r="B361" s="28"/>
      <c r="C361" s="28" t="s">
        <v>2590</v>
      </c>
      <c r="D361" s="28" t="s">
        <v>2932</v>
      </c>
      <c r="E361" s="29">
        <v>3204001667</v>
      </c>
      <c r="F361" s="28" t="s">
        <v>3255</v>
      </c>
      <c r="G361" s="28">
        <v>15516</v>
      </c>
      <c r="H361" s="28">
        <v>211</v>
      </c>
      <c r="I361" s="30">
        <v>1840865</v>
      </c>
      <c r="J361" s="34">
        <v>0</v>
      </c>
      <c r="K361" s="31">
        <v>0</v>
      </c>
      <c r="L361" s="31">
        <v>0</v>
      </c>
    </row>
    <row r="362" spans="1:12" x14ac:dyDescent="0.3">
      <c r="A362" s="28">
        <v>901582583</v>
      </c>
      <c r="B362" s="28"/>
      <c r="C362" s="28" t="s">
        <v>2591</v>
      </c>
      <c r="D362" s="28" t="s">
        <v>2933</v>
      </c>
      <c r="E362" s="29">
        <v>3045376049</v>
      </c>
      <c r="F362" s="28" t="s">
        <v>3256</v>
      </c>
      <c r="G362" s="28">
        <v>15516</v>
      </c>
      <c r="H362" s="28">
        <v>211</v>
      </c>
      <c r="I362" s="30">
        <v>351647</v>
      </c>
      <c r="J362" s="34">
        <v>0</v>
      </c>
      <c r="K362" s="31">
        <v>0</v>
      </c>
      <c r="L362" s="31">
        <v>0</v>
      </c>
    </row>
    <row r="363" spans="1:12" x14ac:dyDescent="0.3">
      <c r="A363" s="28">
        <v>901584775</v>
      </c>
      <c r="B363" s="28"/>
      <c r="C363" s="28" t="s">
        <v>2592</v>
      </c>
      <c r="D363" s="28" t="s">
        <v>2934</v>
      </c>
      <c r="E363" s="29">
        <v>3212068667</v>
      </c>
      <c r="F363" s="28" t="s">
        <v>3257</v>
      </c>
      <c r="G363" s="28">
        <v>15516</v>
      </c>
      <c r="H363" s="28">
        <v>211</v>
      </c>
      <c r="I363" s="30">
        <v>172269</v>
      </c>
      <c r="J363" s="34">
        <v>0</v>
      </c>
      <c r="K363" s="31">
        <v>0</v>
      </c>
      <c r="L363" s="31">
        <v>0</v>
      </c>
    </row>
    <row r="364" spans="1:12" x14ac:dyDescent="0.3">
      <c r="A364" s="28">
        <v>901602015</v>
      </c>
      <c r="B364" s="28"/>
      <c r="C364" s="28" t="s">
        <v>2593</v>
      </c>
      <c r="D364" s="28" t="s">
        <v>2935</v>
      </c>
      <c r="E364" s="29">
        <v>3233223985</v>
      </c>
      <c r="F364" s="28" t="s">
        <v>3258</v>
      </c>
      <c r="G364" s="28">
        <v>15516</v>
      </c>
      <c r="H364" s="28">
        <v>211</v>
      </c>
      <c r="I364" s="30">
        <v>2206555</v>
      </c>
      <c r="J364" s="34">
        <v>1096975</v>
      </c>
      <c r="K364" s="31">
        <v>0</v>
      </c>
      <c r="L364" s="31">
        <v>0</v>
      </c>
    </row>
    <row r="365" spans="1:12" x14ac:dyDescent="0.3">
      <c r="A365" s="28">
        <v>901607049</v>
      </c>
      <c r="B365" s="28"/>
      <c r="C365" s="28" t="s">
        <v>2594</v>
      </c>
      <c r="D365" s="28" t="s">
        <v>2936</v>
      </c>
      <c r="E365" s="29">
        <v>6015307360</v>
      </c>
      <c r="F365" s="28" t="s">
        <v>3259</v>
      </c>
      <c r="G365" s="28">
        <v>15516</v>
      </c>
      <c r="H365" s="28">
        <v>211</v>
      </c>
      <c r="I365" s="30">
        <v>88655</v>
      </c>
      <c r="J365" s="34">
        <v>0</v>
      </c>
      <c r="K365" s="31">
        <v>0</v>
      </c>
      <c r="L365" s="31">
        <v>0</v>
      </c>
    </row>
    <row r="366" spans="1:12" x14ac:dyDescent="0.3">
      <c r="A366" s="28">
        <v>901633276</v>
      </c>
      <c r="B366" s="28"/>
      <c r="C366" s="28" t="s">
        <v>2595</v>
      </c>
      <c r="D366" s="28" t="s">
        <v>2937</v>
      </c>
      <c r="E366" s="29">
        <v>3006000100</v>
      </c>
      <c r="F366" s="28" t="s">
        <v>3260</v>
      </c>
      <c r="G366" s="28">
        <v>15516</v>
      </c>
      <c r="H366" s="28">
        <v>211</v>
      </c>
      <c r="I366" s="30">
        <v>5262</v>
      </c>
      <c r="J366" s="34">
        <v>0</v>
      </c>
      <c r="K366" s="31">
        <v>0</v>
      </c>
      <c r="L366" s="31">
        <v>0</v>
      </c>
    </row>
    <row r="367" spans="1:12" x14ac:dyDescent="0.3">
      <c r="A367" s="28">
        <v>901635877</v>
      </c>
      <c r="B367" s="28"/>
      <c r="C367" s="28" t="s">
        <v>2596</v>
      </c>
      <c r="D367" s="28" t="s">
        <v>2938</v>
      </c>
      <c r="E367" s="28">
        <v>3142044440</v>
      </c>
      <c r="F367" s="28" t="s">
        <v>3261</v>
      </c>
      <c r="G367" s="28">
        <v>15516</v>
      </c>
      <c r="H367" s="28">
        <v>211</v>
      </c>
      <c r="I367" s="30">
        <v>251261</v>
      </c>
      <c r="J367" s="34">
        <v>0</v>
      </c>
      <c r="K367" s="31">
        <v>0</v>
      </c>
      <c r="L367" s="31">
        <v>0</v>
      </c>
    </row>
    <row r="368" spans="1:12" x14ac:dyDescent="0.3">
      <c r="A368" s="28">
        <v>90166</v>
      </c>
      <c r="B368" s="28"/>
      <c r="C368" s="28" t="s">
        <v>2597</v>
      </c>
      <c r="D368" s="28" t="s">
        <v>2939</v>
      </c>
      <c r="E368" s="29">
        <v>3204679942</v>
      </c>
      <c r="F368" s="28" t="s">
        <v>3262</v>
      </c>
      <c r="G368" s="28">
        <v>15516</v>
      </c>
      <c r="H368" s="28">
        <v>211</v>
      </c>
      <c r="I368" s="30">
        <v>1012185</v>
      </c>
      <c r="J368" s="34">
        <v>0</v>
      </c>
      <c r="K368" s="31">
        <v>0</v>
      </c>
      <c r="L368" s="31">
        <v>0</v>
      </c>
    </row>
    <row r="369" spans="1:12" x14ac:dyDescent="0.3">
      <c r="A369" s="28">
        <v>901662589</v>
      </c>
      <c r="B369" s="28"/>
      <c r="C369" s="28" t="s">
        <v>2598</v>
      </c>
      <c r="D369" s="28" t="s">
        <v>2940</v>
      </c>
      <c r="E369" s="29"/>
      <c r="F369" s="28" t="s">
        <v>3263</v>
      </c>
      <c r="G369" s="28">
        <v>15516</v>
      </c>
      <c r="H369" s="28">
        <v>211</v>
      </c>
      <c r="I369" s="30">
        <v>33630</v>
      </c>
      <c r="J369" s="34">
        <v>0</v>
      </c>
      <c r="K369" s="31">
        <v>0</v>
      </c>
      <c r="L369" s="31">
        <v>0</v>
      </c>
    </row>
    <row r="370" spans="1:12" x14ac:dyDescent="0.3">
      <c r="A370" s="28">
        <v>901680482</v>
      </c>
      <c r="B370" s="28"/>
      <c r="C370" s="28" t="s">
        <v>2599</v>
      </c>
      <c r="D370" s="28" t="s">
        <v>2941</v>
      </c>
      <c r="E370" s="29">
        <v>3115646501</v>
      </c>
      <c r="F370" s="28" t="s">
        <v>3264</v>
      </c>
      <c r="G370" s="28">
        <v>15516</v>
      </c>
      <c r="H370" s="28">
        <v>211</v>
      </c>
      <c r="I370" s="30">
        <v>29412</v>
      </c>
      <c r="J370" s="34">
        <v>0</v>
      </c>
      <c r="K370" s="31">
        <v>0</v>
      </c>
      <c r="L370" s="31">
        <v>0</v>
      </c>
    </row>
    <row r="371" spans="1:12" x14ac:dyDescent="0.3">
      <c r="A371" s="28">
        <v>901683944</v>
      </c>
      <c r="B371" s="28"/>
      <c r="C371" s="28" t="s">
        <v>2600</v>
      </c>
      <c r="D371" s="28" t="s">
        <v>2942</v>
      </c>
      <c r="E371" s="29"/>
      <c r="F371" s="28" t="s">
        <v>2964</v>
      </c>
      <c r="G371" s="28">
        <v>15516</v>
      </c>
      <c r="H371" s="28">
        <v>211</v>
      </c>
      <c r="I371" s="30">
        <v>1526891</v>
      </c>
      <c r="J371" s="34">
        <v>0</v>
      </c>
      <c r="K371" s="31">
        <v>0</v>
      </c>
      <c r="L371" s="31">
        <v>0</v>
      </c>
    </row>
    <row r="372" spans="1:12" x14ac:dyDescent="0.3">
      <c r="A372" s="28">
        <v>901697281</v>
      </c>
      <c r="B372" s="28"/>
      <c r="C372" s="28" t="s">
        <v>2601</v>
      </c>
      <c r="D372" s="28" t="s">
        <v>2943</v>
      </c>
      <c r="E372" s="29"/>
      <c r="F372" s="28" t="s">
        <v>3265</v>
      </c>
      <c r="G372" s="28">
        <v>15516</v>
      </c>
      <c r="H372" s="28">
        <v>211</v>
      </c>
      <c r="I372" s="30">
        <v>864038</v>
      </c>
      <c r="J372" s="34">
        <v>0</v>
      </c>
      <c r="K372" s="31">
        <v>0</v>
      </c>
      <c r="L372" s="31">
        <v>0</v>
      </c>
    </row>
    <row r="373" spans="1:12" x14ac:dyDescent="0.3">
      <c r="A373" s="28">
        <v>901699837</v>
      </c>
      <c r="B373" s="28"/>
      <c r="C373" s="28" t="s">
        <v>2602</v>
      </c>
      <c r="D373" s="28" t="s">
        <v>2944</v>
      </c>
      <c r="E373" s="29">
        <v>3208770325</v>
      </c>
      <c r="F373" s="28" t="s">
        <v>3266</v>
      </c>
      <c r="G373" s="28">
        <v>15516</v>
      </c>
      <c r="H373" s="28">
        <v>211</v>
      </c>
      <c r="I373" s="30">
        <v>397479</v>
      </c>
      <c r="J373" s="34">
        <v>0</v>
      </c>
      <c r="K373" s="31">
        <v>0</v>
      </c>
      <c r="L373" s="31">
        <v>0</v>
      </c>
    </row>
    <row r="374" spans="1:12" x14ac:dyDescent="0.3">
      <c r="A374" s="28">
        <v>901709777</v>
      </c>
      <c r="B374" s="28"/>
      <c r="C374" s="28" t="s">
        <v>2603</v>
      </c>
      <c r="D374" s="28" t="s">
        <v>2945</v>
      </c>
      <c r="E374" s="29">
        <v>3188673108</v>
      </c>
      <c r="F374" s="28" t="s">
        <v>3267</v>
      </c>
      <c r="G374" s="28">
        <v>15516</v>
      </c>
      <c r="H374" s="28">
        <v>211</v>
      </c>
      <c r="I374" s="30">
        <v>265546</v>
      </c>
      <c r="J374" s="34">
        <v>0</v>
      </c>
      <c r="K374" s="31">
        <v>0</v>
      </c>
      <c r="L374" s="31">
        <v>0</v>
      </c>
    </row>
    <row r="375" spans="1:12" x14ac:dyDescent="0.3">
      <c r="A375" s="28">
        <v>901736061</v>
      </c>
      <c r="B375" s="28"/>
      <c r="C375" s="28" t="s">
        <v>2604</v>
      </c>
      <c r="D375" s="28" t="s">
        <v>2946</v>
      </c>
      <c r="E375" s="29">
        <v>3178754803</v>
      </c>
      <c r="F375" s="28" t="s">
        <v>3268</v>
      </c>
      <c r="G375" s="28">
        <v>15516</v>
      </c>
      <c r="H375" s="28">
        <v>211</v>
      </c>
      <c r="I375" s="30">
        <v>183887</v>
      </c>
      <c r="J375" s="34">
        <v>0</v>
      </c>
      <c r="K375" s="31">
        <v>0</v>
      </c>
      <c r="L375" s="31">
        <v>0</v>
      </c>
    </row>
    <row r="376" spans="1:12" x14ac:dyDescent="0.3">
      <c r="A376" s="28">
        <v>901741379</v>
      </c>
      <c r="B376" s="28"/>
      <c r="C376" s="28" t="s">
        <v>2605</v>
      </c>
      <c r="D376" s="28" t="s">
        <v>2947</v>
      </c>
      <c r="E376" s="29">
        <v>3212591771</v>
      </c>
      <c r="F376" s="28" t="s">
        <v>3269</v>
      </c>
      <c r="G376" s="28">
        <v>15516</v>
      </c>
      <c r="H376" s="28">
        <v>211</v>
      </c>
      <c r="I376" s="30">
        <v>1263865</v>
      </c>
      <c r="J376" s="34">
        <v>0</v>
      </c>
      <c r="K376" s="31">
        <v>0</v>
      </c>
      <c r="L376" s="31">
        <v>0</v>
      </c>
    </row>
    <row r="377" spans="1:12" x14ac:dyDescent="0.3">
      <c r="A377" s="28">
        <v>901759089</v>
      </c>
      <c r="B377" s="28"/>
      <c r="C377" s="28" t="s">
        <v>2606</v>
      </c>
      <c r="D377" s="28" t="s">
        <v>2948</v>
      </c>
      <c r="E377" s="29">
        <v>3163516873</v>
      </c>
      <c r="F377" s="28" t="s">
        <v>3270</v>
      </c>
      <c r="G377" s="28">
        <v>15516</v>
      </c>
      <c r="H377" s="28">
        <v>211</v>
      </c>
      <c r="I377" s="30">
        <v>574790</v>
      </c>
      <c r="J377" s="34">
        <v>0</v>
      </c>
      <c r="K377" s="31">
        <v>0</v>
      </c>
      <c r="L377" s="31">
        <v>0</v>
      </c>
    </row>
    <row r="378" spans="1:12" x14ac:dyDescent="0.3">
      <c r="A378" s="28">
        <v>901764239</v>
      </c>
      <c r="B378" s="28"/>
      <c r="C378" s="28" t="s">
        <v>2607</v>
      </c>
      <c r="D378" s="28" t="s">
        <v>2949</v>
      </c>
      <c r="E378" s="29">
        <v>3143605106</v>
      </c>
      <c r="F378" s="28" t="s">
        <v>3271</v>
      </c>
      <c r="G378" s="28">
        <v>15516</v>
      </c>
      <c r="H378" s="28">
        <v>211</v>
      </c>
      <c r="I378" s="30">
        <v>55462</v>
      </c>
      <c r="J378" s="34">
        <v>0</v>
      </c>
      <c r="K378" s="31">
        <v>0</v>
      </c>
      <c r="L378" s="31">
        <v>0</v>
      </c>
    </row>
    <row r="379" spans="1:12" x14ac:dyDescent="0.3">
      <c r="A379" s="28">
        <v>901775271</v>
      </c>
      <c r="B379" s="28"/>
      <c r="C379" s="28" t="s">
        <v>2608</v>
      </c>
      <c r="D379" s="28" t="s">
        <v>2950</v>
      </c>
      <c r="E379" s="29">
        <v>3146905839</v>
      </c>
      <c r="F379" s="28" t="s">
        <v>3272</v>
      </c>
      <c r="G379" s="28">
        <v>15516</v>
      </c>
      <c r="H379" s="28">
        <v>211</v>
      </c>
      <c r="I379" s="30">
        <v>869748</v>
      </c>
      <c r="J379" s="34">
        <v>0</v>
      </c>
      <c r="K379" s="31">
        <v>0</v>
      </c>
      <c r="L379" s="31">
        <v>0</v>
      </c>
    </row>
    <row r="380" spans="1:12" x14ac:dyDescent="0.3">
      <c r="A380" s="28">
        <v>90177832</v>
      </c>
      <c r="B380" s="28"/>
      <c r="C380" s="28" t="s">
        <v>2609</v>
      </c>
      <c r="D380" s="28" t="s">
        <v>2951</v>
      </c>
      <c r="E380" s="29">
        <v>3204679942</v>
      </c>
      <c r="F380" s="28" t="s">
        <v>3273</v>
      </c>
      <c r="G380" s="28">
        <v>15516</v>
      </c>
      <c r="H380" s="28">
        <v>211</v>
      </c>
      <c r="I380" s="30">
        <v>1279412</v>
      </c>
      <c r="J380" s="34">
        <v>0</v>
      </c>
      <c r="K380" s="31">
        <v>0</v>
      </c>
      <c r="L380" s="31">
        <v>0</v>
      </c>
    </row>
    <row r="381" spans="1:12" x14ac:dyDescent="0.3">
      <c r="A381" s="28">
        <v>901782241</v>
      </c>
      <c r="B381" s="28"/>
      <c r="C381" s="28" t="s">
        <v>2610</v>
      </c>
      <c r="D381" s="28" t="s">
        <v>2952</v>
      </c>
      <c r="E381" s="29">
        <v>3214518264</v>
      </c>
      <c r="F381" s="28" t="s">
        <v>3274</v>
      </c>
      <c r="G381" s="28">
        <v>15516</v>
      </c>
      <c r="H381" s="28">
        <v>211</v>
      </c>
      <c r="I381" s="30">
        <f>1276176-I382</f>
        <v>1256176</v>
      </c>
      <c r="J381" s="34">
        <v>0</v>
      </c>
      <c r="K381" s="31">
        <v>0</v>
      </c>
      <c r="L381" s="31">
        <v>0</v>
      </c>
    </row>
    <row r="382" spans="1:12" x14ac:dyDescent="0.3">
      <c r="A382" s="28">
        <v>901782241</v>
      </c>
      <c r="B382" s="28"/>
      <c r="C382" s="28" t="s">
        <v>2610</v>
      </c>
      <c r="D382" s="28" t="s">
        <v>2952</v>
      </c>
      <c r="E382" s="29">
        <v>3214518264</v>
      </c>
      <c r="F382" s="28" t="s">
        <v>3274</v>
      </c>
      <c r="G382" s="28">
        <v>15516</v>
      </c>
      <c r="H382" s="28">
        <v>301</v>
      </c>
      <c r="I382" s="30">
        <v>20000</v>
      </c>
      <c r="J382" s="34">
        <v>0</v>
      </c>
      <c r="K382" s="31">
        <v>0</v>
      </c>
      <c r="L382" s="31">
        <v>0</v>
      </c>
    </row>
    <row r="383" spans="1:12" x14ac:dyDescent="0.3">
      <c r="A383" s="28">
        <v>901857446</v>
      </c>
      <c r="B383" s="28"/>
      <c r="C383" s="28" t="s">
        <v>2611</v>
      </c>
      <c r="D383" s="28" t="s">
        <v>2953</v>
      </c>
      <c r="E383" s="29">
        <v>3112512119</v>
      </c>
      <c r="F383" s="28" t="s">
        <v>3275</v>
      </c>
      <c r="G383" s="28">
        <v>15516</v>
      </c>
      <c r="H383" s="28">
        <v>211</v>
      </c>
      <c r="I383" s="30">
        <v>75008</v>
      </c>
      <c r="J383" s="34">
        <v>0</v>
      </c>
      <c r="K383" s="31">
        <v>0</v>
      </c>
      <c r="L383" s="31">
        <v>0</v>
      </c>
    </row>
    <row r="384" spans="1:12" x14ac:dyDescent="0.3">
      <c r="A384" s="28">
        <v>9397482</v>
      </c>
      <c r="B384" s="28"/>
      <c r="C384" s="28" t="s">
        <v>2612</v>
      </c>
      <c r="D384" s="28" t="s">
        <v>2954</v>
      </c>
      <c r="E384" s="29">
        <v>0</v>
      </c>
      <c r="F384" s="28" t="s">
        <v>3276</v>
      </c>
      <c r="G384" s="28">
        <v>15516</v>
      </c>
      <c r="H384" s="28">
        <v>211</v>
      </c>
      <c r="I384" s="30">
        <v>487462</v>
      </c>
      <c r="J384" s="34">
        <v>0</v>
      </c>
      <c r="K384" s="31">
        <v>0</v>
      </c>
      <c r="L384" s="31">
        <v>0</v>
      </c>
    </row>
    <row r="385" spans="5:9" x14ac:dyDescent="0.3">
      <c r="E385" s="18"/>
      <c r="I385" s="19"/>
    </row>
    <row r="386" spans="5:9" x14ac:dyDescent="0.3">
      <c r="E386" s="18"/>
      <c r="I386" s="19"/>
    </row>
    <row r="387" spans="5:9" x14ac:dyDescent="0.3">
      <c r="E387" s="18"/>
      <c r="I387" s="19"/>
    </row>
    <row r="388" spans="5:9" x14ac:dyDescent="0.3">
      <c r="E388" s="18"/>
      <c r="I388" s="19"/>
    </row>
    <row r="389" spans="5:9" x14ac:dyDescent="0.3">
      <c r="E389" s="18"/>
      <c r="I389" s="19"/>
    </row>
    <row r="390" spans="5:9" x14ac:dyDescent="0.3">
      <c r="E390" s="18"/>
      <c r="I390" s="19"/>
    </row>
    <row r="391" spans="5:9" x14ac:dyDescent="0.3">
      <c r="E391" s="18"/>
      <c r="I391" s="19"/>
    </row>
    <row r="392" spans="5:9" x14ac:dyDescent="0.3">
      <c r="E392" s="18"/>
      <c r="I392" s="19"/>
    </row>
    <row r="393" spans="5:9" x14ac:dyDescent="0.3">
      <c r="E393" s="18"/>
      <c r="I393" s="19"/>
    </row>
    <row r="394" spans="5:9" x14ac:dyDescent="0.3">
      <c r="E394" s="18"/>
      <c r="I394" s="19"/>
    </row>
    <row r="395" spans="5:9" x14ac:dyDescent="0.3">
      <c r="E395" s="18"/>
      <c r="I395" s="19"/>
    </row>
    <row r="396" spans="5:9" x14ac:dyDescent="0.3">
      <c r="E396" s="18"/>
      <c r="I396" s="19"/>
    </row>
    <row r="397" spans="5:9" x14ac:dyDescent="0.3">
      <c r="E397" s="18"/>
      <c r="I397" s="19"/>
    </row>
    <row r="398" spans="5:9" x14ac:dyDescent="0.3">
      <c r="E398" s="18"/>
      <c r="I398" s="19"/>
    </row>
    <row r="399" spans="5:9" x14ac:dyDescent="0.3">
      <c r="E399" s="18"/>
      <c r="I399" s="19"/>
    </row>
    <row r="400" spans="5:9" x14ac:dyDescent="0.3">
      <c r="E400" s="18"/>
      <c r="I400" s="19"/>
    </row>
    <row r="401" spans="5:9" x14ac:dyDescent="0.3">
      <c r="E401" s="18"/>
      <c r="I401" s="19"/>
    </row>
    <row r="402" spans="5:9" x14ac:dyDescent="0.3">
      <c r="E402" s="18"/>
      <c r="I402" s="19"/>
    </row>
    <row r="403" spans="5:9" x14ac:dyDescent="0.3">
      <c r="E403" s="18"/>
      <c r="I403" s="19"/>
    </row>
    <row r="404" spans="5:9" x14ac:dyDescent="0.3">
      <c r="E404" s="18"/>
      <c r="I404" s="19"/>
    </row>
    <row r="405" spans="5:9" x14ac:dyDescent="0.3">
      <c r="E405" s="18"/>
      <c r="I405" s="19"/>
    </row>
    <row r="406" spans="5:9" x14ac:dyDescent="0.3">
      <c r="E406" s="18"/>
      <c r="I406" s="19"/>
    </row>
    <row r="407" spans="5:9" x14ac:dyDescent="0.3">
      <c r="E407" s="18"/>
      <c r="I407" s="19"/>
    </row>
    <row r="408" spans="5:9" x14ac:dyDescent="0.3">
      <c r="E408" s="18"/>
      <c r="I408" s="19"/>
    </row>
    <row r="409" spans="5:9" x14ac:dyDescent="0.3">
      <c r="E409" s="18"/>
      <c r="I409" s="19"/>
    </row>
    <row r="410" spans="5:9" x14ac:dyDescent="0.3">
      <c r="E410" s="18"/>
      <c r="I410" s="19"/>
    </row>
    <row r="411" spans="5:9" x14ac:dyDescent="0.3">
      <c r="E411" s="18"/>
      <c r="I411" s="19"/>
    </row>
    <row r="412" spans="5:9" x14ac:dyDescent="0.3">
      <c r="E412" s="18"/>
      <c r="I412" s="19"/>
    </row>
    <row r="413" spans="5:9" x14ac:dyDescent="0.3">
      <c r="I413" s="19"/>
    </row>
    <row r="414" spans="5:9" x14ac:dyDescent="0.3">
      <c r="E414" s="18"/>
      <c r="I414" s="19"/>
    </row>
    <row r="415" spans="5:9" x14ac:dyDescent="0.3">
      <c r="E415" s="18"/>
      <c r="I415" s="19"/>
    </row>
    <row r="416" spans="5:9" x14ac:dyDescent="0.3">
      <c r="E416" s="18"/>
      <c r="I416" s="19"/>
    </row>
    <row r="417" spans="5:9" x14ac:dyDescent="0.3">
      <c r="E417" s="18"/>
      <c r="I417" s="19"/>
    </row>
    <row r="418" spans="5:9" x14ac:dyDescent="0.3">
      <c r="E418" s="18"/>
      <c r="I418" s="19"/>
    </row>
    <row r="419" spans="5:9" x14ac:dyDescent="0.3">
      <c r="E419" s="18"/>
      <c r="I419" s="19"/>
    </row>
    <row r="420" spans="5:9" x14ac:dyDescent="0.3">
      <c r="E420" s="18"/>
      <c r="I420" s="19"/>
    </row>
    <row r="421" spans="5:9" x14ac:dyDescent="0.3">
      <c r="E421" s="18"/>
      <c r="I421" s="19"/>
    </row>
    <row r="422" spans="5:9" x14ac:dyDescent="0.3">
      <c r="E422" s="18"/>
      <c r="I422" s="19"/>
    </row>
    <row r="423" spans="5:9" x14ac:dyDescent="0.3">
      <c r="E423" s="18"/>
      <c r="I423" s="19"/>
    </row>
    <row r="424" spans="5:9" x14ac:dyDescent="0.3">
      <c r="E424" s="18"/>
      <c r="I424" s="19"/>
    </row>
    <row r="425" spans="5:9" x14ac:dyDescent="0.3">
      <c r="E425" s="18"/>
      <c r="I425" s="19"/>
    </row>
    <row r="426" spans="5:9" x14ac:dyDescent="0.3">
      <c r="E426" s="18"/>
      <c r="I426" s="19"/>
    </row>
    <row r="427" spans="5:9" x14ac:dyDescent="0.3">
      <c r="E427" s="18"/>
      <c r="I427" s="19"/>
    </row>
    <row r="428" spans="5:9" x14ac:dyDescent="0.3">
      <c r="E428" s="18"/>
      <c r="I428" s="19"/>
    </row>
    <row r="429" spans="5:9" x14ac:dyDescent="0.3">
      <c r="E429" s="18"/>
      <c r="I429" s="19"/>
    </row>
    <row r="430" spans="5:9" x14ac:dyDescent="0.3">
      <c r="E430" s="18"/>
      <c r="I430" s="19"/>
    </row>
    <row r="431" spans="5:9" x14ac:dyDescent="0.3">
      <c r="E431" s="18"/>
      <c r="I431" s="19"/>
    </row>
    <row r="432" spans="5:9" x14ac:dyDescent="0.3">
      <c r="E432" s="18"/>
      <c r="I432" s="19"/>
    </row>
    <row r="433" spans="5:5" x14ac:dyDescent="0.3">
      <c r="E433" s="18"/>
    </row>
    <row r="434" spans="5:5" x14ac:dyDescent="0.3">
      <c r="E434" s="18"/>
    </row>
    <row r="435" spans="5:5" x14ac:dyDescent="0.3">
      <c r="E435" s="18"/>
    </row>
    <row r="436" spans="5:5" x14ac:dyDescent="0.3">
      <c r="E436" s="18"/>
    </row>
    <row r="437" spans="5:5" x14ac:dyDescent="0.3">
      <c r="E437" s="18"/>
    </row>
    <row r="438" spans="5:5" x14ac:dyDescent="0.3">
      <c r="E438" s="18"/>
    </row>
    <row r="439" spans="5:5" x14ac:dyDescent="0.3">
      <c r="E439" s="18"/>
    </row>
    <row r="440" spans="5:5" x14ac:dyDescent="0.3">
      <c r="E440" s="18"/>
    </row>
    <row r="441" spans="5:5" x14ac:dyDescent="0.3">
      <c r="E441" s="18"/>
    </row>
    <row r="442" spans="5:5" x14ac:dyDescent="0.3">
      <c r="E442" s="18"/>
    </row>
    <row r="443" spans="5:5" x14ac:dyDescent="0.3">
      <c r="E443" s="18"/>
    </row>
    <row r="444" spans="5:5" x14ac:dyDescent="0.3">
      <c r="E444" s="18"/>
    </row>
    <row r="445" spans="5:5" x14ac:dyDescent="0.3">
      <c r="E445" s="18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conditionalFormatting sqref="A7:A64 A196:A208 A383:A384 A345:A347 A92:A93 A309:A330 A352:A381 A210:A236 A90 A301:A307 A332:A343 A95:A124 A238:A267 A126:A151 A269:A299 A66:A88 A349:A350 A153:A194">
    <cfRule type="duplicateValues" dxfId="18" priority="19"/>
  </conditionalFormatting>
  <conditionalFormatting sqref="A195">
    <cfRule type="duplicateValues" dxfId="17" priority="18"/>
  </conditionalFormatting>
  <conditionalFormatting sqref="A382">
    <cfRule type="duplicateValues" dxfId="16" priority="17"/>
  </conditionalFormatting>
  <conditionalFormatting sqref="A344">
    <cfRule type="duplicateValues" dxfId="15" priority="16"/>
  </conditionalFormatting>
  <conditionalFormatting sqref="A91">
    <cfRule type="duplicateValues" dxfId="14" priority="15"/>
  </conditionalFormatting>
  <conditionalFormatting sqref="A308">
    <cfRule type="duplicateValues" dxfId="13" priority="14"/>
  </conditionalFormatting>
  <conditionalFormatting sqref="A351">
    <cfRule type="duplicateValues" dxfId="12" priority="13"/>
  </conditionalFormatting>
  <conditionalFormatting sqref="A209">
    <cfRule type="duplicateValues" dxfId="11" priority="12"/>
  </conditionalFormatting>
  <conditionalFormatting sqref="A89">
    <cfRule type="duplicateValues" dxfId="10" priority="11"/>
  </conditionalFormatting>
  <conditionalFormatting sqref="A300">
    <cfRule type="duplicateValues" dxfId="9" priority="10"/>
  </conditionalFormatting>
  <conditionalFormatting sqref="A331">
    <cfRule type="duplicateValues" dxfId="8" priority="9"/>
  </conditionalFormatting>
  <conditionalFormatting sqref="A94">
    <cfRule type="duplicateValues" dxfId="7" priority="8"/>
  </conditionalFormatting>
  <conditionalFormatting sqref="A237">
    <cfRule type="duplicateValues" dxfId="6" priority="7"/>
  </conditionalFormatting>
  <conditionalFormatting sqref="A125">
    <cfRule type="duplicateValues" dxfId="5" priority="6"/>
  </conditionalFormatting>
  <conditionalFormatting sqref="A268">
    <cfRule type="duplicateValues" dxfId="4" priority="5"/>
  </conditionalFormatting>
  <conditionalFormatting sqref="A65">
    <cfRule type="duplicateValues" dxfId="3" priority="4"/>
  </conditionalFormatting>
  <conditionalFormatting sqref="A348">
    <cfRule type="duplicateValues" dxfId="2" priority="3"/>
  </conditionalFormatting>
  <conditionalFormatting sqref="A152">
    <cfRule type="duplicateValues" dxfId="1" priority="2"/>
  </conditionalFormatting>
  <conditionalFormatting sqref="A7:A384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B27" sqref="B27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ht="15" x14ac:dyDescent="0.25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ht="15" x14ac:dyDescent="0.25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ht="15" x14ac:dyDescent="0.25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ht="15" x14ac:dyDescent="0.25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14" workbookViewId="0">
      <selection activeCell="A329" sqref="A329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ht="15" x14ac:dyDescent="0.25">
      <c r="A1" s="1" t="s">
        <v>85</v>
      </c>
      <c r="B1" s="1" t="s">
        <v>86</v>
      </c>
    </row>
    <row r="2" spans="1:2" ht="15" x14ac:dyDescent="0.25">
      <c r="A2" s="7" t="s">
        <v>87</v>
      </c>
      <c r="B2" s="7" t="s">
        <v>88</v>
      </c>
    </row>
    <row r="3" spans="1:2" ht="15" x14ac:dyDescent="0.25">
      <c r="A3" s="7" t="s">
        <v>89</v>
      </c>
      <c r="B3" s="7" t="s">
        <v>90</v>
      </c>
    </row>
    <row r="4" spans="1:2" ht="15" x14ac:dyDescent="0.25">
      <c r="A4" s="7" t="s">
        <v>91</v>
      </c>
      <c r="B4" s="7" t="s">
        <v>92</v>
      </c>
    </row>
    <row r="5" spans="1:2" ht="15" x14ac:dyDescent="0.25">
      <c r="A5" s="7" t="s">
        <v>93</v>
      </c>
      <c r="B5" s="7" t="s">
        <v>94</v>
      </c>
    </row>
    <row r="6" spans="1:2" ht="15" x14ac:dyDescent="0.25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ht="15" x14ac:dyDescent="0.25">
      <c r="A8" s="7" t="s">
        <v>99</v>
      </c>
      <c r="B8" s="7" t="s">
        <v>100</v>
      </c>
    </row>
    <row r="9" spans="1:2" ht="15" x14ac:dyDescent="0.25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ht="15" x14ac:dyDescent="0.25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ht="15" x14ac:dyDescent="0.25">
      <c r="A14" s="7" t="s">
        <v>111</v>
      </c>
      <c r="B14" s="7" t="s">
        <v>112</v>
      </c>
    </row>
    <row r="15" spans="1:2" ht="15" x14ac:dyDescent="0.25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ht="15" x14ac:dyDescent="0.25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ht="15" x14ac:dyDescent="0.25">
      <c r="A20" s="7" t="s">
        <v>123</v>
      </c>
      <c r="B20" s="7" t="s">
        <v>124</v>
      </c>
    </row>
    <row r="21" spans="1:2" ht="15" x14ac:dyDescent="0.25">
      <c r="A21" s="7" t="s">
        <v>125</v>
      </c>
      <c r="B21" s="7" t="s">
        <v>126</v>
      </c>
    </row>
    <row r="22" spans="1:2" ht="15" x14ac:dyDescent="0.25">
      <c r="A22" s="7" t="s">
        <v>127</v>
      </c>
      <c r="B22" s="7" t="s">
        <v>128</v>
      </c>
    </row>
    <row r="23" spans="1:2" ht="15" x14ac:dyDescent="0.25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ht="15" x14ac:dyDescent="0.25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ht="15" x14ac:dyDescent="0.25">
      <c r="A27" s="7" t="s">
        <v>137</v>
      </c>
      <c r="B27" s="7" t="s">
        <v>138</v>
      </c>
    </row>
    <row r="28" spans="1:2" ht="15" x14ac:dyDescent="0.25">
      <c r="A28" s="7" t="s">
        <v>139</v>
      </c>
      <c r="B28" s="7" t="s">
        <v>140</v>
      </c>
    </row>
    <row r="29" spans="1:2" ht="15" x14ac:dyDescent="0.25">
      <c r="A29" s="7" t="s">
        <v>141</v>
      </c>
      <c r="B29" s="7" t="s">
        <v>142</v>
      </c>
    </row>
    <row r="30" spans="1:2" ht="15" x14ac:dyDescent="0.25">
      <c r="A30" s="7" t="s">
        <v>143</v>
      </c>
      <c r="B30" s="7" t="s">
        <v>144</v>
      </c>
    </row>
    <row r="31" spans="1:2" ht="15" x14ac:dyDescent="0.25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ht="15" x14ac:dyDescent="0.25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ALVARO</cp:lastModifiedBy>
  <dcterms:created xsi:type="dcterms:W3CDTF">2015-06-05T18:19:34Z</dcterms:created>
  <dcterms:modified xsi:type="dcterms:W3CDTF">2025-08-29T15:36:17Z</dcterms:modified>
</cp:coreProperties>
</file>