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gallo\Desktop\"/>
    </mc:Choice>
  </mc:AlternateContent>
  <xr:revisionPtr revIDLastSave="0" documentId="13_ncr:1_{0BF8FCAB-652B-4014-BFDC-C7EB5478AABB}" xr6:coauthVersionLast="36" xr6:coauthVersionMax="36" xr10:uidLastSave="{00000000-0000-0000-0000-000000000000}"/>
  <bookViews>
    <workbookView xWindow="0" yWindow="0" windowWidth="28800" windowHeight="12105" xr2:uid="{2BC1ED83-579D-4686-9CCD-B73BB69467CE}"/>
  </bookViews>
  <sheets>
    <sheet name="PFE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1" l="1"/>
  <c r="I104" i="1"/>
  <c r="J4" i="1"/>
</calcChain>
</file>

<file path=xl/sharedStrings.xml><?xml version="1.0" encoding="utf-8"?>
<sst xmlns="http://schemas.openxmlformats.org/spreadsheetml/2006/main" count="406" uniqueCount="283">
  <si>
    <t>COMPRA DE BIENES Y SERVICIOS EN CONDICION DE ADQUIRENTE</t>
  </si>
  <si>
    <t>FORMATO PFE5:</t>
  </si>
  <si>
    <t>NIT/CC DEL
PROVEEDOR</t>
  </si>
  <si>
    <t>DV</t>
  </si>
  <si>
    <t>NOMBRE O RAZON SOCIAL
DEL PROVEEDOR</t>
  </si>
  <si>
    <t>CORREO
ELECTRONICO</t>
  </si>
  <si>
    <t>TELÉFONO</t>
  </si>
  <si>
    <t>DIRECCIÓN 
DOMICILIO FISCAL</t>
  </si>
  <si>
    <t>CODIGO
MUNICIPIO</t>
  </si>
  <si>
    <t>CODIGO ACTIVIDAD
ECONOMICA DEL BIEN O SERVICIO ADQUIRIDO</t>
  </si>
  <si>
    <t>VALOR FACTURADO CONSOLIDADO POR ACTIVIDAD ECONOMICA Y PROVEEDOR</t>
  </si>
  <si>
    <t>RETENCION 
PRACTICADA</t>
  </si>
  <si>
    <t>DEVOLUCIONES, REBAJAS Y DESCUENTOS</t>
  </si>
  <si>
    <t>CUANTIAS MENORES</t>
  </si>
  <si>
    <t>PUERTO LACHE MARIA MATILDE</t>
  </si>
  <si>
    <t>matildepuertolache@gmail.com</t>
  </si>
  <si>
    <t>CL 15 N 16 68 PAIPA</t>
  </si>
  <si>
    <t>PAIPA</t>
  </si>
  <si>
    <t>ROSAS RODRIGUEZ GLORIA ESPERANZA</t>
  </si>
  <si>
    <t>gloriarosas764@gmail.com</t>
  </si>
  <si>
    <t>Cl 9B No, 23 33 LA PRADERA</t>
  </si>
  <si>
    <t>MORENO VALERO MARIA ISABEL</t>
  </si>
  <si>
    <t>mariaisabelmorenovalero@gmail.com</t>
  </si>
  <si>
    <t>Cl 29 N 12C - 36 MANZANA L - CASA 13 BR SAN DANIEL</t>
  </si>
  <si>
    <t>HERNANDEZ TANIA LUCIA</t>
  </si>
  <si>
    <t>tanilu26@yahoo.es</t>
  </si>
  <si>
    <t>CR 17 17 02</t>
  </si>
  <si>
    <t>DORA MARIA LADINO NIÑO</t>
  </si>
  <si>
    <t>doramarialadino1969@gmail.com</t>
  </si>
  <si>
    <t>VEREDA LA TRINIDAD PARQUE</t>
  </si>
  <si>
    <t>DUITAMA</t>
  </si>
  <si>
    <t>HURTADO SANCHEZ DEISY</t>
  </si>
  <si>
    <t>deyus31@hotmail.com</t>
  </si>
  <si>
    <t>VDA PANTANO DE VARGAS</t>
  </si>
  <si>
    <t>CLAUDIA ESPERANZA MUÑOZ ROA</t>
  </si>
  <si>
    <t>claumu26@hotmail.com</t>
  </si>
  <si>
    <t>CRA 13 N 25 23 PAIPA</t>
  </si>
  <si>
    <t>CLAVIJO VELASCO YANETH</t>
  </si>
  <si>
    <t>yakclavijo@gmail.com</t>
  </si>
  <si>
    <t>CL 28 29 06 PAIPA</t>
  </si>
  <si>
    <t>ARELIS RANGEL LENGUA</t>
  </si>
  <si>
    <t>rangelarelis17@gmail.com</t>
  </si>
  <si>
    <t>CL 23 28A 08 PAIPA</t>
  </si>
  <si>
    <t>FONSECA HURTADO VIVIANA</t>
  </si>
  <si>
    <t>viviana.fonseca1900@gmail.com</t>
  </si>
  <si>
    <t>CL 62 SUR 11 B 85 ESTE</t>
  </si>
  <si>
    <t>DELGADO GARCIA MARIELA</t>
  </si>
  <si>
    <t>holgersanabria2025@gmail.com</t>
  </si>
  <si>
    <t>CR 18 23 B 42 BRR LAS QUINTAS</t>
  </si>
  <si>
    <t>CORREDOR PARRA SIMON YAMITH</t>
  </si>
  <si>
    <t>simonycp10@gmail.com</t>
  </si>
  <si>
    <t>VEREDA EL VOLCAN PAIPA</t>
  </si>
  <si>
    <t>FREDDY RAUL FAJARDO LOPEZ</t>
  </si>
  <si>
    <t>ambisaningenieria@gmail.com</t>
  </si>
  <si>
    <t>CENTRO COMERCIAL LA CALLEJA OF 205</t>
  </si>
  <si>
    <t>JAVIER AXEL PATROCINIO PAEZ RODRIGUEZ</t>
  </si>
  <si>
    <t>axelrodriguez02@hotmail.com</t>
  </si>
  <si>
    <t>CRA 51 17 A 61 BOGOTA</t>
  </si>
  <si>
    <t>BOGOTA</t>
  </si>
  <si>
    <t>ALEJANDRA CARDENAS ANGARITA</t>
  </si>
  <si>
    <t>alejandracardenas098@gmail.com</t>
  </si>
  <si>
    <t>CRA 24 N 4 120 DUITAMA</t>
  </si>
  <si>
    <t>RIVAS RICO CAREN YINETH</t>
  </si>
  <si>
    <t>yinethrico04@gmail.com</t>
  </si>
  <si>
    <t>AV 55 PAIPA</t>
  </si>
  <si>
    <t>GOMEZ GOMEZ ADRIAN FELIPE</t>
  </si>
  <si>
    <t>pipupepe56@gmail.com</t>
  </si>
  <si>
    <t>CRA 16 N 26 B 40</t>
  </si>
  <si>
    <t>PEREZ VALDERRAMA BRAYAN STIVEN</t>
  </si>
  <si>
    <t>stivenper1084@gmail.com</t>
  </si>
  <si>
    <t>DG 30 12 B 104 IN 1 CA 6</t>
  </si>
  <si>
    <t>RINCON GUAMAN LAURA JULIANA</t>
  </si>
  <si>
    <t>duvanvacca0110@gmail.com</t>
  </si>
  <si>
    <t>VEREDA LA PLAYA</t>
  </si>
  <si>
    <t>RODRIGUEZ HIGUERA CRISTIAN SEBASTIAN</t>
  </si>
  <si>
    <t>sebasrh01@gmail.com</t>
  </si>
  <si>
    <t>VEREDA CANOCAS</t>
  </si>
  <si>
    <t>ADRIANA CATALINA BECERRA DIAZ</t>
  </si>
  <si>
    <t>cata.2214diaz@gmail.com</t>
  </si>
  <si>
    <t>VILLATE DALLON DAYANI ESTEFANIA</t>
  </si>
  <si>
    <t>dallanybaron03@gmail.com</t>
  </si>
  <si>
    <t>VEREDA CANOCAS PAIPA</t>
  </si>
  <si>
    <t>MUÑOZ ROJAS MARIA CAMILA</t>
  </si>
  <si>
    <t>camilamu4569@gmail.com</t>
  </si>
  <si>
    <t>GAMBOA TORRES NICOLE DAYANA</t>
  </si>
  <si>
    <t>gamboa20003@gmail.com</t>
  </si>
  <si>
    <t>BARRIO EL BOSQUE PAIPA</t>
  </si>
  <si>
    <t>PIRACOCA CAMACHO MOISES DAVID</t>
  </si>
  <si>
    <t>piracocadavi1@gmail.com</t>
  </si>
  <si>
    <t>CL 133 103F 40 BOGOTA</t>
  </si>
  <si>
    <t>PIRACOCA CAMACHO NIDIA MILENA</t>
  </si>
  <si>
    <t>milenapiracoca87@gmail.com</t>
  </si>
  <si>
    <t>CL 136 103 F 40 BRR COSTA AZUL SUBA</t>
  </si>
  <si>
    <t>JENNY VIVIAN FAJARDO LOPEZ</t>
  </si>
  <si>
    <t>jenny.23ing@gmail.com</t>
  </si>
  <si>
    <t>Calle 15A N 29 A -46</t>
  </si>
  <si>
    <t>BUSTACARA MEDINA EMMA ALEJANDRA</t>
  </si>
  <si>
    <t>samuelladino60@gmail.com</t>
  </si>
  <si>
    <t>VEREDA LA TRINIDAD</t>
  </si>
  <si>
    <t>UMAÑA OCHOA ADRIANA JIMENA</t>
  </si>
  <si>
    <t>adriana.umana8a@gmail.com</t>
  </si>
  <si>
    <t>VDA AYALAS TIBASOSA</t>
  </si>
  <si>
    <t>TIBASOSA</t>
  </si>
  <si>
    <t>CARVAJAL QUINTERO YOLEINIS</t>
  </si>
  <si>
    <t>yolis-1997@hotmail.es</t>
  </si>
  <si>
    <t xml:space="preserve">CL 7 A 47 A 24 CA 4 MZ CEREZO URB SOLARES </t>
  </si>
  <si>
    <t>UMAÑA OCHOA JULIO CESAR</t>
  </si>
  <si>
    <t>juliocesarumanaochoa@gmail.com</t>
  </si>
  <si>
    <t>VEREDA AYALAS TIBASOSA</t>
  </si>
  <si>
    <t>GONZALEZ MANOSALVA YESMI JOANA</t>
  </si>
  <si>
    <t>gonzalezjoana361@gmail.com</t>
  </si>
  <si>
    <t>CARRERA 23 N 25 59</t>
  </si>
  <si>
    <t>AMADOR PEDRIQUEZ YULIETH PAOLA</t>
  </si>
  <si>
    <t>yuliethamador53@gmail.com</t>
  </si>
  <si>
    <t>MONROY COMBARIZA ANA PATRICIA</t>
  </si>
  <si>
    <t>patriciamonroy-1221@hotmail.com</t>
  </si>
  <si>
    <t>VEREDA LA ESPERANZA</t>
  </si>
  <si>
    <t>OCHOA GONZALEZ JOSE ELIECER</t>
  </si>
  <si>
    <t>jose6810@hotmail.com</t>
  </si>
  <si>
    <t>CRA 19 N 29 93 Brr Los Libertadores</t>
  </si>
  <si>
    <t>SANCHEZ MARTINEZ SERGIO MANUEL</t>
  </si>
  <si>
    <t>iisergioii93@gmail.com</t>
  </si>
  <si>
    <t>VEREDA CRUZ DE MURCIA</t>
  </si>
  <si>
    <t>LOPEZ LOPEZ WILLIAM SEBASTIAN</t>
  </si>
  <si>
    <t>cbas1301@gmail.com</t>
  </si>
  <si>
    <t>CR 24 11 52 LA PRADERA PAIPA</t>
  </si>
  <si>
    <t>OVALLE ROJAS ERIK STIVEN</t>
  </si>
  <si>
    <t>erikovalle@hotmail.com</t>
  </si>
  <si>
    <t>KM 3 VIA PAIPA DUITAMA</t>
  </si>
  <si>
    <t>NIÑO SALAMANCA ANGIE LORENA</t>
  </si>
  <si>
    <t>anlorena17@gmail.com</t>
  </si>
  <si>
    <t>VEREDA TOIBITA SECCION PLANADAS PAIPA</t>
  </si>
  <si>
    <t>PACHECO MUNOZ ARNOLD STIVEL</t>
  </si>
  <si>
    <t>arnolpachecl13@gmail.com</t>
  </si>
  <si>
    <t>CL 14 A  22  10 BRR FATIMA</t>
  </si>
  <si>
    <t>DIAZ HILLON STEFANIA</t>
  </si>
  <si>
    <t>stefaniadiazhillon@gmail.com</t>
  </si>
  <si>
    <t>VEREDA ROMITA</t>
  </si>
  <si>
    <t>MARIA FERNANDA VARGAS SOGAMOSO</t>
  </si>
  <si>
    <t xml:space="preserve">	
fernandav271410@gmail.com</t>
  </si>
  <si>
    <t>CR 23 B 14 24 PAIPA</t>
  </si>
  <si>
    <t>RODRIGUEZ AVILA ANA MARIA</t>
  </si>
  <si>
    <t>ana-ma26@hotmail.com</t>
  </si>
  <si>
    <t>VEREDA CARREÑO - SOTAQUIRA</t>
  </si>
  <si>
    <t>SOTAQUIRA</t>
  </si>
  <si>
    <t>AMADO SUAREZ YUDI CLEMENCIA</t>
  </si>
  <si>
    <t>yudiamado123@gmail.com</t>
  </si>
  <si>
    <t>GOMEZ QUINTERO YURY PAOLA</t>
  </si>
  <si>
    <t>generacion86@hotmail.es</t>
  </si>
  <si>
    <t>CR 11 6 35 DUITAMA</t>
  </si>
  <si>
    <t>SANDOVAL SOTO JAIRO ARNULFO</t>
  </si>
  <si>
    <t>controlesindustrialeseu@yahoo.es</t>
  </si>
  <si>
    <t>CRA 26 A No 18-44</t>
  </si>
  <si>
    <t>RODRIGUEZ RODRIGUEZ JHON MARIO</t>
  </si>
  <si>
    <t>johnmariorodriguezrodriguez@gmail.com I</t>
  </si>
  <si>
    <t>CALLE 29 A No 15-20</t>
  </si>
  <si>
    <t>HERNANDEZ HERNANDEZ NESTOR OSWALDO</t>
  </si>
  <si>
    <t>Hernandeznestor967@hotmail.com</t>
  </si>
  <si>
    <t>CALLE 11 No 20-21</t>
  </si>
  <si>
    <t>LEONEL OSPINA OSPINA</t>
  </si>
  <si>
    <t>cipavltda@yahoo.es</t>
  </si>
  <si>
    <t>CRA 54 No 70 A 55</t>
  </si>
  <si>
    <t>LUIS ENRIQUE PACHECO AVENDAÑO</t>
  </si>
  <si>
    <t>1upa582000@yahoo.com</t>
  </si>
  <si>
    <t>CRA 14 No 14-77</t>
  </si>
  <si>
    <t>RIAÑO MALAVER WILLIAM HUMBERTO</t>
  </si>
  <si>
    <t>pbrowilliam@yahoo.es</t>
  </si>
  <si>
    <t>TV 6 No 63-00</t>
  </si>
  <si>
    <t>TUTA MARTINEZ JOSELILLO DE JESUS</t>
  </si>
  <si>
    <t>jose.tuta@outlook.com</t>
  </si>
  <si>
    <t>CRA 31 No 15-32</t>
  </si>
  <si>
    <t>RINCON LOPEZ WILSON</t>
  </si>
  <si>
    <t>trtazosfuego@gmail.com</t>
  </si>
  <si>
    <t>CALLE 24 No 18-11</t>
  </si>
  <si>
    <t xml:space="preserve">JESUS MANUEL ACERO RODRIGUEZ </t>
  </si>
  <si>
    <t>arteypiedracero@gmail.com</t>
  </si>
  <si>
    <t xml:space="preserve">KM 3 VIA PAIPA DUITAMA </t>
  </si>
  <si>
    <t>MARIÑO PABLO HERNANDO</t>
  </si>
  <si>
    <t>serviciotecnico.sme@gmail.com</t>
  </si>
  <si>
    <t>CALLE 13 No 16-28</t>
  </si>
  <si>
    <t>YEZMIN ROCIO LOZANO</t>
  </si>
  <si>
    <t>yesminrociolozano@gmail.com</t>
  </si>
  <si>
    <t xml:space="preserve">AV LIBERTADORES No 26-66 </t>
  </si>
  <si>
    <t>HUMBERTO ACEVEDO NOSSA</t>
  </si>
  <si>
    <t>humberto-acevedo@hotmail.com</t>
  </si>
  <si>
    <t>CALLE 27 No 23-41</t>
  </si>
  <si>
    <t>MILLAN AGUDO GLORIA SOFIA</t>
  </si>
  <si>
    <t>sofiama@hotmail.com</t>
  </si>
  <si>
    <t>KM 1 VIA PAIPA TUNJA VEREDA SATIVA</t>
  </si>
  <si>
    <t>HILLON ALVARADO BLANCA ELSY</t>
  </si>
  <si>
    <t>blahi11@hotmail.com</t>
  </si>
  <si>
    <t>FLOR DE MARIA OJEDA FONSECA</t>
  </si>
  <si>
    <t>florojedaf@hotmail.com</t>
  </si>
  <si>
    <t>CRA 19 No 27-56</t>
  </si>
  <si>
    <t>CARVAJAL MONTOYA PATRICIA LILIANA</t>
  </si>
  <si>
    <t>patricialilianancarvajal@hotmail.com</t>
  </si>
  <si>
    <t>BOGOTA DC</t>
  </si>
  <si>
    <t>CAMARGO CUERVO EDY CRISTINA</t>
  </si>
  <si>
    <t>ferrecca@hotmail.com</t>
  </si>
  <si>
    <t>CALLE 23 No 25-00</t>
  </si>
  <si>
    <t>CAMACHO NUBIA YANETH</t>
  </si>
  <si>
    <t>papeleriaprismacolors@gmail.com</t>
  </si>
  <si>
    <t>CALLE 25 No 22-38</t>
  </si>
  <si>
    <t>BENITEZ MONROY CLAUDIA PATRICIA</t>
  </si>
  <si>
    <t>paty_benitez1983@hotmail.com</t>
  </si>
  <si>
    <t>CALLE 26 No 22-02</t>
  </si>
  <si>
    <t>SIERRA ECHEVERRY LUZ ALEXANDRA</t>
  </si>
  <si>
    <t>startcomunicaciones@gmail.com</t>
  </si>
  <si>
    <t>CRA 19 No 24 42 LC 6</t>
  </si>
  <si>
    <t>MARIA DEL PILAR HERRERA MORALES</t>
  </si>
  <si>
    <t>ralipalram-yoko8@hotmail.com</t>
  </si>
  <si>
    <t>CALLE 32 No 11 A 03 CASA 8</t>
  </si>
  <si>
    <t>ANDREA MILENA SALINAS ACERO</t>
  </si>
  <si>
    <t>andrea_solinas2911@hotmail.com</t>
  </si>
  <si>
    <t xml:space="preserve">AV LIBERTADORES No 27-35 </t>
  </si>
  <si>
    <t>HILLON ALVARADO MIGUEL ANGEL</t>
  </si>
  <si>
    <t>miguel.hillon@gmail.com</t>
  </si>
  <si>
    <t>ALBA ALBA SAGRARIO</t>
  </si>
  <si>
    <t>losbufalos@gmail.com</t>
  </si>
  <si>
    <t>BARRIO PRIMERO DE MAYO</t>
  </si>
  <si>
    <t>OSCAR IVAN CAMARGO CUERVO</t>
  </si>
  <si>
    <t>monica.mateus2@hotmail.com</t>
  </si>
  <si>
    <t>CALLE 23 No 22-53</t>
  </si>
  <si>
    <t>OSCAR ALBERTO BECERRA GUATIBONZA</t>
  </si>
  <si>
    <t>guatis26@yahoo.es</t>
  </si>
  <si>
    <t>VEREDA ROMITA PAIPA</t>
  </si>
  <si>
    <t>OSCAR ANDRES MONROY BECERRA</t>
  </si>
  <si>
    <t>jodape07@gmail.com</t>
  </si>
  <si>
    <t>CALLE 24 No 25-35</t>
  </si>
  <si>
    <t>OSCAR DANIEL MONROY BECERRA</t>
  </si>
  <si>
    <t>ROBERTO PEREZ DAVID ALBERTO</t>
  </si>
  <si>
    <t>contabilidadsupersona@gmail.com</t>
  </si>
  <si>
    <t>CALLE 24 No 19-110 LC 2</t>
  </si>
  <si>
    <t>CACERES MARTIENZ ARIEL</t>
  </si>
  <si>
    <t>tallerautoduagnosticoariel@hotmail.com</t>
  </si>
  <si>
    <t>CARRERA 21 No 5-31</t>
  </si>
  <si>
    <t>GIL CELY JORGE MAURICIO</t>
  </si>
  <si>
    <t>macedios.12@hotmail.com</t>
  </si>
  <si>
    <t>CRA No 23-27</t>
  </si>
  <si>
    <t>WILLIAM ALBERTO DUARTE DUARTE</t>
  </si>
  <si>
    <t>carpasscania24@gmail.com</t>
  </si>
  <si>
    <t>CRA 42 No 17-52</t>
  </si>
  <si>
    <t>AYALA GONZALEZ JOHN JAIRO</t>
  </si>
  <si>
    <t>ayatec.paipa@gmail.com</t>
  </si>
  <si>
    <t>CALLE 24 No 19-61</t>
  </si>
  <si>
    <t>INVERCOLING SAS</t>
  </si>
  <si>
    <t>invercoulinsas1@gmail.com</t>
  </si>
  <si>
    <t>AV CRA 19 No 39-31</t>
  </si>
  <si>
    <t>INGELPARRA SAS</t>
  </si>
  <si>
    <t>ingelparrasas@gmail.com</t>
  </si>
  <si>
    <t xml:space="preserve">CALLE 5 No 18-53 </t>
  </si>
  <si>
    <t>EDS ESTACION LA TURISTICA PAIPA SAS</t>
  </si>
  <si>
    <t>turistica@outlook.com</t>
  </si>
  <si>
    <t>CRA 19 No 26-45</t>
  </si>
  <si>
    <t>MAKRO ALEJO SAS</t>
  </si>
  <si>
    <t>makroalejosas@gmail.com</t>
  </si>
  <si>
    <t>AV LIBERTADORES No 21-78</t>
  </si>
  <si>
    <t>TUNJA</t>
  </si>
  <si>
    <t>AMBISAN BOYACA SAS</t>
  </si>
  <si>
    <t>CRA 32 No 16-76</t>
  </si>
  <si>
    <t>DAVID RODRIGO ORGANISTA TELLEZ</t>
  </si>
  <si>
    <t>davidtellez830603@gmail.com</t>
  </si>
  <si>
    <t>CRA 13 No 13-63</t>
  </si>
  <si>
    <t>JAVIER LEONARDO PINZON NEIRA</t>
  </si>
  <si>
    <t>javier.5200@hotmail.com</t>
  </si>
  <si>
    <t>DG 23 No 29-43</t>
  </si>
  <si>
    <t>TUTA LOPEZ JULIAN CAMILO</t>
  </si>
  <si>
    <t>jucatulo@yahoo.com</t>
  </si>
  <si>
    <t>LUIS FABIAN GUIO AVELLA</t>
  </si>
  <si>
    <t>fabiang25@hotmail.com</t>
  </si>
  <si>
    <t>CRA 19 No 34 A 69</t>
  </si>
  <si>
    <t>EDWIN RICARDO VELANDIA RINCON</t>
  </si>
  <si>
    <t>richard-velandia@hotmail.com</t>
  </si>
  <si>
    <t xml:space="preserve">CALLE 24 No 17-17 </t>
  </si>
  <si>
    <t>EBER AGUSTIN BAUTISTA RAMIREZ</t>
  </si>
  <si>
    <t>eberbautis!á@gmail.com</t>
  </si>
  <si>
    <t>CALLE 26 No 2154</t>
  </si>
  <si>
    <t>DELVIS ROLANDO VARGAS PINEDA</t>
  </si>
  <si>
    <t>sgsst.tropiboy@gmail.com</t>
  </si>
  <si>
    <t>AV LIBERTAQDORES 31 A 03</t>
  </si>
  <si>
    <t>BOSIGAS OJEDA CINDY JOHANA</t>
  </si>
  <si>
    <t>joissy._03@hotmail.com</t>
  </si>
  <si>
    <t>CARRERA 19 No 27-56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</si>
</sst>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0" fillId="0" borderId="1" xfId="0" applyFill="1" applyBorder="1" applyAlignment="1"/>
    <xf numFmtId="0" fontId="5" fillId="0" borderId="3" xfId="0" applyNumberFormat="1" applyFont="1" applyFill="1" applyBorder="1" applyAlignment="1"/>
    <xf numFmtId="0" fontId="6" fillId="0" borderId="1" xfId="0" applyFont="1" applyFill="1" applyBorder="1" applyAlignment="1">
      <alignment horizontal="center"/>
    </xf>
    <xf numFmtId="42" fontId="5" fillId="0" borderId="1" xfId="1" applyFont="1" applyFill="1" applyBorder="1"/>
    <xf numFmtId="0" fontId="7" fillId="0" borderId="1" xfId="0" applyFont="1" applyBorder="1" applyAlignment="1"/>
    <xf numFmtId="0" fontId="8" fillId="0" borderId="1" xfId="0" applyFont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8" fillId="0" borderId="1" xfId="0" applyFont="1" applyBorder="1" applyAlignment="1">
      <alignment horizontal="center"/>
    </xf>
    <xf numFmtId="42" fontId="7" fillId="0" borderId="1" xfId="1" applyFont="1" applyBorder="1"/>
    <xf numFmtId="0" fontId="7" fillId="0" borderId="3" xfId="0" applyNumberFormat="1" applyFont="1" applyBorder="1" applyAlignment="1"/>
    <xf numFmtId="0" fontId="7" fillId="0" borderId="1" xfId="0" applyNumberFormat="1" applyFont="1" applyBorder="1" applyAlignment="1"/>
    <xf numFmtId="49" fontId="5" fillId="0" borderId="1" xfId="0" applyNumberFormat="1" applyFont="1" applyFill="1" applyBorder="1" applyAlignment="1"/>
    <xf numFmtId="49" fontId="5" fillId="0" borderId="1" xfId="0" applyNumberFormat="1" applyFont="1" applyFill="1" applyBorder="1" applyAlignment="1">
      <alignment vertical="center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5" fillId="0" borderId="6" xfId="0" applyNumberFormat="1" applyFont="1" applyFill="1" applyBorder="1" applyAlignment="1"/>
    <xf numFmtId="0" fontId="6" fillId="0" borderId="4" xfId="0" applyFont="1" applyFill="1" applyBorder="1" applyAlignment="1">
      <alignment horizontal="center"/>
    </xf>
    <xf numFmtId="42" fontId="5" fillId="0" borderId="4" xfId="1" applyFont="1" applyFill="1" applyBorder="1"/>
    <xf numFmtId="49" fontId="1" fillId="0" borderId="1" xfId="2" applyNumberFormat="1" applyFont="1" applyFill="1" applyBorder="1" applyAlignment="1"/>
    <xf numFmtId="0" fontId="8" fillId="0" borderId="0" xfId="0" applyFont="1" applyAlignment="1"/>
    <xf numFmtId="42" fontId="8" fillId="0" borderId="0" xfId="0" applyNumberFormat="1" applyFont="1" applyAlignme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73</xdr:row>
      <xdr:rowOff>0</xdr:rowOff>
    </xdr:from>
    <xdr:to>
      <xdr:col>3</xdr:col>
      <xdr:colOff>9525</xdr:colOff>
      <xdr:row>73</xdr:row>
      <xdr:rowOff>9525</xdr:rowOff>
    </xdr:to>
    <xdr:pic>
      <xdr:nvPicPr>
        <xdr:cNvPr id="2" name="Imagen 1" descr="https://mail.google.com/mail/u/0/images/cleardot.gif">
          <a:extLst>
            <a:ext uri="{FF2B5EF4-FFF2-40B4-BE49-F238E27FC236}">
              <a16:creationId xmlns:a16="http://schemas.microsoft.com/office/drawing/2014/main" id="{B4EAACD2-77DD-429B-B10A-81780A33B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9525</xdr:colOff>
      <xdr:row>73</xdr:row>
      <xdr:rowOff>9525</xdr:rowOff>
    </xdr:to>
    <xdr:pic>
      <xdr:nvPicPr>
        <xdr:cNvPr id="3" name="Imagen 2" descr="https://mail.google.com/mail/u/0/images/cleardot.gif">
          <a:extLst>
            <a:ext uri="{FF2B5EF4-FFF2-40B4-BE49-F238E27FC236}">
              <a16:creationId xmlns:a16="http://schemas.microsoft.com/office/drawing/2014/main" id="{284C4B38-A05D-44EC-91C1-E05A8F1E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9525</xdr:colOff>
      <xdr:row>73</xdr:row>
      <xdr:rowOff>9525</xdr:rowOff>
    </xdr:to>
    <xdr:pic>
      <xdr:nvPicPr>
        <xdr:cNvPr id="4" name="Imagen 3" descr="https://mail.google.com/mail/u/0/images/cleardot.gif">
          <a:extLst>
            <a:ext uri="{FF2B5EF4-FFF2-40B4-BE49-F238E27FC236}">
              <a16:creationId xmlns:a16="http://schemas.microsoft.com/office/drawing/2014/main" id="{4187FE1C-A408-4550-BFEF-0E4F46763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178</xdr:row>
      <xdr:rowOff>0</xdr:rowOff>
    </xdr:from>
    <xdr:to>
      <xdr:col>27</xdr:col>
      <xdr:colOff>115132</xdr:colOff>
      <xdr:row>182</xdr:row>
      <xdr:rowOff>114422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D18EC8-7D35-4686-8DFC-91A36623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26450" y="34690050"/>
          <a:ext cx="5963482" cy="8764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9525</xdr:colOff>
      <xdr:row>72</xdr:row>
      <xdr:rowOff>9525</xdr:rowOff>
    </xdr:to>
    <xdr:pic>
      <xdr:nvPicPr>
        <xdr:cNvPr id="6" name="Imagen 5" descr="https://mail.google.com/mail/u/0/images/cleardot.gif">
          <a:extLst>
            <a:ext uri="{FF2B5EF4-FFF2-40B4-BE49-F238E27FC236}">
              <a16:creationId xmlns:a16="http://schemas.microsoft.com/office/drawing/2014/main" id="{0F68DE96-377F-41F2-8B7C-A4432D86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9525</xdr:colOff>
      <xdr:row>72</xdr:row>
      <xdr:rowOff>9525</xdr:rowOff>
    </xdr:to>
    <xdr:pic>
      <xdr:nvPicPr>
        <xdr:cNvPr id="7" name="Imagen 6" descr="https://mail.google.com/mail/u/0/images/cleardot.gif">
          <a:extLst>
            <a:ext uri="{FF2B5EF4-FFF2-40B4-BE49-F238E27FC236}">
              <a16:creationId xmlns:a16="http://schemas.microsoft.com/office/drawing/2014/main" id="{9B3B4DD6-B982-4A09-9040-3CAC861A9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9525</xdr:colOff>
      <xdr:row>72</xdr:row>
      <xdr:rowOff>9525</xdr:rowOff>
    </xdr:to>
    <xdr:pic>
      <xdr:nvPicPr>
        <xdr:cNvPr id="8" name="Imagen 7" descr="https://mail.google.com/mail/u/0/images/cleardot.gif">
          <a:extLst>
            <a:ext uri="{FF2B5EF4-FFF2-40B4-BE49-F238E27FC236}">
              <a16:creationId xmlns:a16="http://schemas.microsoft.com/office/drawing/2014/main" id="{0D12A014-F292-47D8-BF6C-8570C146D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</xdr:colOff>
      <xdr:row>53</xdr:row>
      <xdr:rowOff>9525</xdr:rowOff>
    </xdr:to>
    <xdr:pic>
      <xdr:nvPicPr>
        <xdr:cNvPr id="9" name="Imagen 8" descr="https://mail.google.com/mail/u/0/images/cleardot.gif">
          <a:extLst>
            <a:ext uri="{FF2B5EF4-FFF2-40B4-BE49-F238E27FC236}">
              <a16:creationId xmlns:a16="http://schemas.microsoft.com/office/drawing/2014/main" id="{10146445-DD49-4D72-B2E3-18FA6003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</xdr:colOff>
      <xdr:row>53</xdr:row>
      <xdr:rowOff>9525</xdr:rowOff>
    </xdr:to>
    <xdr:pic>
      <xdr:nvPicPr>
        <xdr:cNvPr id="10" name="Imagen 9" descr="https://mail.google.com/mail/u/0/images/cleardot.gif">
          <a:extLst>
            <a:ext uri="{FF2B5EF4-FFF2-40B4-BE49-F238E27FC236}">
              <a16:creationId xmlns:a16="http://schemas.microsoft.com/office/drawing/2014/main" id="{81B45C59-B329-4390-8DA4-7E05B2C8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</xdr:colOff>
      <xdr:row>53</xdr:row>
      <xdr:rowOff>9525</xdr:rowOff>
    </xdr:to>
    <xdr:pic>
      <xdr:nvPicPr>
        <xdr:cNvPr id="11" name="Imagen 10" descr="https://mail.google.com/mail/u/0/images/cleardot.gif">
          <a:extLst>
            <a:ext uri="{FF2B5EF4-FFF2-40B4-BE49-F238E27FC236}">
              <a16:creationId xmlns:a16="http://schemas.microsoft.com/office/drawing/2014/main" id="{7702B0E5-C3F8-4A9F-B56E-72C39EC1C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9525</xdr:colOff>
      <xdr:row>73</xdr:row>
      <xdr:rowOff>9525</xdr:rowOff>
    </xdr:to>
    <xdr:pic>
      <xdr:nvPicPr>
        <xdr:cNvPr id="12" name="Imagen 11" descr="https://mail.google.com/mail/u/0/images/cleardot.gif">
          <a:extLst>
            <a:ext uri="{FF2B5EF4-FFF2-40B4-BE49-F238E27FC236}">
              <a16:creationId xmlns:a16="http://schemas.microsoft.com/office/drawing/2014/main" id="{3FA34168-FFD1-437A-9521-9F3C424F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9525</xdr:colOff>
      <xdr:row>73</xdr:row>
      <xdr:rowOff>9525</xdr:rowOff>
    </xdr:to>
    <xdr:pic>
      <xdr:nvPicPr>
        <xdr:cNvPr id="13" name="Imagen 12" descr="https://mail.google.com/mail/u/0/images/cleardot.gif">
          <a:extLst>
            <a:ext uri="{FF2B5EF4-FFF2-40B4-BE49-F238E27FC236}">
              <a16:creationId xmlns:a16="http://schemas.microsoft.com/office/drawing/2014/main" id="{3D881CB3-D344-4C7E-A61C-6C8F8D9B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9525</xdr:colOff>
      <xdr:row>73</xdr:row>
      <xdr:rowOff>9525</xdr:rowOff>
    </xdr:to>
    <xdr:pic>
      <xdr:nvPicPr>
        <xdr:cNvPr id="14" name="Imagen 13" descr="https://mail.google.com/mail/u/0/images/cleardot.gif">
          <a:extLst>
            <a:ext uri="{FF2B5EF4-FFF2-40B4-BE49-F238E27FC236}">
              <a16:creationId xmlns:a16="http://schemas.microsoft.com/office/drawing/2014/main" id="{5DF296CE-85A0-433D-8147-5E77AD2CD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68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9525</xdr:colOff>
      <xdr:row>72</xdr:row>
      <xdr:rowOff>9525</xdr:rowOff>
    </xdr:to>
    <xdr:pic>
      <xdr:nvPicPr>
        <xdr:cNvPr id="15" name="Imagen 14" descr="https://mail.google.com/mail/u/0/images/cleardot.gif">
          <a:extLst>
            <a:ext uri="{FF2B5EF4-FFF2-40B4-BE49-F238E27FC236}">
              <a16:creationId xmlns:a16="http://schemas.microsoft.com/office/drawing/2014/main" id="{39B09644-CED0-435C-83AB-440DBBBA0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9525</xdr:colOff>
      <xdr:row>72</xdr:row>
      <xdr:rowOff>9525</xdr:rowOff>
    </xdr:to>
    <xdr:pic>
      <xdr:nvPicPr>
        <xdr:cNvPr id="16" name="Imagen 15" descr="https://mail.google.com/mail/u/0/images/cleardot.gif">
          <a:extLst>
            <a:ext uri="{FF2B5EF4-FFF2-40B4-BE49-F238E27FC236}">
              <a16:creationId xmlns:a16="http://schemas.microsoft.com/office/drawing/2014/main" id="{7584C0DD-6459-4E4C-9F6B-D0590FD68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9525</xdr:colOff>
      <xdr:row>72</xdr:row>
      <xdr:rowOff>9525</xdr:rowOff>
    </xdr:to>
    <xdr:pic>
      <xdr:nvPicPr>
        <xdr:cNvPr id="17" name="Imagen 16" descr="https://mail.google.com/mail/u/0/images/cleardot.gif">
          <a:extLst>
            <a:ext uri="{FF2B5EF4-FFF2-40B4-BE49-F238E27FC236}">
              <a16:creationId xmlns:a16="http://schemas.microsoft.com/office/drawing/2014/main" id="{4F4FF633-021E-4C94-9A3F-44A5DF8C7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449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9525</xdr:colOff>
      <xdr:row>53</xdr:row>
      <xdr:rowOff>9525</xdr:rowOff>
    </xdr:to>
    <xdr:pic>
      <xdr:nvPicPr>
        <xdr:cNvPr id="18" name="Imagen 17" descr="https://mail.google.com/mail/u/0/images/cleardot.gif">
          <a:extLst>
            <a:ext uri="{FF2B5EF4-FFF2-40B4-BE49-F238E27FC236}">
              <a16:creationId xmlns:a16="http://schemas.microsoft.com/office/drawing/2014/main" id="{954B8FEE-A2F2-42F7-A59B-EB655ABD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9525</xdr:colOff>
      <xdr:row>53</xdr:row>
      <xdr:rowOff>9525</xdr:rowOff>
    </xdr:to>
    <xdr:pic>
      <xdr:nvPicPr>
        <xdr:cNvPr id="19" name="Imagen 18" descr="https://mail.google.com/mail/u/0/images/cleardot.gif">
          <a:extLst>
            <a:ext uri="{FF2B5EF4-FFF2-40B4-BE49-F238E27FC236}">
              <a16:creationId xmlns:a16="http://schemas.microsoft.com/office/drawing/2014/main" id="{8473CE8F-F7CE-4779-97F8-0E7FC9CE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9525</xdr:colOff>
      <xdr:row>53</xdr:row>
      <xdr:rowOff>9525</xdr:rowOff>
    </xdr:to>
    <xdr:pic>
      <xdr:nvPicPr>
        <xdr:cNvPr id="20" name="Imagen 19" descr="https://mail.google.com/mail/u/0/images/cleardot.gif">
          <a:extLst>
            <a:ext uri="{FF2B5EF4-FFF2-40B4-BE49-F238E27FC236}">
              <a16:creationId xmlns:a16="http://schemas.microsoft.com/office/drawing/2014/main" id="{353E57CC-59B4-4642-8B28-3999866C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ogle.com/search?q=tel%C3%A9fono+homecenter+tunja&amp;rlz=1C1GCEU_esCO1091CO1092&amp;oq=TELEFONO+HOM&amp;gs_lcrp=EgZjaHJvbWUqBwgCEAAYgAQyBggAEEUYOTIHCAEQABiABDIHCAIQABiABDIHCAMQABiABDIHCAQQABiABDIHCAUQABiABDIHCAYQABiABDIHCAcQABiABDIHCAgQABiABDIHCAkQABiABNIBCDU3OTlqMGo3qAIAsAI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DD50-5328-49C7-AC57-FE69CF2783C1}">
  <dimension ref="A1:K104"/>
  <sheetViews>
    <sheetView tabSelected="1" workbookViewId="0">
      <selection activeCell="K6" sqref="K6"/>
    </sheetView>
  </sheetViews>
  <sheetFormatPr baseColWidth="10" defaultRowHeight="15" x14ac:dyDescent="0.25"/>
  <cols>
    <col min="1" max="2" width="11.42578125" style="2"/>
    <col min="3" max="3" width="33.42578125" style="2" customWidth="1"/>
    <col min="4" max="4" width="36.28515625" style="2" customWidth="1"/>
    <col min="5" max="5" width="19.42578125" style="2" customWidth="1"/>
    <col min="6" max="6" width="24.140625" style="2" customWidth="1"/>
    <col min="7" max="8" width="11.42578125" style="2"/>
    <col min="9" max="9" width="19" style="2" customWidth="1"/>
    <col min="10" max="10" width="11.42578125" style="2"/>
    <col min="11" max="11" width="14.28515625" style="2" customWidth="1"/>
    <col min="12" max="12" width="29.42578125" style="2" customWidth="1"/>
    <col min="13" max="16384" width="11.42578125" style="2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6.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222222222</v>
      </c>
      <c r="B4" s="4"/>
      <c r="C4" s="5" t="s">
        <v>13</v>
      </c>
      <c r="D4" s="6"/>
      <c r="E4" s="7"/>
      <c r="F4" s="4"/>
      <c r="G4" s="4"/>
      <c r="H4" s="8"/>
      <c r="I4" s="9">
        <v>1138862</v>
      </c>
      <c r="J4" s="9">
        <f>8819+3800.99</f>
        <v>12619.99</v>
      </c>
      <c r="K4" s="4">
        <v>0</v>
      </c>
    </row>
    <row r="5" spans="1:11" x14ac:dyDescent="0.2">
      <c r="A5" s="10">
        <v>23857152</v>
      </c>
      <c r="B5" s="11"/>
      <c r="C5" s="12" t="s">
        <v>14</v>
      </c>
      <c r="D5" s="11" t="s">
        <v>15</v>
      </c>
      <c r="E5" s="13">
        <v>3124070667</v>
      </c>
      <c r="F5" s="10" t="s">
        <v>16</v>
      </c>
      <c r="G5" s="11" t="s">
        <v>17</v>
      </c>
      <c r="H5" s="14">
        <v>334</v>
      </c>
      <c r="I5" s="15">
        <v>770000</v>
      </c>
      <c r="J5" s="15">
        <v>7700</v>
      </c>
      <c r="K5" s="11">
        <v>0</v>
      </c>
    </row>
    <row r="6" spans="1:11" x14ac:dyDescent="0.2">
      <c r="A6" s="10">
        <v>23857494</v>
      </c>
      <c r="B6" s="11"/>
      <c r="C6" s="12" t="s">
        <v>18</v>
      </c>
      <c r="D6" s="11" t="s">
        <v>19</v>
      </c>
      <c r="E6" s="13">
        <v>3176391596</v>
      </c>
      <c r="F6" s="10" t="s">
        <v>20</v>
      </c>
      <c r="G6" s="11" t="s">
        <v>17</v>
      </c>
      <c r="H6" s="14">
        <v>334</v>
      </c>
      <c r="I6" s="15">
        <v>21853333</v>
      </c>
      <c r="J6" s="15">
        <v>218533.33</v>
      </c>
      <c r="K6" s="11">
        <v>0</v>
      </c>
    </row>
    <row r="7" spans="1:11" x14ac:dyDescent="0.2">
      <c r="A7" s="10">
        <v>39538806</v>
      </c>
      <c r="B7" s="11"/>
      <c r="C7" s="12" t="s">
        <v>21</v>
      </c>
      <c r="D7" s="11" t="s">
        <v>22</v>
      </c>
      <c r="E7" s="13">
        <v>3115493372</v>
      </c>
      <c r="F7" s="10" t="s">
        <v>23</v>
      </c>
      <c r="G7" s="11" t="s">
        <v>17</v>
      </c>
      <c r="H7" s="14">
        <v>334</v>
      </c>
      <c r="I7" s="15">
        <v>20903333</v>
      </c>
      <c r="J7" s="15">
        <v>209033.33</v>
      </c>
      <c r="K7" s="11">
        <v>0</v>
      </c>
    </row>
    <row r="8" spans="1:11" x14ac:dyDescent="0.2">
      <c r="A8" s="10">
        <v>40045289</v>
      </c>
      <c r="B8" s="11"/>
      <c r="C8" s="12" t="s">
        <v>24</v>
      </c>
      <c r="D8" s="11" t="s">
        <v>25</v>
      </c>
      <c r="E8" s="13">
        <v>3144714019</v>
      </c>
      <c r="F8" s="10" t="s">
        <v>26</v>
      </c>
      <c r="G8" s="11" t="s">
        <v>17</v>
      </c>
      <c r="H8" s="14">
        <v>334</v>
      </c>
      <c r="I8" s="15">
        <v>21683333</v>
      </c>
      <c r="J8" s="15">
        <v>216833.33</v>
      </c>
      <c r="K8" s="11">
        <v>0</v>
      </c>
    </row>
    <row r="9" spans="1:11" x14ac:dyDescent="0.2">
      <c r="A9" s="10">
        <v>46667253</v>
      </c>
      <c r="B9" s="11"/>
      <c r="C9" s="12" t="s">
        <v>27</v>
      </c>
      <c r="D9" s="11" t="s">
        <v>28</v>
      </c>
      <c r="E9" s="13">
        <v>3142329146</v>
      </c>
      <c r="F9" s="10" t="s">
        <v>29</v>
      </c>
      <c r="G9" s="11" t="s">
        <v>30</v>
      </c>
      <c r="H9" s="14">
        <v>334</v>
      </c>
      <c r="I9" s="15">
        <v>12160000</v>
      </c>
      <c r="J9" s="15">
        <v>121600</v>
      </c>
      <c r="K9" s="11">
        <v>0</v>
      </c>
    </row>
    <row r="10" spans="1:11" x14ac:dyDescent="0.2">
      <c r="A10" s="10">
        <v>46683596</v>
      </c>
      <c r="B10" s="11"/>
      <c r="C10" s="12" t="s">
        <v>31</v>
      </c>
      <c r="D10" s="11" t="s">
        <v>32</v>
      </c>
      <c r="E10" s="16">
        <v>3133270443</v>
      </c>
      <c r="F10" s="10" t="s">
        <v>33</v>
      </c>
      <c r="G10" s="11" t="s">
        <v>17</v>
      </c>
      <c r="H10" s="14">
        <v>334</v>
      </c>
      <c r="I10" s="15">
        <v>1900000</v>
      </c>
      <c r="J10" s="15">
        <v>19000</v>
      </c>
      <c r="K10" s="11">
        <v>0</v>
      </c>
    </row>
    <row r="11" spans="1:11" x14ac:dyDescent="0.2">
      <c r="A11" s="10">
        <v>52515404</v>
      </c>
      <c r="B11" s="11"/>
      <c r="C11" s="12" t="s">
        <v>34</v>
      </c>
      <c r="D11" s="11" t="s">
        <v>35</v>
      </c>
      <c r="E11" s="13">
        <v>3203373588</v>
      </c>
      <c r="F11" s="10" t="s">
        <v>36</v>
      </c>
      <c r="G11" s="11" t="s">
        <v>17</v>
      </c>
      <c r="H11" s="14">
        <v>334</v>
      </c>
      <c r="I11" s="15">
        <v>5100000</v>
      </c>
      <c r="J11" s="15">
        <v>51000</v>
      </c>
      <c r="K11" s="11">
        <v>0</v>
      </c>
    </row>
    <row r="12" spans="1:11" x14ac:dyDescent="0.2">
      <c r="A12" s="10">
        <v>52847685</v>
      </c>
      <c r="B12" s="11"/>
      <c r="C12" s="12" t="s">
        <v>37</v>
      </c>
      <c r="D12" s="11" t="s">
        <v>38</v>
      </c>
      <c r="E12" s="13">
        <v>3144276114</v>
      </c>
      <c r="F12" s="10" t="s">
        <v>39</v>
      </c>
      <c r="G12" s="11" t="s">
        <v>17</v>
      </c>
      <c r="H12" s="14">
        <v>334</v>
      </c>
      <c r="I12" s="15">
        <v>18999990</v>
      </c>
      <c r="J12" s="15">
        <v>189999.9</v>
      </c>
      <c r="K12" s="11">
        <v>0</v>
      </c>
    </row>
    <row r="13" spans="1:11" x14ac:dyDescent="0.2">
      <c r="A13" s="10">
        <v>52891262</v>
      </c>
      <c r="B13" s="11"/>
      <c r="C13" s="12" t="s">
        <v>40</v>
      </c>
      <c r="D13" s="11" t="s">
        <v>41</v>
      </c>
      <c r="E13" s="16">
        <v>3184460711</v>
      </c>
      <c r="F13" s="10" t="s">
        <v>42</v>
      </c>
      <c r="G13" s="11" t="s">
        <v>17</v>
      </c>
      <c r="H13" s="14">
        <v>334</v>
      </c>
      <c r="I13" s="15">
        <v>9500000</v>
      </c>
      <c r="J13" s="15">
        <v>95000</v>
      </c>
      <c r="K13" s="11">
        <v>0</v>
      </c>
    </row>
    <row r="14" spans="1:11" x14ac:dyDescent="0.2">
      <c r="A14" s="10">
        <v>53045556</v>
      </c>
      <c r="B14" s="11"/>
      <c r="C14" s="12" t="s">
        <v>43</v>
      </c>
      <c r="D14" s="11" t="s">
        <v>44</v>
      </c>
      <c r="E14" s="16">
        <v>3147170917</v>
      </c>
      <c r="F14" s="10" t="s">
        <v>45</v>
      </c>
      <c r="G14" s="11" t="s">
        <v>17</v>
      </c>
      <c r="H14" s="14">
        <v>334</v>
      </c>
      <c r="I14" s="15">
        <v>2170000</v>
      </c>
      <c r="J14" s="15">
        <v>21700</v>
      </c>
      <c r="K14" s="11">
        <v>0</v>
      </c>
    </row>
    <row r="15" spans="1:11" x14ac:dyDescent="0.2">
      <c r="A15" s="10">
        <v>60370638</v>
      </c>
      <c r="B15" s="11"/>
      <c r="C15" s="12" t="s">
        <v>46</v>
      </c>
      <c r="D15" s="11" t="s">
        <v>47</v>
      </c>
      <c r="E15" s="16">
        <v>3203347294</v>
      </c>
      <c r="F15" s="10" t="s">
        <v>48</v>
      </c>
      <c r="G15" s="11" t="s">
        <v>17</v>
      </c>
      <c r="H15" s="14">
        <v>334</v>
      </c>
      <c r="I15" s="15">
        <v>8933330</v>
      </c>
      <c r="J15" s="15">
        <v>89333.3</v>
      </c>
      <c r="K15" s="11">
        <v>0</v>
      </c>
    </row>
    <row r="16" spans="1:11" x14ac:dyDescent="0.2">
      <c r="A16" s="10">
        <v>74322726</v>
      </c>
      <c r="B16" s="11"/>
      <c r="C16" s="12" t="s">
        <v>49</v>
      </c>
      <c r="D16" s="11" t="s">
        <v>50</v>
      </c>
      <c r="E16" s="13">
        <v>3105769654</v>
      </c>
      <c r="F16" s="10" t="s">
        <v>51</v>
      </c>
      <c r="G16" s="11" t="s">
        <v>17</v>
      </c>
      <c r="H16" s="14">
        <v>334</v>
      </c>
      <c r="I16" s="15">
        <v>20100000</v>
      </c>
      <c r="J16" s="15">
        <v>201000</v>
      </c>
      <c r="K16" s="11">
        <v>0</v>
      </c>
    </row>
    <row r="17" spans="1:11" x14ac:dyDescent="0.2">
      <c r="A17" s="10">
        <v>74378575</v>
      </c>
      <c r="B17" s="11"/>
      <c r="C17" s="12" t="s">
        <v>52</v>
      </c>
      <c r="D17" s="11" t="s">
        <v>53</v>
      </c>
      <c r="E17" s="13">
        <v>3173640298</v>
      </c>
      <c r="F17" s="10" t="s">
        <v>54</v>
      </c>
      <c r="G17" s="11" t="s">
        <v>30</v>
      </c>
      <c r="H17" s="14">
        <v>334</v>
      </c>
      <c r="I17" s="15">
        <v>35466666</v>
      </c>
      <c r="J17" s="15">
        <v>354666.66000000003</v>
      </c>
      <c r="K17" s="11">
        <v>0</v>
      </c>
    </row>
    <row r="18" spans="1:11" x14ac:dyDescent="0.2">
      <c r="A18" s="10">
        <v>79276202</v>
      </c>
      <c r="B18" s="11"/>
      <c r="C18" s="12" t="s">
        <v>55</v>
      </c>
      <c r="D18" s="11" t="s">
        <v>56</v>
      </c>
      <c r="E18" s="13">
        <v>3125126658</v>
      </c>
      <c r="F18" s="10" t="s">
        <v>57</v>
      </c>
      <c r="G18" s="11" t="s">
        <v>58</v>
      </c>
      <c r="H18" s="14">
        <v>334</v>
      </c>
      <c r="I18" s="15">
        <v>14250000</v>
      </c>
      <c r="J18" s="15">
        <v>142500</v>
      </c>
      <c r="K18" s="11">
        <v>0</v>
      </c>
    </row>
    <row r="19" spans="1:11" x14ac:dyDescent="0.2">
      <c r="A19" s="10">
        <v>1000270498</v>
      </c>
      <c r="B19" s="11"/>
      <c r="C19" s="12" t="s">
        <v>59</v>
      </c>
      <c r="D19" s="11" t="s">
        <v>60</v>
      </c>
      <c r="E19" s="13">
        <v>3114528701</v>
      </c>
      <c r="F19" s="10" t="s">
        <v>61</v>
      </c>
      <c r="G19" s="11" t="s">
        <v>30</v>
      </c>
      <c r="H19" s="14">
        <v>334</v>
      </c>
      <c r="I19" s="15">
        <v>3400000</v>
      </c>
      <c r="J19" s="15">
        <v>34000</v>
      </c>
      <c r="K19" s="11">
        <v>0</v>
      </c>
    </row>
    <row r="20" spans="1:11" x14ac:dyDescent="0.2">
      <c r="A20" s="10">
        <v>1000339216</v>
      </c>
      <c r="B20" s="11"/>
      <c r="C20" s="12" t="s">
        <v>62</v>
      </c>
      <c r="D20" s="11" t="s">
        <v>63</v>
      </c>
      <c r="E20" s="13">
        <v>3224082003</v>
      </c>
      <c r="F20" s="10" t="s">
        <v>64</v>
      </c>
      <c r="G20" s="11" t="s">
        <v>17</v>
      </c>
      <c r="H20" s="14">
        <v>334</v>
      </c>
      <c r="I20" s="15">
        <v>16000000</v>
      </c>
      <c r="J20" s="15">
        <v>160000</v>
      </c>
      <c r="K20" s="11">
        <v>0</v>
      </c>
    </row>
    <row r="21" spans="1:11" x14ac:dyDescent="0.2">
      <c r="A21" s="10">
        <v>1002479574</v>
      </c>
      <c r="B21" s="11"/>
      <c r="C21" s="12" t="s">
        <v>65</v>
      </c>
      <c r="D21" s="11" t="s">
        <v>66</v>
      </c>
      <c r="E21" s="13">
        <v>3217551824</v>
      </c>
      <c r="F21" s="10" t="s">
        <v>67</v>
      </c>
      <c r="G21" s="11" t="s">
        <v>17</v>
      </c>
      <c r="H21" s="14">
        <v>334</v>
      </c>
      <c r="I21" s="15">
        <v>5100000</v>
      </c>
      <c r="J21" s="15">
        <v>51000</v>
      </c>
      <c r="K21" s="11">
        <v>0</v>
      </c>
    </row>
    <row r="22" spans="1:11" x14ac:dyDescent="0.2">
      <c r="A22" s="10">
        <v>1002479811</v>
      </c>
      <c r="B22" s="11"/>
      <c r="C22" s="12" t="s">
        <v>68</v>
      </c>
      <c r="D22" s="11" t="s">
        <v>69</v>
      </c>
      <c r="E22" s="13">
        <v>3187040015</v>
      </c>
      <c r="F22" s="10" t="s">
        <v>70</v>
      </c>
      <c r="G22" s="11" t="s">
        <v>17</v>
      </c>
      <c r="H22" s="14">
        <v>334</v>
      </c>
      <c r="I22" s="15">
        <v>12873329</v>
      </c>
      <c r="J22" s="15">
        <v>128733.29000000001</v>
      </c>
      <c r="K22" s="11">
        <v>0</v>
      </c>
    </row>
    <row r="23" spans="1:11" x14ac:dyDescent="0.2">
      <c r="A23" s="10">
        <v>1002527843</v>
      </c>
      <c r="B23" s="11"/>
      <c r="C23" s="12" t="s">
        <v>71</v>
      </c>
      <c r="D23" s="11" t="s">
        <v>72</v>
      </c>
      <c r="E23" s="16">
        <v>3237931472</v>
      </c>
      <c r="F23" s="10" t="s">
        <v>73</v>
      </c>
      <c r="G23" s="11" t="s">
        <v>17</v>
      </c>
      <c r="H23" s="14">
        <v>334</v>
      </c>
      <c r="I23" s="15">
        <v>5800000</v>
      </c>
      <c r="J23" s="15">
        <v>58000</v>
      </c>
      <c r="K23" s="11">
        <v>0</v>
      </c>
    </row>
    <row r="24" spans="1:11" x14ac:dyDescent="0.2">
      <c r="A24" s="10">
        <v>1002537923</v>
      </c>
      <c r="B24" s="11"/>
      <c r="C24" s="12" t="s">
        <v>74</v>
      </c>
      <c r="D24" s="11" t="s">
        <v>75</v>
      </c>
      <c r="E24" s="16">
        <v>3214101681</v>
      </c>
      <c r="F24" s="10" t="s">
        <v>76</v>
      </c>
      <c r="G24" s="11" t="s">
        <v>17</v>
      </c>
      <c r="H24" s="14">
        <v>334</v>
      </c>
      <c r="I24" s="15">
        <v>5700000</v>
      </c>
      <c r="J24" s="15">
        <v>57000</v>
      </c>
      <c r="K24" s="11">
        <v>0</v>
      </c>
    </row>
    <row r="25" spans="1:11" x14ac:dyDescent="0.2">
      <c r="A25" s="10">
        <v>1002538026</v>
      </c>
      <c r="B25" s="11"/>
      <c r="C25" s="12" t="s">
        <v>77</v>
      </c>
      <c r="D25" s="11" t="s">
        <v>78</v>
      </c>
      <c r="E25" s="13">
        <v>3128128986</v>
      </c>
      <c r="F25" s="10" t="s">
        <v>76</v>
      </c>
      <c r="G25" s="11" t="s">
        <v>17</v>
      </c>
      <c r="H25" s="14">
        <v>334</v>
      </c>
      <c r="I25" s="15">
        <v>18666645</v>
      </c>
      <c r="J25" s="15">
        <v>186666.44999999998</v>
      </c>
      <c r="K25" s="11">
        <v>0</v>
      </c>
    </row>
    <row r="26" spans="1:11" x14ac:dyDescent="0.2">
      <c r="A26" s="10">
        <v>1002538770</v>
      </c>
      <c r="B26" s="11"/>
      <c r="C26" s="12" t="s">
        <v>79</v>
      </c>
      <c r="D26" s="11" t="s">
        <v>80</v>
      </c>
      <c r="E26" s="13">
        <v>3229128739</v>
      </c>
      <c r="F26" s="10" t="s">
        <v>81</v>
      </c>
      <c r="G26" s="11" t="s">
        <v>17</v>
      </c>
      <c r="H26" s="14">
        <v>334</v>
      </c>
      <c r="I26" s="15">
        <v>11399990</v>
      </c>
      <c r="J26" s="15">
        <v>113999.9</v>
      </c>
      <c r="K26" s="11">
        <v>0</v>
      </c>
    </row>
    <row r="27" spans="1:11" x14ac:dyDescent="0.2">
      <c r="A27" s="10">
        <v>1002539078</v>
      </c>
      <c r="B27" s="11"/>
      <c r="C27" s="12" t="s">
        <v>82</v>
      </c>
      <c r="D27" s="11" t="s">
        <v>83</v>
      </c>
      <c r="E27" s="16">
        <v>3224565025</v>
      </c>
      <c r="F27" s="10" t="s">
        <v>76</v>
      </c>
      <c r="G27" s="11" t="s">
        <v>17</v>
      </c>
      <c r="H27" s="14">
        <v>334</v>
      </c>
      <c r="I27" s="15">
        <v>22200000</v>
      </c>
      <c r="J27" s="15">
        <v>222000</v>
      </c>
      <c r="K27" s="11">
        <v>0</v>
      </c>
    </row>
    <row r="28" spans="1:11" x14ac:dyDescent="0.2">
      <c r="A28" s="10">
        <v>1002599950</v>
      </c>
      <c r="B28" s="11"/>
      <c r="C28" s="12" t="s">
        <v>84</v>
      </c>
      <c r="D28" s="11" t="s">
        <v>85</v>
      </c>
      <c r="E28" s="16">
        <v>3137288937</v>
      </c>
      <c r="F28" s="10" t="s">
        <v>86</v>
      </c>
      <c r="G28" s="11" t="s">
        <v>17</v>
      </c>
      <c r="H28" s="14">
        <v>334</v>
      </c>
      <c r="I28" s="15">
        <v>3400000</v>
      </c>
      <c r="J28" s="15">
        <v>34000</v>
      </c>
      <c r="K28" s="11">
        <v>0</v>
      </c>
    </row>
    <row r="29" spans="1:11" x14ac:dyDescent="0.2">
      <c r="A29" s="10">
        <v>1019096317</v>
      </c>
      <c r="B29" s="11"/>
      <c r="C29" s="12" t="s">
        <v>87</v>
      </c>
      <c r="D29" s="11" t="s">
        <v>88</v>
      </c>
      <c r="E29" s="16">
        <v>3106697034</v>
      </c>
      <c r="F29" s="10" t="s">
        <v>89</v>
      </c>
      <c r="G29" s="11" t="s">
        <v>58</v>
      </c>
      <c r="H29" s="14">
        <v>334</v>
      </c>
      <c r="I29" s="15">
        <v>8360000</v>
      </c>
      <c r="J29" s="15">
        <v>83600</v>
      </c>
      <c r="K29" s="11">
        <v>0</v>
      </c>
    </row>
    <row r="30" spans="1:11" x14ac:dyDescent="0.2">
      <c r="A30" s="10">
        <v>1049608717</v>
      </c>
      <c r="B30" s="11"/>
      <c r="C30" s="12" t="s">
        <v>90</v>
      </c>
      <c r="D30" s="11" t="s">
        <v>91</v>
      </c>
      <c r="E30" s="16">
        <v>3103551392</v>
      </c>
      <c r="F30" s="10" t="s">
        <v>92</v>
      </c>
      <c r="G30" s="11" t="s">
        <v>58</v>
      </c>
      <c r="H30" s="14">
        <v>334</v>
      </c>
      <c r="I30" s="15">
        <v>13940000</v>
      </c>
      <c r="J30" s="15">
        <v>139400</v>
      </c>
      <c r="K30" s="11">
        <v>0</v>
      </c>
    </row>
    <row r="31" spans="1:11" x14ac:dyDescent="0.2">
      <c r="A31" s="10">
        <v>1052380918</v>
      </c>
      <c r="B31" s="11"/>
      <c r="C31" s="12" t="s">
        <v>93</v>
      </c>
      <c r="D31" s="11" t="s">
        <v>94</v>
      </c>
      <c r="E31" s="16">
        <v>3102006008</v>
      </c>
      <c r="F31" s="10" t="s">
        <v>95</v>
      </c>
      <c r="G31" s="11" t="s">
        <v>30</v>
      </c>
      <c r="H31" s="14">
        <v>334</v>
      </c>
      <c r="I31" s="15">
        <v>11700000</v>
      </c>
      <c r="J31" s="15">
        <v>117000</v>
      </c>
      <c r="K31" s="11">
        <v>0</v>
      </c>
    </row>
    <row r="32" spans="1:11" x14ac:dyDescent="0.2">
      <c r="A32" s="10">
        <v>1052387487</v>
      </c>
      <c r="B32" s="11"/>
      <c r="C32" s="12" t="s">
        <v>96</v>
      </c>
      <c r="D32" s="11" t="s">
        <v>97</v>
      </c>
      <c r="E32" s="16">
        <v>3222607534</v>
      </c>
      <c r="F32" s="10" t="s">
        <v>98</v>
      </c>
      <c r="G32" s="11" t="s">
        <v>30</v>
      </c>
      <c r="H32" s="14">
        <v>334</v>
      </c>
      <c r="I32" s="15">
        <v>21853333</v>
      </c>
      <c r="J32" s="15">
        <v>218533.33</v>
      </c>
      <c r="K32" s="11">
        <v>0</v>
      </c>
    </row>
    <row r="33" spans="1:11" x14ac:dyDescent="0.2">
      <c r="A33" s="10">
        <v>1052408654</v>
      </c>
      <c r="B33" s="11"/>
      <c r="C33" s="12" t="s">
        <v>99</v>
      </c>
      <c r="D33" s="11" t="s">
        <v>100</v>
      </c>
      <c r="E33" s="16">
        <v>3043374989</v>
      </c>
      <c r="F33" s="10" t="s">
        <v>101</v>
      </c>
      <c r="G33" s="11" t="s">
        <v>102</v>
      </c>
      <c r="H33" s="14">
        <v>334</v>
      </c>
      <c r="I33" s="15">
        <v>9153333</v>
      </c>
      <c r="J33" s="15">
        <v>91533.33</v>
      </c>
      <c r="K33" s="11">
        <v>0</v>
      </c>
    </row>
    <row r="34" spans="1:11" x14ac:dyDescent="0.2">
      <c r="A34" s="10">
        <v>1052412342</v>
      </c>
      <c r="B34" s="11"/>
      <c r="C34" s="12" t="s">
        <v>103</v>
      </c>
      <c r="D34" s="11" t="s">
        <v>104</v>
      </c>
      <c r="E34" s="16">
        <v>3003718490</v>
      </c>
      <c r="F34" s="10" t="s">
        <v>105</v>
      </c>
      <c r="G34" s="11" t="s">
        <v>17</v>
      </c>
      <c r="H34" s="14">
        <v>334</v>
      </c>
      <c r="I34" s="15">
        <v>4243333</v>
      </c>
      <c r="J34" s="15">
        <v>42433.33</v>
      </c>
      <c r="K34" s="11">
        <v>0</v>
      </c>
    </row>
    <row r="35" spans="1:11" x14ac:dyDescent="0.2">
      <c r="A35" s="10">
        <v>1052413435</v>
      </c>
      <c r="B35" s="11"/>
      <c r="C35" s="12" t="s">
        <v>106</v>
      </c>
      <c r="D35" s="11" t="s">
        <v>107</v>
      </c>
      <c r="E35" s="16">
        <v>3118104241</v>
      </c>
      <c r="F35" s="10" t="s">
        <v>108</v>
      </c>
      <c r="G35" s="11" t="s">
        <v>102</v>
      </c>
      <c r="H35" s="14">
        <v>334</v>
      </c>
      <c r="I35" s="15">
        <v>21756666</v>
      </c>
      <c r="J35" s="15">
        <v>217566.66</v>
      </c>
      <c r="K35" s="11">
        <v>0</v>
      </c>
    </row>
    <row r="36" spans="1:11" x14ac:dyDescent="0.2">
      <c r="A36" s="17">
        <v>1053604526</v>
      </c>
      <c r="B36" s="11"/>
      <c r="C36" s="12" t="s">
        <v>109</v>
      </c>
      <c r="D36" s="11" t="s">
        <v>110</v>
      </c>
      <c r="E36" s="16">
        <v>3196366585</v>
      </c>
      <c r="F36" s="10" t="s">
        <v>111</v>
      </c>
      <c r="G36" s="11" t="s">
        <v>17</v>
      </c>
      <c r="H36" s="14">
        <v>334</v>
      </c>
      <c r="I36" s="15">
        <v>17100000</v>
      </c>
      <c r="J36" s="15">
        <v>171000</v>
      </c>
      <c r="K36" s="11">
        <v>0</v>
      </c>
    </row>
    <row r="37" spans="1:11" x14ac:dyDescent="0.2">
      <c r="A37" s="10">
        <v>1123415282</v>
      </c>
      <c r="B37" s="11"/>
      <c r="C37" s="12" t="s">
        <v>112</v>
      </c>
      <c r="D37" s="11" t="s">
        <v>113</v>
      </c>
      <c r="E37" s="16">
        <v>3136992610</v>
      </c>
      <c r="F37" s="10" t="s">
        <v>108</v>
      </c>
      <c r="G37" s="11" t="s">
        <v>102</v>
      </c>
      <c r="H37" s="14">
        <v>334</v>
      </c>
      <c r="I37" s="15">
        <v>3600000</v>
      </c>
      <c r="J37" s="15">
        <v>36000</v>
      </c>
      <c r="K37" s="11">
        <v>0</v>
      </c>
    </row>
    <row r="38" spans="1:11" x14ac:dyDescent="0.2">
      <c r="A38" s="10">
        <v>1053607286</v>
      </c>
      <c r="B38" s="11"/>
      <c r="C38" s="12" t="s">
        <v>114</v>
      </c>
      <c r="D38" s="11" t="s">
        <v>115</v>
      </c>
      <c r="E38" s="16">
        <v>3112366249</v>
      </c>
      <c r="F38" s="10" t="s">
        <v>116</v>
      </c>
      <c r="G38" s="11" t="s">
        <v>17</v>
      </c>
      <c r="H38" s="14">
        <v>334</v>
      </c>
      <c r="I38" s="15">
        <v>21903333</v>
      </c>
      <c r="J38" s="15">
        <v>219033.33</v>
      </c>
      <c r="K38" s="11">
        <v>0</v>
      </c>
    </row>
    <row r="39" spans="1:11" x14ac:dyDescent="0.2">
      <c r="A39" s="10">
        <v>1053610061</v>
      </c>
      <c r="B39" s="11"/>
      <c r="C39" s="12" t="s">
        <v>117</v>
      </c>
      <c r="D39" s="11" t="s">
        <v>118</v>
      </c>
      <c r="E39" s="16">
        <v>3124405395</v>
      </c>
      <c r="F39" s="10" t="s">
        <v>119</v>
      </c>
      <c r="G39" s="11" t="s">
        <v>17</v>
      </c>
      <c r="H39" s="14">
        <v>334</v>
      </c>
      <c r="I39" s="15">
        <v>21133333</v>
      </c>
      <c r="J39" s="15">
        <v>211333.33</v>
      </c>
      <c r="K39" s="11">
        <v>0</v>
      </c>
    </row>
    <row r="40" spans="1:11" x14ac:dyDescent="0.2">
      <c r="A40" s="10">
        <v>1053610712</v>
      </c>
      <c r="B40" s="11"/>
      <c r="C40" s="12" t="s">
        <v>120</v>
      </c>
      <c r="D40" s="11" t="s">
        <v>121</v>
      </c>
      <c r="E40" s="16">
        <v>3227980802</v>
      </c>
      <c r="F40" s="10" t="s">
        <v>122</v>
      </c>
      <c r="G40" s="11" t="s">
        <v>17</v>
      </c>
      <c r="H40" s="14">
        <v>334</v>
      </c>
      <c r="I40" s="15">
        <v>5700000</v>
      </c>
      <c r="J40" s="15">
        <v>57000</v>
      </c>
      <c r="K40" s="11">
        <v>0</v>
      </c>
    </row>
    <row r="41" spans="1:11" x14ac:dyDescent="0.2">
      <c r="A41" s="10">
        <v>1053613053</v>
      </c>
      <c r="B41" s="11"/>
      <c r="C41" s="12" t="s">
        <v>123</v>
      </c>
      <c r="D41" s="11" t="s">
        <v>124</v>
      </c>
      <c r="E41" s="16">
        <v>3135489894</v>
      </c>
      <c r="F41" s="10" t="s">
        <v>125</v>
      </c>
      <c r="G41" s="11" t="s">
        <v>17</v>
      </c>
      <c r="H41" s="14">
        <v>334</v>
      </c>
      <c r="I41" s="15">
        <v>533000</v>
      </c>
      <c r="J41" s="15">
        <v>5330</v>
      </c>
      <c r="K41" s="11">
        <v>0</v>
      </c>
    </row>
    <row r="42" spans="1:11" x14ac:dyDescent="0.2">
      <c r="A42" s="10">
        <v>1053613918</v>
      </c>
      <c r="B42" s="11"/>
      <c r="C42" s="12" t="s">
        <v>126</v>
      </c>
      <c r="D42" s="11" t="s">
        <v>127</v>
      </c>
      <c r="E42" s="16">
        <v>3133161301</v>
      </c>
      <c r="F42" s="10" t="s">
        <v>128</v>
      </c>
      <c r="G42" s="11" t="s">
        <v>17</v>
      </c>
      <c r="H42" s="14">
        <v>334</v>
      </c>
      <c r="I42" s="15">
        <v>1500000</v>
      </c>
      <c r="J42" s="15">
        <v>15000</v>
      </c>
      <c r="K42" s="11">
        <v>0</v>
      </c>
    </row>
    <row r="43" spans="1:11" x14ac:dyDescent="0.2">
      <c r="A43" s="10">
        <v>1053614681</v>
      </c>
      <c r="B43" s="11"/>
      <c r="C43" s="12" t="s">
        <v>129</v>
      </c>
      <c r="D43" s="11" t="s">
        <v>130</v>
      </c>
      <c r="E43" s="16">
        <v>3124618383</v>
      </c>
      <c r="F43" s="10" t="s">
        <v>131</v>
      </c>
      <c r="G43" s="11" t="s">
        <v>17</v>
      </c>
      <c r="H43" s="14">
        <v>334</v>
      </c>
      <c r="I43" s="15">
        <v>633333</v>
      </c>
      <c r="J43" s="15">
        <v>6333.33</v>
      </c>
      <c r="K43" s="11">
        <v>0</v>
      </c>
    </row>
    <row r="44" spans="1:11" x14ac:dyDescent="0.2">
      <c r="A44" s="10">
        <v>1053616692</v>
      </c>
      <c r="B44" s="11"/>
      <c r="C44" s="12" t="s">
        <v>132</v>
      </c>
      <c r="D44" s="11" t="s">
        <v>133</v>
      </c>
      <c r="E44" s="13">
        <v>3123623709</v>
      </c>
      <c r="F44" s="10" t="s">
        <v>134</v>
      </c>
      <c r="G44" s="11" t="s">
        <v>17</v>
      </c>
      <c r="H44" s="14">
        <v>334</v>
      </c>
      <c r="I44" s="15">
        <v>14800000</v>
      </c>
      <c r="J44" s="15">
        <v>148000</v>
      </c>
      <c r="K44" s="11">
        <v>0</v>
      </c>
    </row>
    <row r="45" spans="1:11" x14ac:dyDescent="0.2">
      <c r="A45" s="10">
        <v>1053617045</v>
      </c>
      <c r="B45" s="11"/>
      <c r="C45" s="12" t="s">
        <v>135</v>
      </c>
      <c r="D45" s="11" t="s">
        <v>136</v>
      </c>
      <c r="E45" s="13">
        <v>3104779818</v>
      </c>
      <c r="F45" s="10" t="s">
        <v>137</v>
      </c>
      <c r="G45" s="11" t="s">
        <v>17</v>
      </c>
      <c r="H45" s="14">
        <v>334</v>
      </c>
      <c r="I45" s="15">
        <v>3400000</v>
      </c>
      <c r="J45" s="15">
        <v>34000</v>
      </c>
      <c r="K45" s="11">
        <v>0</v>
      </c>
    </row>
    <row r="46" spans="1:11" x14ac:dyDescent="0.2">
      <c r="A46" s="10">
        <v>1054146053</v>
      </c>
      <c r="B46" s="11"/>
      <c r="C46" s="12" t="s">
        <v>138</v>
      </c>
      <c r="D46" s="11" t="s">
        <v>139</v>
      </c>
      <c r="E46" s="13">
        <v>3137635321</v>
      </c>
      <c r="F46" s="10" t="s">
        <v>140</v>
      </c>
      <c r="G46" s="11" t="s">
        <v>17</v>
      </c>
      <c r="H46" s="14">
        <v>334</v>
      </c>
      <c r="I46" s="15">
        <v>16000000</v>
      </c>
      <c r="J46" s="15">
        <v>160000</v>
      </c>
      <c r="K46" s="11">
        <v>0</v>
      </c>
    </row>
    <row r="47" spans="1:11" x14ac:dyDescent="0.2">
      <c r="A47" s="10">
        <v>1057592681</v>
      </c>
      <c r="B47" s="11"/>
      <c r="C47" s="12" t="s">
        <v>141</v>
      </c>
      <c r="D47" s="11" t="s">
        <v>142</v>
      </c>
      <c r="E47" s="13">
        <v>3125463412</v>
      </c>
      <c r="F47" s="10" t="s">
        <v>143</v>
      </c>
      <c r="G47" s="11" t="s">
        <v>144</v>
      </c>
      <c r="H47" s="14">
        <v>334</v>
      </c>
      <c r="I47" s="15">
        <v>30000000</v>
      </c>
      <c r="J47" s="15">
        <v>300000</v>
      </c>
      <c r="K47" s="11">
        <v>0</v>
      </c>
    </row>
    <row r="48" spans="1:11" x14ac:dyDescent="0.2">
      <c r="A48" s="10">
        <v>1069733542</v>
      </c>
      <c r="B48" s="11"/>
      <c r="C48" s="12" t="s">
        <v>145</v>
      </c>
      <c r="D48" s="11" t="s">
        <v>146</v>
      </c>
      <c r="E48" s="16">
        <v>3102252440</v>
      </c>
      <c r="F48" s="10" t="s">
        <v>144</v>
      </c>
      <c r="G48" s="11" t="s">
        <v>144</v>
      </c>
      <c r="H48" s="14">
        <v>334</v>
      </c>
      <c r="I48" s="15">
        <v>2100000</v>
      </c>
      <c r="J48" s="15">
        <v>21000</v>
      </c>
      <c r="K48" s="11">
        <v>0</v>
      </c>
    </row>
    <row r="49" spans="1:11" x14ac:dyDescent="0.2">
      <c r="A49" s="10">
        <v>1096183981</v>
      </c>
      <c r="B49" s="11"/>
      <c r="C49" s="12" t="s">
        <v>147</v>
      </c>
      <c r="D49" s="11" t="s">
        <v>148</v>
      </c>
      <c r="E49" s="16">
        <v>3214301033</v>
      </c>
      <c r="F49" s="10" t="s">
        <v>149</v>
      </c>
      <c r="G49" s="11" t="s">
        <v>30</v>
      </c>
      <c r="H49" s="14">
        <v>334</v>
      </c>
      <c r="I49" s="15">
        <v>380000</v>
      </c>
      <c r="J49" s="15">
        <v>3800</v>
      </c>
      <c r="K49" s="11">
        <v>0</v>
      </c>
    </row>
    <row r="50" spans="1:11" x14ac:dyDescent="0.2">
      <c r="A50" s="4">
        <v>4060491</v>
      </c>
      <c r="B50" s="4"/>
      <c r="C50" s="5" t="s">
        <v>150</v>
      </c>
      <c r="D50" s="18" t="s">
        <v>151</v>
      </c>
      <c r="E50" s="7">
        <v>3118543485</v>
      </c>
      <c r="F50" s="4" t="s">
        <v>152</v>
      </c>
      <c r="G50" s="4" t="s">
        <v>30</v>
      </c>
      <c r="H50" s="8">
        <v>304</v>
      </c>
      <c r="I50" s="9">
        <v>1000000</v>
      </c>
      <c r="J50" s="9">
        <v>7000</v>
      </c>
      <c r="K50" s="4">
        <v>0</v>
      </c>
    </row>
    <row r="51" spans="1:11" x14ac:dyDescent="0.2">
      <c r="A51" s="4">
        <v>4192158</v>
      </c>
      <c r="B51" s="4"/>
      <c r="C51" s="5" t="s">
        <v>153</v>
      </c>
      <c r="D51" s="18" t="s">
        <v>154</v>
      </c>
      <c r="E51" s="7">
        <v>3102207558</v>
      </c>
      <c r="F51" s="4" t="s">
        <v>155</v>
      </c>
      <c r="G51" s="4" t="s">
        <v>17</v>
      </c>
      <c r="H51" s="8">
        <v>211</v>
      </c>
      <c r="I51" s="9">
        <v>1230000</v>
      </c>
      <c r="J51" s="9">
        <v>9840</v>
      </c>
      <c r="K51" s="4">
        <v>0</v>
      </c>
    </row>
    <row r="52" spans="1:11" x14ac:dyDescent="0.2">
      <c r="A52" s="4">
        <v>4192158</v>
      </c>
      <c r="B52" s="4"/>
      <c r="C52" s="5" t="s">
        <v>153</v>
      </c>
      <c r="D52" s="18" t="s">
        <v>154</v>
      </c>
      <c r="E52" s="7">
        <v>3102207558</v>
      </c>
      <c r="F52" s="4" t="s">
        <v>155</v>
      </c>
      <c r="G52" s="4" t="s">
        <v>17</v>
      </c>
      <c r="H52" s="8">
        <v>304</v>
      </c>
      <c r="I52" s="9">
        <v>14135000</v>
      </c>
      <c r="J52" s="9">
        <v>98945</v>
      </c>
      <c r="K52" s="4">
        <v>0</v>
      </c>
    </row>
    <row r="53" spans="1:11" x14ac:dyDescent="0.25">
      <c r="A53" s="4">
        <v>4278071</v>
      </c>
      <c r="B53" s="4"/>
      <c r="C53" s="5" t="s">
        <v>156</v>
      </c>
      <c r="D53" s="6" t="s">
        <v>157</v>
      </c>
      <c r="E53" s="7">
        <v>3107950357</v>
      </c>
      <c r="F53" s="4" t="s">
        <v>158</v>
      </c>
      <c r="G53" s="4" t="s">
        <v>17</v>
      </c>
      <c r="H53" s="8">
        <v>304</v>
      </c>
      <c r="I53" s="9">
        <v>4602000</v>
      </c>
      <c r="J53" s="9">
        <v>32214</v>
      </c>
      <c r="K53" s="4">
        <v>0</v>
      </c>
    </row>
    <row r="54" spans="1:11" x14ac:dyDescent="0.2">
      <c r="A54" s="4">
        <v>5867726</v>
      </c>
      <c r="B54" s="4"/>
      <c r="C54" s="5" t="s">
        <v>159</v>
      </c>
      <c r="D54" s="19" t="s">
        <v>160</v>
      </c>
      <c r="E54" s="7">
        <v>3105505721</v>
      </c>
      <c r="F54" s="4" t="s">
        <v>161</v>
      </c>
      <c r="G54" s="4" t="s">
        <v>17</v>
      </c>
      <c r="H54" s="8">
        <v>304</v>
      </c>
      <c r="I54" s="9">
        <v>3500000</v>
      </c>
      <c r="J54" s="9">
        <v>24500</v>
      </c>
      <c r="K54" s="4">
        <v>0</v>
      </c>
    </row>
    <row r="55" spans="1:11" x14ac:dyDescent="0.2">
      <c r="A55" s="4">
        <v>5867726</v>
      </c>
      <c r="B55" s="4"/>
      <c r="C55" s="5" t="s">
        <v>159</v>
      </c>
      <c r="D55" s="19" t="s">
        <v>160</v>
      </c>
      <c r="E55" s="7">
        <v>3105505721</v>
      </c>
      <c r="F55" s="4" t="s">
        <v>161</v>
      </c>
      <c r="G55" s="4" t="s">
        <v>17</v>
      </c>
      <c r="H55" s="8">
        <v>211</v>
      </c>
      <c r="I55" s="9">
        <v>450000</v>
      </c>
      <c r="J55" s="9">
        <v>3600</v>
      </c>
      <c r="K55" s="4">
        <v>0</v>
      </c>
    </row>
    <row r="56" spans="1:11" x14ac:dyDescent="0.2">
      <c r="A56" s="4">
        <v>6757858</v>
      </c>
      <c r="B56" s="4"/>
      <c r="C56" s="5" t="s">
        <v>162</v>
      </c>
      <c r="D56" s="18" t="s">
        <v>163</v>
      </c>
      <c r="E56" s="7">
        <v>3165267381</v>
      </c>
      <c r="F56" s="4" t="s">
        <v>164</v>
      </c>
      <c r="G56" s="4" t="s">
        <v>17</v>
      </c>
      <c r="H56" s="8">
        <v>304</v>
      </c>
      <c r="I56" s="9">
        <v>1100000</v>
      </c>
      <c r="J56" s="9">
        <v>7700</v>
      </c>
      <c r="K56" s="4">
        <v>0</v>
      </c>
    </row>
    <row r="57" spans="1:11" x14ac:dyDescent="0.25">
      <c r="A57" s="4">
        <v>7173071</v>
      </c>
      <c r="B57" s="4"/>
      <c r="C57" s="5" t="s">
        <v>165</v>
      </c>
      <c r="D57" s="6" t="s">
        <v>166</v>
      </c>
      <c r="E57" s="20">
        <v>3124070667</v>
      </c>
      <c r="F57" s="4" t="s">
        <v>167</v>
      </c>
      <c r="G57" s="4" t="s">
        <v>17</v>
      </c>
      <c r="H57" s="8">
        <v>334</v>
      </c>
      <c r="I57" s="9">
        <v>2500000</v>
      </c>
      <c r="J57" s="9">
        <v>25000</v>
      </c>
      <c r="K57" s="4">
        <v>0</v>
      </c>
    </row>
    <row r="58" spans="1:11" x14ac:dyDescent="0.2">
      <c r="A58" s="4">
        <v>7217393</v>
      </c>
      <c r="B58" s="4"/>
      <c r="C58" s="5" t="s">
        <v>168</v>
      </c>
      <c r="D58" s="18" t="s">
        <v>169</v>
      </c>
      <c r="E58" s="7">
        <v>3118118862</v>
      </c>
      <c r="F58" s="4" t="s">
        <v>170</v>
      </c>
      <c r="G58" s="4" t="s">
        <v>30</v>
      </c>
      <c r="H58" s="8">
        <v>304</v>
      </c>
      <c r="I58" s="9">
        <v>2600000</v>
      </c>
      <c r="J58" s="9">
        <v>18200</v>
      </c>
      <c r="K58" s="4">
        <v>0</v>
      </c>
    </row>
    <row r="59" spans="1:11" x14ac:dyDescent="0.25">
      <c r="A59" s="4">
        <v>7221701</v>
      </c>
      <c r="B59" s="4"/>
      <c r="C59" s="5" t="s">
        <v>171</v>
      </c>
      <c r="D59" s="6" t="s">
        <v>172</v>
      </c>
      <c r="E59" s="7">
        <v>3112082626</v>
      </c>
      <c r="F59" s="4" t="s">
        <v>173</v>
      </c>
      <c r="G59" s="4" t="s">
        <v>17</v>
      </c>
      <c r="H59" s="8">
        <v>208</v>
      </c>
      <c r="I59" s="9">
        <v>385000</v>
      </c>
      <c r="J59" s="9">
        <v>3080</v>
      </c>
      <c r="K59" s="4">
        <v>0</v>
      </c>
    </row>
    <row r="60" spans="1:11" x14ac:dyDescent="0.25">
      <c r="A60" s="4">
        <v>7225658</v>
      </c>
      <c r="B60" s="4"/>
      <c r="C60" s="5" t="s">
        <v>174</v>
      </c>
      <c r="D60" s="6" t="s">
        <v>175</v>
      </c>
      <c r="E60" s="7">
        <v>3016014535</v>
      </c>
      <c r="F60" s="4" t="s">
        <v>176</v>
      </c>
      <c r="G60" s="4" t="s">
        <v>17</v>
      </c>
      <c r="H60" s="8">
        <v>304</v>
      </c>
      <c r="I60" s="9">
        <v>350000</v>
      </c>
      <c r="J60" s="9">
        <v>2450</v>
      </c>
      <c r="K60" s="4">
        <v>0</v>
      </c>
    </row>
    <row r="61" spans="1:11" x14ac:dyDescent="0.25">
      <c r="A61" s="4">
        <v>7227927</v>
      </c>
      <c r="B61" s="4"/>
      <c r="C61" s="5" t="s">
        <v>177</v>
      </c>
      <c r="D61" s="6" t="s">
        <v>178</v>
      </c>
      <c r="E61" s="7">
        <v>3102191633</v>
      </c>
      <c r="F61" s="4" t="s">
        <v>179</v>
      </c>
      <c r="G61" s="4" t="s">
        <v>30</v>
      </c>
      <c r="H61" s="8">
        <v>304</v>
      </c>
      <c r="I61" s="9">
        <v>6290000</v>
      </c>
      <c r="J61" s="9">
        <v>44030</v>
      </c>
      <c r="K61" s="4">
        <v>0</v>
      </c>
    </row>
    <row r="62" spans="1:11" x14ac:dyDescent="0.25">
      <c r="A62" s="4">
        <v>9461665</v>
      </c>
      <c r="B62" s="4"/>
      <c r="C62" s="5" t="s">
        <v>180</v>
      </c>
      <c r="D62" s="6" t="s">
        <v>181</v>
      </c>
      <c r="E62" s="7">
        <v>3204556162</v>
      </c>
      <c r="F62" s="4" t="s">
        <v>182</v>
      </c>
      <c r="G62" s="4" t="s">
        <v>17</v>
      </c>
      <c r="H62" s="8">
        <v>211</v>
      </c>
      <c r="I62" s="9">
        <v>770000</v>
      </c>
      <c r="J62" s="9">
        <v>6160</v>
      </c>
      <c r="K62" s="4">
        <v>0</v>
      </c>
    </row>
    <row r="63" spans="1:11" x14ac:dyDescent="0.25">
      <c r="A63" s="4">
        <v>9461665</v>
      </c>
      <c r="B63" s="4"/>
      <c r="C63" s="5" t="s">
        <v>180</v>
      </c>
      <c r="D63" s="6" t="s">
        <v>181</v>
      </c>
      <c r="E63" s="7">
        <v>3204556162</v>
      </c>
      <c r="F63" s="4" t="s">
        <v>182</v>
      </c>
      <c r="G63" s="4" t="s">
        <v>17</v>
      </c>
      <c r="H63" s="8">
        <v>211</v>
      </c>
      <c r="I63" s="9">
        <v>160000</v>
      </c>
      <c r="J63" s="9">
        <v>1120</v>
      </c>
      <c r="K63" s="4">
        <v>0</v>
      </c>
    </row>
    <row r="64" spans="1:11" x14ac:dyDescent="0.25">
      <c r="A64" s="4">
        <v>9526962</v>
      </c>
      <c r="B64" s="4"/>
      <c r="C64" s="5" t="s">
        <v>183</v>
      </c>
      <c r="D64" s="6" t="s">
        <v>184</v>
      </c>
      <c r="E64" s="7">
        <v>3103375253</v>
      </c>
      <c r="F64" s="4" t="s">
        <v>185</v>
      </c>
      <c r="G64" s="4" t="s">
        <v>17</v>
      </c>
      <c r="H64" s="8">
        <v>304</v>
      </c>
      <c r="I64" s="9">
        <v>1055799</v>
      </c>
      <c r="J64" s="9">
        <v>7390.5929999999998</v>
      </c>
      <c r="K64" s="4">
        <v>0</v>
      </c>
    </row>
    <row r="65" spans="1:11" x14ac:dyDescent="0.25">
      <c r="A65" s="4">
        <v>9526962</v>
      </c>
      <c r="B65" s="4"/>
      <c r="C65" s="5" t="s">
        <v>183</v>
      </c>
      <c r="D65" s="6" t="s">
        <v>184</v>
      </c>
      <c r="E65" s="7">
        <v>3103375253</v>
      </c>
      <c r="F65" s="4" t="s">
        <v>185</v>
      </c>
      <c r="G65" s="4" t="s">
        <v>17</v>
      </c>
      <c r="H65" s="8">
        <v>211</v>
      </c>
      <c r="I65" s="9">
        <v>672268.90756302525</v>
      </c>
      <c r="J65" s="9">
        <v>5378.1512605042017</v>
      </c>
      <c r="K65" s="4">
        <v>0</v>
      </c>
    </row>
    <row r="66" spans="1:11" x14ac:dyDescent="0.25">
      <c r="A66" s="4">
        <v>21022942</v>
      </c>
      <c r="B66" s="4"/>
      <c r="C66" s="5" t="s">
        <v>186</v>
      </c>
      <c r="D66" s="6" t="s">
        <v>187</v>
      </c>
      <c r="E66" s="7">
        <v>3118194076</v>
      </c>
      <c r="F66" s="4" t="s">
        <v>188</v>
      </c>
      <c r="G66" s="4" t="s">
        <v>17</v>
      </c>
      <c r="H66" s="8">
        <v>202</v>
      </c>
      <c r="I66" s="9">
        <v>500000</v>
      </c>
      <c r="J66" s="9">
        <v>2500</v>
      </c>
      <c r="K66" s="4">
        <v>0</v>
      </c>
    </row>
    <row r="67" spans="1:11" x14ac:dyDescent="0.25">
      <c r="A67" s="4">
        <v>23855859</v>
      </c>
      <c r="B67" s="4"/>
      <c r="C67" s="5" t="s">
        <v>189</v>
      </c>
      <c r="D67" s="6" t="s">
        <v>190</v>
      </c>
      <c r="E67" s="7">
        <v>3132753900</v>
      </c>
      <c r="F67" s="4" t="s">
        <v>137</v>
      </c>
      <c r="G67" s="4" t="s">
        <v>17</v>
      </c>
      <c r="H67" s="8">
        <v>206</v>
      </c>
      <c r="I67" s="9">
        <v>300000</v>
      </c>
      <c r="J67" s="9">
        <v>2400</v>
      </c>
      <c r="K67" s="4">
        <v>0</v>
      </c>
    </row>
    <row r="68" spans="1:11" x14ac:dyDescent="0.25">
      <c r="A68" s="4">
        <v>23855859</v>
      </c>
      <c r="B68" s="4"/>
      <c r="C68" s="5" t="s">
        <v>189</v>
      </c>
      <c r="D68" s="6" t="s">
        <v>190</v>
      </c>
      <c r="E68" s="7">
        <v>3132753900</v>
      </c>
      <c r="F68" s="4" t="s">
        <v>137</v>
      </c>
      <c r="G68" s="4" t="s">
        <v>17</v>
      </c>
      <c r="H68" s="8">
        <v>304</v>
      </c>
      <c r="I68" s="9">
        <v>370000</v>
      </c>
      <c r="J68" s="9">
        <v>2590</v>
      </c>
      <c r="K68" s="4">
        <v>0</v>
      </c>
    </row>
    <row r="69" spans="1:11" x14ac:dyDescent="0.25">
      <c r="A69" s="4">
        <v>23857273</v>
      </c>
      <c r="B69" s="4"/>
      <c r="C69" s="5" t="s">
        <v>191</v>
      </c>
      <c r="D69" s="6" t="s">
        <v>192</v>
      </c>
      <c r="E69" s="7">
        <v>3132523346</v>
      </c>
      <c r="F69" s="4" t="s">
        <v>193</v>
      </c>
      <c r="G69" s="4" t="s">
        <v>17</v>
      </c>
      <c r="H69" s="8">
        <v>206</v>
      </c>
      <c r="I69" s="9">
        <v>504000</v>
      </c>
      <c r="J69" s="9">
        <v>4032</v>
      </c>
      <c r="K69" s="4">
        <v>0</v>
      </c>
    </row>
    <row r="70" spans="1:11" x14ac:dyDescent="0.25">
      <c r="A70" s="4">
        <v>28946606</v>
      </c>
      <c r="B70" s="4"/>
      <c r="C70" s="5" t="s">
        <v>194</v>
      </c>
      <c r="D70" s="6" t="s">
        <v>195</v>
      </c>
      <c r="E70" s="7">
        <v>3143222656</v>
      </c>
      <c r="F70" s="4" t="s">
        <v>196</v>
      </c>
      <c r="G70" s="4" t="s">
        <v>58</v>
      </c>
      <c r="H70" s="8">
        <v>304</v>
      </c>
      <c r="I70" s="9">
        <v>1000000</v>
      </c>
      <c r="J70" s="9">
        <v>7000</v>
      </c>
      <c r="K70" s="4">
        <v>0</v>
      </c>
    </row>
    <row r="71" spans="1:11" x14ac:dyDescent="0.25">
      <c r="A71" s="4">
        <v>46680612</v>
      </c>
      <c r="B71" s="4"/>
      <c r="C71" s="5" t="s">
        <v>197</v>
      </c>
      <c r="D71" s="6" t="s">
        <v>198</v>
      </c>
      <c r="E71" s="7">
        <v>3143239509</v>
      </c>
      <c r="F71" s="4" t="s">
        <v>199</v>
      </c>
      <c r="G71" s="4" t="s">
        <v>17</v>
      </c>
      <c r="H71" s="8">
        <v>304</v>
      </c>
      <c r="I71" s="9">
        <v>504201.6</v>
      </c>
      <c r="J71" s="9">
        <v>3529.4112</v>
      </c>
      <c r="K71" s="4">
        <v>0</v>
      </c>
    </row>
    <row r="72" spans="1:11" x14ac:dyDescent="0.25">
      <c r="A72" s="4">
        <v>46680612</v>
      </c>
      <c r="B72" s="4"/>
      <c r="C72" s="5" t="s">
        <v>197</v>
      </c>
      <c r="D72" s="6" t="s">
        <v>198</v>
      </c>
      <c r="E72" s="7">
        <v>3143239509</v>
      </c>
      <c r="F72" s="4" t="s">
        <v>199</v>
      </c>
      <c r="G72" s="4" t="s">
        <v>17</v>
      </c>
      <c r="H72" s="8">
        <v>211</v>
      </c>
      <c r="I72" s="9">
        <v>2993890</v>
      </c>
      <c r="J72" s="9">
        <v>23951</v>
      </c>
      <c r="K72" s="4">
        <v>0</v>
      </c>
    </row>
    <row r="73" spans="1:11" x14ac:dyDescent="0.25">
      <c r="A73" s="4">
        <v>46680873</v>
      </c>
      <c r="B73" s="4"/>
      <c r="C73" s="5" t="s">
        <v>200</v>
      </c>
      <c r="D73" s="6" t="s">
        <v>201</v>
      </c>
      <c r="E73" s="7">
        <v>7850468</v>
      </c>
      <c r="F73" s="4" t="s">
        <v>202</v>
      </c>
      <c r="G73" s="4" t="s">
        <v>17</v>
      </c>
      <c r="H73" s="8">
        <v>204</v>
      </c>
      <c r="I73" s="9">
        <v>150000</v>
      </c>
      <c r="J73" s="9">
        <v>1200</v>
      </c>
      <c r="K73" s="4">
        <v>0</v>
      </c>
    </row>
    <row r="74" spans="1:11" x14ac:dyDescent="0.25">
      <c r="A74" s="4">
        <v>46682789</v>
      </c>
      <c r="B74" s="4"/>
      <c r="C74" s="5" t="s">
        <v>203</v>
      </c>
      <c r="D74" s="6" t="s">
        <v>204</v>
      </c>
      <c r="E74" s="7">
        <v>3133513221</v>
      </c>
      <c r="F74" s="4" t="s">
        <v>205</v>
      </c>
      <c r="G74" s="4" t="s">
        <v>17</v>
      </c>
      <c r="H74" s="8">
        <v>202</v>
      </c>
      <c r="I74" s="9">
        <v>1009000</v>
      </c>
      <c r="J74" s="9">
        <v>8072</v>
      </c>
      <c r="K74" s="4">
        <v>0</v>
      </c>
    </row>
    <row r="75" spans="1:11" x14ac:dyDescent="0.25">
      <c r="A75" s="4">
        <v>46683068</v>
      </c>
      <c r="B75" s="4"/>
      <c r="C75" s="5" t="s">
        <v>206</v>
      </c>
      <c r="D75" s="6" t="s">
        <v>207</v>
      </c>
      <c r="E75" s="7">
        <v>3107665510</v>
      </c>
      <c r="F75" s="4" t="s">
        <v>208</v>
      </c>
      <c r="G75" s="4" t="s">
        <v>17</v>
      </c>
      <c r="H75" s="8">
        <v>204</v>
      </c>
      <c r="I75" s="9">
        <v>420000</v>
      </c>
      <c r="J75" s="9">
        <v>3360</v>
      </c>
      <c r="K75" s="4">
        <v>0</v>
      </c>
    </row>
    <row r="76" spans="1:11" x14ac:dyDescent="0.25">
      <c r="A76" s="4">
        <v>51919368</v>
      </c>
      <c r="B76" s="4"/>
      <c r="C76" s="5" t="s">
        <v>209</v>
      </c>
      <c r="D76" s="6" t="s">
        <v>210</v>
      </c>
      <c r="E76" s="7">
        <v>3103280086</v>
      </c>
      <c r="F76" s="4" t="s">
        <v>211</v>
      </c>
      <c r="G76" s="4" t="s">
        <v>17</v>
      </c>
      <c r="H76" s="8">
        <v>304</v>
      </c>
      <c r="I76" s="9">
        <v>690000</v>
      </c>
      <c r="J76" s="9">
        <v>4830</v>
      </c>
      <c r="K76" s="4">
        <v>0</v>
      </c>
    </row>
    <row r="77" spans="1:11" x14ac:dyDescent="0.25">
      <c r="A77" s="4">
        <v>53165926</v>
      </c>
      <c r="B77" s="4"/>
      <c r="C77" s="5" t="s">
        <v>212</v>
      </c>
      <c r="D77" s="6" t="s">
        <v>213</v>
      </c>
      <c r="E77" s="7">
        <v>3138689929</v>
      </c>
      <c r="F77" s="4" t="s">
        <v>214</v>
      </c>
      <c r="G77" s="4" t="s">
        <v>17</v>
      </c>
      <c r="H77" s="8">
        <v>211</v>
      </c>
      <c r="I77" s="9">
        <v>250000</v>
      </c>
      <c r="J77" s="9">
        <v>2000</v>
      </c>
      <c r="K77" s="4">
        <v>0</v>
      </c>
    </row>
    <row r="78" spans="1:11" x14ac:dyDescent="0.25">
      <c r="A78" s="4">
        <v>74322108</v>
      </c>
      <c r="B78" s="4"/>
      <c r="C78" s="5" t="s">
        <v>215</v>
      </c>
      <c r="D78" s="6" t="s">
        <v>216</v>
      </c>
      <c r="E78" s="7">
        <v>3112250759</v>
      </c>
      <c r="F78" s="4" t="s">
        <v>137</v>
      </c>
      <c r="G78" s="4" t="s">
        <v>17</v>
      </c>
      <c r="H78" s="8">
        <v>211</v>
      </c>
      <c r="I78" s="9">
        <v>1200000</v>
      </c>
      <c r="J78" s="9">
        <v>9600</v>
      </c>
      <c r="K78" s="4">
        <v>0</v>
      </c>
    </row>
    <row r="79" spans="1:11" x14ac:dyDescent="0.25">
      <c r="A79" s="4">
        <v>74322108</v>
      </c>
      <c r="B79" s="4"/>
      <c r="C79" s="5" t="s">
        <v>215</v>
      </c>
      <c r="D79" s="6" t="s">
        <v>216</v>
      </c>
      <c r="E79" s="7">
        <v>3112250759</v>
      </c>
      <c r="F79" s="4" t="s">
        <v>137</v>
      </c>
      <c r="G79" s="4" t="s">
        <v>17</v>
      </c>
      <c r="H79" s="8">
        <v>304</v>
      </c>
      <c r="I79" s="9">
        <v>9640000</v>
      </c>
      <c r="J79" s="9">
        <v>67480</v>
      </c>
      <c r="K79" s="4">
        <v>0</v>
      </c>
    </row>
    <row r="80" spans="1:11" x14ac:dyDescent="0.25">
      <c r="A80" s="4">
        <v>74324299</v>
      </c>
      <c r="B80" s="4"/>
      <c r="C80" s="5" t="s">
        <v>217</v>
      </c>
      <c r="D80" s="6" t="s">
        <v>218</v>
      </c>
      <c r="E80" s="7">
        <v>3138425595</v>
      </c>
      <c r="F80" s="4" t="s">
        <v>219</v>
      </c>
      <c r="G80" s="4" t="s">
        <v>17</v>
      </c>
      <c r="H80" s="8">
        <v>304</v>
      </c>
      <c r="I80" s="9">
        <v>1450000</v>
      </c>
      <c r="J80" s="9">
        <v>10150</v>
      </c>
      <c r="K80" s="4">
        <v>0</v>
      </c>
    </row>
    <row r="81" spans="1:11" x14ac:dyDescent="0.25">
      <c r="A81" s="4">
        <v>74345054</v>
      </c>
      <c r="B81" s="4"/>
      <c r="C81" s="5" t="s">
        <v>220</v>
      </c>
      <c r="D81" s="6" t="s">
        <v>221</v>
      </c>
      <c r="E81" s="7">
        <v>3102066318</v>
      </c>
      <c r="F81" s="4" t="s">
        <v>222</v>
      </c>
      <c r="G81" s="4" t="s">
        <v>17</v>
      </c>
      <c r="H81" s="8">
        <v>304</v>
      </c>
      <c r="I81" s="9">
        <v>1000000</v>
      </c>
      <c r="J81" s="9">
        <v>8000</v>
      </c>
      <c r="K81" s="4">
        <v>0</v>
      </c>
    </row>
    <row r="82" spans="1:11" x14ac:dyDescent="0.25">
      <c r="A82" s="4">
        <v>74360305</v>
      </c>
      <c r="B82" s="4"/>
      <c r="C82" s="5" t="s">
        <v>223</v>
      </c>
      <c r="D82" s="6" t="s">
        <v>224</v>
      </c>
      <c r="E82" s="7">
        <v>3224245601</v>
      </c>
      <c r="F82" s="4" t="s">
        <v>225</v>
      </c>
      <c r="G82" s="4" t="s">
        <v>17</v>
      </c>
      <c r="H82" s="8">
        <v>304</v>
      </c>
      <c r="I82" s="9">
        <v>1130000</v>
      </c>
      <c r="J82" s="9">
        <v>7910</v>
      </c>
      <c r="K82" s="4">
        <v>0</v>
      </c>
    </row>
    <row r="83" spans="1:11" x14ac:dyDescent="0.25">
      <c r="A83" s="4">
        <v>74360305</v>
      </c>
      <c r="B83" s="4"/>
      <c r="C83" s="5" t="s">
        <v>226</v>
      </c>
      <c r="D83" s="6" t="s">
        <v>227</v>
      </c>
      <c r="E83" s="7">
        <v>3219263016</v>
      </c>
      <c r="F83" s="4" t="s">
        <v>228</v>
      </c>
      <c r="G83" s="4" t="s">
        <v>17</v>
      </c>
      <c r="H83" s="8">
        <v>304</v>
      </c>
      <c r="I83" s="9">
        <v>630000</v>
      </c>
      <c r="J83" s="9">
        <v>4410</v>
      </c>
      <c r="K83" s="4">
        <v>0</v>
      </c>
    </row>
    <row r="84" spans="1:11" x14ac:dyDescent="0.25">
      <c r="A84" s="4">
        <v>74360305</v>
      </c>
      <c r="B84" s="4"/>
      <c r="C84" s="5" t="s">
        <v>229</v>
      </c>
      <c r="D84" s="6" t="s">
        <v>227</v>
      </c>
      <c r="E84" s="7">
        <v>3219263016</v>
      </c>
      <c r="F84" s="4" t="s">
        <v>228</v>
      </c>
      <c r="G84" s="4" t="s">
        <v>17</v>
      </c>
      <c r="H84" s="8">
        <v>304</v>
      </c>
      <c r="I84" s="9">
        <v>300000</v>
      </c>
      <c r="J84" s="9">
        <v>2400</v>
      </c>
      <c r="K84" s="4">
        <v>0</v>
      </c>
    </row>
    <row r="85" spans="1:11" x14ac:dyDescent="0.25">
      <c r="A85" s="4">
        <v>74360740</v>
      </c>
      <c r="B85" s="4"/>
      <c r="C85" s="5" t="s">
        <v>230</v>
      </c>
      <c r="D85" s="6" t="s">
        <v>231</v>
      </c>
      <c r="E85" s="7">
        <v>3132475385</v>
      </c>
      <c r="F85" s="4" t="s">
        <v>232</v>
      </c>
      <c r="G85" s="4" t="s">
        <v>17</v>
      </c>
      <c r="H85" s="8">
        <v>211</v>
      </c>
      <c r="I85" s="9">
        <v>935000</v>
      </c>
      <c r="J85" s="9">
        <v>7480</v>
      </c>
      <c r="K85" s="4">
        <v>0</v>
      </c>
    </row>
    <row r="86" spans="1:11" x14ac:dyDescent="0.25">
      <c r="A86" s="4">
        <v>74370465</v>
      </c>
      <c r="B86" s="4"/>
      <c r="C86" s="5" t="s">
        <v>233</v>
      </c>
      <c r="D86" s="6" t="s">
        <v>234</v>
      </c>
      <c r="E86" s="7">
        <v>3112199203</v>
      </c>
      <c r="F86" s="4" t="s">
        <v>235</v>
      </c>
      <c r="G86" s="4" t="s">
        <v>30</v>
      </c>
      <c r="H86" s="8">
        <v>304</v>
      </c>
      <c r="I86" s="9">
        <v>2127000</v>
      </c>
      <c r="J86" s="9">
        <v>14889</v>
      </c>
      <c r="K86" s="4">
        <v>0</v>
      </c>
    </row>
    <row r="87" spans="1:11" x14ac:dyDescent="0.25">
      <c r="A87" s="4">
        <v>74372634</v>
      </c>
      <c r="B87" s="4"/>
      <c r="C87" s="5" t="s">
        <v>236</v>
      </c>
      <c r="D87" s="6" t="s">
        <v>237</v>
      </c>
      <c r="E87" s="7">
        <v>7851446</v>
      </c>
      <c r="F87" s="4" t="s">
        <v>238</v>
      </c>
      <c r="G87" s="4" t="s">
        <v>17</v>
      </c>
      <c r="H87" s="8">
        <v>211</v>
      </c>
      <c r="I87" s="9">
        <v>800000</v>
      </c>
      <c r="J87" s="9">
        <v>6400</v>
      </c>
      <c r="K87" s="4">
        <v>0</v>
      </c>
    </row>
    <row r="88" spans="1:11" x14ac:dyDescent="0.25">
      <c r="A88" s="4">
        <v>74380777</v>
      </c>
      <c r="B88" s="4"/>
      <c r="C88" s="5" t="s">
        <v>239</v>
      </c>
      <c r="D88" s="6" t="s">
        <v>240</v>
      </c>
      <c r="E88" s="7">
        <v>3134777964</v>
      </c>
      <c r="F88" s="4" t="s">
        <v>241</v>
      </c>
      <c r="G88" s="4" t="s">
        <v>17</v>
      </c>
      <c r="H88" s="8">
        <v>304</v>
      </c>
      <c r="I88" s="9">
        <v>3550000</v>
      </c>
      <c r="J88" s="9">
        <v>24850</v>
      </c>
      <c r="K88" s="4">
        <v>0</v>
      </c>
    </row>
    <row r="89" spans="1:11" x14ac:dyDescent="0.25">
      <c r="A89" s="4">
        <v>80032657</v>
      </c>
      <c r="B89" s="4"/>
      <c r="C89" s="5" t="s">
        <v>242</v>
      </c>
      <c r="D89" s="6" t="s">
        <v>243</v>
      </c>
      <c r="E89" s="7">
        <v>3103253153</v>
      </c>
      <c r="F89" s="4" t="s">
        <v>244</v>
      </c>
      <c r="G89" s="4" t="s">
        <v>17</v>
      </c>
      <c r="H89" s="8">
        <v>211</v>
      </c>
      <c r="I89" s="9">
        <v>1737500</v>
      </c>
      <c r="J89" s="9">
        <v>13900</v>
      </c>
      <c r="K89" s="4">
        <v>0</v>
      </c>
    </row>
    <row r="90" spans="1:11" x14ac:dyDescent="0.25">
      <c r="A90" s="4">
        <v>900467577</v>
      </c>
      <c r="B90" s="4">
        <v>7</v>
      </c>
      <c r="C90" s="5" t="s">
        <v>245</v>
      </c>
      <c r="D90" s="6" t="s">
        <v>246</v>
      </c>
      <c r="E90" s="7">
        <v>3123892442</v>
      </c>
      <c r="F90" s="4" t="s">
        <v>247</v>
      </c>
      <c r="G90" s="4" t="s">
        <v>58</v>
      </c>
      <c r="H90" s="8">
        <v>304</v>
      </c>
      <c r="I90" s="9">
        <v>750000</v>
      </c>
      <c r="J90" s="9">
        <v>5250</v>
      </c>
      <c r="K90" s="4">
        <v>0</v>
      </c>
    </row>
    <row r="91" spans="1:11" x14ac:dyDescent="0.25">
      <c r="A91" s="4">
        <v>900604334</v>
      </c>
      <c r="B91" s="21">
        <v>2</v>
      </c>
      <c r="C91" s="22" t="s">
        <v>248</v>
      </c>
      <c r="D91" s="6" t="s">
        <v>249</v>
      </c>
      <c r="E91" s="23">
        <v>3212541085</v>
      </c>
      <c r="F91" s="21" t="s">
        <v>250</v>
      </c>
      <c r="G91" s="21" t="s">
        <v>30</v>
      </c>
      <c r="H91" s="24">
        <v>304</v>
      </c>
      <c r="I91" s="25">
        <v>6271936</v>
      </c>
      <c r="J91" s="25">
        <v>43903</v>
      </c>
      <c r="K91" s="21">
        <v>0</v>
      </c>
    </row>
    <row r="92" spans="1:11" x14ac:dyDescent="0.25">
      <c r="A92" s="4">
        <v>901138291</v>
      </c>
      <c r="B92" s="4">
        <v>9</v>
      </c>
      <c r="C92" s="5" t="s">
        <v>251</v>
      </c>
      <c r="D92" s="6" t="s">
        <v>252</v>
      </c>
      <c r="E92" s="7">
        <v>7850137</v>
      </c>
      <c r="F92" s="4" t="s">
        <v>253</v>
      </c>
      <c r="G92" s="4" t="s">
        <v>17</v>
      </c>
      <c r="H92" s="8">
        <v>212</v>
      </c>
      <c r="I92" s="9">
        <v>192000</v>
      </c>
      <c r="J92" s="9">
        <v>1727.9999999999998</v>
      </c>
      <c r="K92" s="4">
        <v>0</v>
      </c>
    </row>
    <row r="93" spans="1:11" x14ac:dyDescent="0.25">
      <c r="A93" s="4">
        <v>901172467</v>
      </c>
      <c r="B93" s="4">
        <v>1</v>
      </c>
      <c r="C93" s="5" t="s">
        <v>254</v>
      </c>
      <c r="D93" s="6" t="s">
        <v>255</v>
      </c>
      <c r="E93" s="7">
        <v>3123342291</v>
      </c>
      <c r="F93" s="4" t="s">
        <v>256</v>
      </c>
      <c r="G93" s="4" t="s">
        <v>257</v>
      </c>
      <c r="H93" s="8">
        <v>202</v>
      </c>
      <c r="I93" s="9">
        <v>575476</v>
      </c>
      <c r="J93" s="9">
        <v>2878</v>
      </c>
      <c r="K93" s="4">
        <v>0</v>
      </c>
    </row>
    <row r="94" spans="1:11" x14ac:dyDescent="0.25">
      <c r="A94" s="4">
        <v>901739228</v>
      </c>
      <c r="B94" s="4">
        <v>3</v>
      </c>
      <c r="C94" s="5" t="s">
        <v>258</v>
      </c>
      <c r="D94" s="6" t="s">
        <v>53</v>
      </c>
      <c r="E94" s="7">
        <v>608150461</v>
      </c>
      <c r="F94" s="4" t="s">
        <v>259</v>
      </c>
      <c r="G94" s="4" t="s">
        <v>257</v>
      </c>
      <c r="H94" s="8">
        <v>304</v>
      </c>
      <c r="I94" s="9">
        <v>620000</v>
      </c>
      <c r="J94" s="9">
        <v>4340</v>
      </c>
      <c r="K94" s="4">
        <v>0</v>
      </c>
    </row>
    <row r="95" spans="1:11" x14ac:dyDescent="0.25">
      <c r="A95" s="4">
        <v>1053323443</v>
      </c>
      <c r="B95" s="4"/>
      <c r="C95" s="5" t="s">
        <v>260</v>
      </c>
      <c r="D95" s="6" t="s">
        <v>261</v>
      </c>
      <c r="E95" s="7">
        <v>3222201891</v>
      </c>
      <c r="F95" s="4" t="s">
        <v>262</v>
      </c>
      <c r="G95" s="4" t="s">
        <v>257</v>
      </c>
      <c r="H95" s="8">
        <v>304</v>
      </c>
      <c r="I95" s="9">
        <v>1300000</v>
      </c>
      <c r="J95" s="9">
        <v>9100</v>
      </c>
      <c r="K95" s="4">
        <v>0</v>
      </c>
    </row>
    <row r="96" spans="1:11" x14ac:dyDescent="0.25">
      <c r="A96" s="4">
        <v>1053605155</v>
      </c>
      <c r="B96" s="4"/>
      <c r="C96" s="5" t="s">
        <v>263</v>
      </c>
      <c r="D96" s="6" t="s">
        <v>264</v>
      </c>
      <c r="E96" s="7">
        <v>3118165291</v>
      </c>
      <c r="F96" s="4" t="s">
        <v>265</v>
      </c>
      <c r="G96" s="4" t="s">
        <v>17</v>
      </c>
      <c r="H96" s="8">
        <v>304</v>
      </c>
      <c r="I96" s="9">
        <v>3350000</v>
      </c>
      <c r="J96" s="9">
        <v>23450</v>
      </c>
      <c r="K96" s="4">
        <v>0</v>
      </c>
    </row>
    <row r="97" spans="1:11" x14ac:dyDescent="0.25">
      <c r="A97" s="4">
        <v>1053605432</v>
      </c>
      <c r="B97" s="4"/>
      <c r="C97" s="5" t="s">
        <v>266</v>
      </c>
      <c r="D97" s="6" t="s">
        <v>267</v>
      </c>
      <c r="E97" s="7">
        <v>3115641317</v>
      </c>
      <c r="F97" s="4" t="s">
        <v>128</v>
      </c>
      <c r="G97" s="4" t="s">
        <v>17</v>
      </c>
      <c r="H97" s="8">
        <v>334</v>
      </c>
      <c r="I97" s="9">
        <v>500000</v>
      </c>
      <c r="J97" s="9">
        <v>5000</v>
      </c>
      <c r="K97" s="4">
        <v>0</v>
      </c>
    </row>
    <row r="98" spans="1:11" x14ac:dyDescent="0.25">
      <c r="A98" s="4">
        <v>1053605684</v>
      </c>
      <c r="B98" s="4"/>
      <c r="C98" s="5" t="s">
        <v>268</v>
      </c>
      <c r="D98" s="6" t="s">
        <v>269</v>
      </c>
      <c r="E98" s="7">
        <v>3133326325</v>
      </c>
      <c r="F98" s="4" t="s">
        <v>270</v>
      </c>
      <c r="G98" s="4" t="s">
        <v>17</v>
      </c>
      <c r="H98" s="8">
        <v>304</v>
      </c>
      <c r="I98" s="9">
        <v>430000</v>
      </c>
      <c r="J98" s="9">
        <v>3010</v>
      </c>
      <c r="K98" s="4">
        <v>0</v>
      </c>
    </row>
    <row r="99" spans="1:11" x14ac:dyDescent="0.25">
      <c r="A99" s="4">
        <v>1053606656</v>
      </c>
      <c r="B99" s="4"/>
      <c r="C99" s="5" t="s">
        <v>271</v>
      </c>
      <c r="D99" s="6" t="s">
        <v>272</v>
      </c>
      <c r="E99" s="7">
        <v>3134979896</v>
      </c>
      <c r="F99" s="4" t="s">
        <v>273</v>
      </c>
      <c r="G99" s="4" t="s">
        <v>17</v>
      </c>
      <c r="H99" s="8">
        <v>211</v>
      </c>
      <c r="I99" s="9">
        <v>2110000</v>
      </c>
      <c r="J99" s="9">
        <v>16880</v>
      </c>
      <c r="K99" s="4">
        <v>0</v>
      </c>
    </row>
    <row r="100" spans="1:11" x14ac:dyDescent="0.25">
      <c r="A100" s="4">
        <v>1053606869</v>
      </c>
      <c r="B100" s="4"/>
      <c r="C100" s="5" t="s">
        <v>274</v>
      </c>
      <c r="D100" s="26" t="s">
        <v>275</v>
      </c>
      <c r="E100" s="7">
        <v>3115804994</v>
      </c>
      <c r="F100" s="4" t="s">
        <v>276</v>
      </c>
      <c r="G100" s="4" t="s">
        <v>17</v>
      </c>
      <c r="H100" s="8">
        <v>211</v>
      </c>
      <c r="I100" s="9">
        <v>165000</v>
      </c>
      <c r="J100" s="9">
        <v>1320</v>
      </c>
      <c r="K100" s="4">
        <v>0</v>
      </c>
    </row>
    <row r="101" spans="1:11" x14ac:dyDescent="0.25">
      <c r="A101" s="4">
        <v>1053607647</v>
      </c>
      <c r="B101" s="4"/>
      <c r="C101" s="5" t="s">
        <v>277</v>
      </c>
      <c r="D101" s="6" t="s">
        <v>278</v>
      </c>
      <c r="E101" s="7">
        <v>3133182525</v>
      </c>
      <c r="F101" s="4" t="s">
        <v>279</v>
      </c>
      <c r="G101" s="4" t="s">
        <v>17</v>
      </c>
      <c r="H101" s="8">
        <v>212</v>
      </c>
      <c r="I101" s="9">
        <v>496000</v>
      </c>
      <c r="J101" s="9">
        <v>4464</v>
      </c>
      <c r="K101" s="4">
        <v>0</v>
      </c>
    </row>
    <row r="102" spans="1:11" x14ac:dyDescent="0.25">
      <c r="A102" s="4">
        <v>1053608401</v>
      </c>
      <c r="B102" s="4"/>
      <c r="C102" s="5" t="s">
        <v>280</v>
      </c>
      <c r="D102" s="6" t="s">
        <v>281</v>
      </c>
      <c r="E102" s="7">
        <v>3118965834</v>
      </c>
      <c r="F102" s="4" t="s">
        <v>282</v>
      </c>
      <c r="G102" s="4" t="s">
        <v>17</v>
      </c>
      <c r="H102" s="8">
        <v>204</v>
      </c>
      <c r="I102" s="9">
        <v>3040000</v>
      </c>
      <c r="J102" s="9">
        <v>24320</v>
      </c>
      <c r="K102" s="4">
        <v>0</v>
      </c>
    </row>
    <row r="103" spans="1:1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spans="1:11" x14ac:dyDescent="0.2">
      <c r="A104" s="27"/>
      <c r="B104" s="27"/>
      <c r="C104" s="27"/>
      <c r="D104" s="27"/>
      <c r="E104" s="27"/>
      <c r="F104" s="27"/>
      <c r="G104" s="27"/>
      <c r="H104" s="27"/>
      <c r="I104" s="28">
        <f>SUM(I4:I103)</f>
        <v>623049546.50756299</v>
      </c>
      <c r="J104" s="28">
        <f>SUM(J4:J103)</f>
        <v>5979000.2754605049</v>
      </c>
      <c r="K104" s="27"/>
    </row>
  </sheetData>
  <mergeCells count="2">
    <mergeCell ref="A1:K1"/>
    <mergeCell ref="A2:K2"/>
  </mergeCells>
  <hyperlinks>
    <hyperlink ref="E72" r:id="rId1" display="https://www.google.com/search?q=tel%C3%A9fono+homecenter+tunja&amp;rlz=1C1GCEU_esCO1091CO1092&amp;oq=TELEFONO+HOM&amp;gs_lcrp=EgZjaHJvbWUqBwgCEAAYgAQyBggAEEUYOTIHCAEQABiABDIHCAIQABiABDIHCAMQABiABDIHCAQQABiABDIHCAUQABiABDIHCAYQABiABDIHCAcQABiABDIHCAgQABiABDIHCAkQABiABNIBCDU3OTlqMGo3qAIAsAIA&amp;sourceid=chrome&amp;ie=UTF-8" xr:uid="{484319A5-DAC1-484E-96B8-DB15676AB9C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>Club Militar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Lucia Gallo</dc:creator>
  <cp:lastModifiedBy>Martha Lucia Gallo</cp:lastModifiedBy>
  <dcterms:created xsi:type="dcterms:W3CDTF">2025-08-27T18:29:34Z</dcterms:created>
  <dcterms:modified xsi:type="dcterms:W3CDTF">2025-08-27T18:31:07Z</dcterms:modified>
</cp:coreProperties>
</file>