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gallo\Desktop\"/>
    </mc:Choice>
  </mc:AlternateContent>
  <xr:revisionPtr revIDLastSave="0" documentId="13_ncr:1_{9C0C1467-55F6-44FD-B783-4802E67EB25F}" xr6:coauthVersionLast="36" xr6:coauthVersionMax="36" xr10:uidLastSave="{00000000-0000-0000-0000-000000000000}"/>
  <bookViews>
    <workbookView xWindow="0" yWindow="0" windowWidth="28800" windowHeight="12105" xr2:uid="{51FE2F64-F8F4-4751-B2DE-8A26F9A39F8D}"/>
  </bookViews>
  <sheets>
    <sheet name="PF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37" i="1" l="1"/>
  <c r="J837" i="1"/>
  <c r="J810" i="1"/>
  <c r="L2" i="1"/>
  <c r="L837" i="1" s="1"/>
  <c r="J2" i="1"/>
  <c r="I2" i="1"/>
  <c r="I837" i="1" s="1"/>
</calcChain>
</file>

<file path=xl/sharedStrings.xml><?xml version="1.0" encoding="utf-8"?>
<sst xmlns="http://schemas.openxmlformats.org/spreadsheetml/2006/main" count="2673" uniqueCount="2549">
  <si>
    <t>NIT/CC DEL
ADQUIRIENTE</t>
  </si>
  <si>
    <t>DV</t>
  </si>
  <si>
    <t>NOMBRE O RAZON SOCIAL</t>
  </si>
  <si>
    <t>CORREO
ELECTRONICO</t>
  </si>
  <si>
    <t>TELÉFONO</t>
  </si>
  <si>
    <t>DIRECCIÓN 
DOMICILIO FISCAL</t>
  </si>
  <si>
    <t>CODIGO
MUNICIPIO</t>
  </si>
  <si>
    <t>CODIGO ACTIVIDAD
ECONOMICA GENERADORA DEL INGRESO</t>
  </si>
  <si>
    <t>VALOR CONSOLIDADO DE LAS VENTAS POR ACTIVIDAD ECONÓMICA</t>
  </si>
  <si>
    <t>DEVOLUCIONES REBAJAS Y DESCUENTOS</t>
  </si>
  <si>
    <t>RETENCION QUE LE PRACTICARON</t>
  </si>
  <si>
    <t>AUTORRETENCION PRACTICADA</t>
  </si>
  <si>
    <t>CUANTIAS MENORES</t>
  </si>
  <si>
    <t>financierapaipa@clubmilitar.gov.co</t>
  </si>
  <si>
    <t>ORILLAS LAGO SOCHAGOTA PAIPA</t>
  </si>
  <si>
    <t>15516</t>
  </si>
  <si>
    <t>MIRIAM CECILIA IRIARTE DE GARCIA</t>
  </si>
  <si>
    <t>MIRIGAR9417@HOTMAIL.COM</t>
  </si>
  <si>
    <t>CALLE 94 N° 17 - 05 APTO 201</t>
  </si>
  <si>
    <t>MARIO ALBERTO TORRES RIVERA</t>
  </si>
  <si>
    <t>MARALTOR@HOTMAIL.COM</t>
  </si>
  <si>
    <t>CRA 15 N° 170 - 65 APTO 614</t>
  </si>
  <si>
    <t>MIGUEL ANGEL GRACIA URIBE</t>
  </si>
  <si>
    <t>miguelkrieg@gmail.com</t>
  </si>
  <si>
    <t>CALLE 106 NO. 7A-19 Torre 3 503 - ZONA ORIENTE - BOGOTA</t>
  </si>
  <si>
    <t>CAMILO ANDRES GONZALEZ PUCHE</t>
  </si>
  <si>
    <t>gonzalezpcamilo@hotmail.com</t>
  </si>
  <si>
    <t>CRA 58 No 90-135 APTO 301</t>
  </si>
  <si>
    <t>INVERSIONES ARKAHNIUS SAS</t>
  </si>
  <si>
    <t>contadorcienciayestetica@yahoo.com</t>
  </si>
  <si>
    <t>AUT NORTE 118 86 CS 706</t>
  </si>
  <si>
    <t>ALVARO FABIAN FLOREZ ORTEGA</t>
  </si>
  <si>
    <t>fabbian15@gmail.com</t>
  </si>
  <si>
    <t>calle 22b # 54-21 reserva del salitre - torre 2 apto 901 - BOGOTA</t>
  </si>
  <si>
    <t>JORGE ALONSO RENGIFO YURGAKY</t>
  </si>
  <si>
    <t>RENYURGA@GMAIL.COM</t>
  </si>
  <si>
    <t>CARRERA 17A NO.175- 82 Apt 1104 T 2 - ZONA NORTE - BOGOTA</t>
  </si>
  <si>
    <t>ALBA GLADYS CASTAÑEDA DE BELTRAN</t>
  </si>
  <si>
    <t>alba.castaneda747@casur.gov.co</t>
  </si>
  <si>
    <t>CALLE 189 NO. 40 - 29 SECTOR 6  MARANTA - ZONA OCCIDENTE - BOGOTA DC (CUNDINA</t>
  </si>
  <si>
    <t>JOSE ALBERTO SUAREZ VELASQUEZ</t>
  </si>
  <si>
    <t>asuarez@colsago.com</t>
  </si>
  <si>
    <t>CARRERA 14 NO. 112 80 APTO 102 - ZONA NORTE -  BOGOTA</t>
  </si>
  <si>
    <t>MARIO ANDRES ORTIZ CASTRO</t>
  </si>
  <si>
    <t>ANDRESTOM3684@HOTMAIL.COM</t>
  </si>
  <si>
    <t>CALLE 85BIS # 89a 47 - BOGOTA</t>
  </si>
  <si>
    <t>ANDRES FELIPE RODRIGUEZ PARDO</t>
  </si>
  <si>
    <t>epilef207@gmail.com</t>
  </si>
  <si>
    <t>CARRERA 59 # 131-07</t>
  </si>
  <si>
    <t>ROMAN MADRID VELEZ</t>
  </si>
  <si>
    <t>romadrid4@yahoo.es</t>
  </si>
  <si>
    <t xml:space="preserve">Calle 44C 45-53, apto 3-504 - BOGOTA  </t>
  </si>
  <si>
    <t>ASTRID ALEJANDRA PEREZ BARON</t>
  </si>
  <si>
    <t>ALEJA_16_6@HOTMAIL.COM</t>
  </si>
  <si>
    <t>CARRERA 7A NO. 127A - 33 APTO 504</t>
  </si>
  <si>
    <t>OLGA LUCIA ROJAS LUNA</t>
  </si>
  <si>
    <t>luciacth@yahoo.it</t>
  </si>
  <si>
    <t>CARRERA 46 NO. 123 - 11 - BOGOTA</t>
  </si>
  <si>
    <t>JAIME ISAAC LEON QUINTANA</t>
  </si>
  <si>
    <t>jacobo0519@outlook.com</t>
  </si>
  <si>
    <t xml:space="preserve"> CR 25 47</t>
  </si>
  <si>
    <t>MIGUEL ANGEL VEGA GUERRERO</t>
  </si>
  <si>
    <t>miguel.vega@correo.policia.gov.co</t>
  </si>
  <si>
    <t xml:space="preserve">Dg159b# 14a-40 int 12 apto 201 - BOGOTA  </t>
  </si>
  <si>
    <t>JOSE LUIS PALOMINO LOPEZ</t>
  </si>
  <si>
    <t>PALOMINOOFFBOL@HOTMAIL.COM</t>
  </si>
  <si>
    <t>CARRERA 75 # 150 - 50 - GUAYACANES - BOGOTA</t>
  </si>
  <si>
    <t>ALVARO GONZALEZ NARANJO</t>
  </si>
  <si>
    <t>ALGONA09@GMAIL.COM</t>
  </si>
  <si>
    <t xml:space="preserve">Calle 122 Bis No 18 B-63 Apto 203 - BOGOTA  </t>
  </si>
  <si>
    <t>RICARDO ADOLFO CLAVIJO PIÑEROS</t>
  </si>
  <si>
    <t>raclav22@gmail.com</t>
  </si>
  <si>
    <t>CALLE 103 # 47 A - 37</t>
  </si>
  <si>
    <t>JUAN CARLOS CONTRERAS PEÑA</t>
  </si>
  <si>
    <t>JUAN.CONTRERAS@UNIMILITAR.EDU.CO</t>
  </si>
  <si>
    <t>Cr59  134 68 Apt509</t>
  </si>
  <si>
    <t>LILIA EUGENIA RODRIGUEZ RODRIGUEZ</t>
  </si>
  <si>
    <t>LERODRIGUEZ942@GMAIL.COM</t>
  </si>
  <si>
    <t>CALLE 10 N° 82A - 35 CASA 142</t>
  </si>
  <si>
    <t>AURORA MARIA LEAL DE HERRERA</t>
  </si>
  <si>
    <t>AULE09@HOTMAIL.COM</t>
  </si>
  <si>
    <t xml:space="preserve">CARRERA 12 # 142--55 Torre 1 Apto 202 - BOGOTA  </t>
  </si>
  <si>
    <t>JOSE ELMO CARRANZA ROJAS</t>
  </si>
  <si>
    <t>CAPITANCARRANZA@GMAIL.COM</t>
  </si>
  <si>
    <t>CALLE 27A SUR #45-10 EDIF. "ST. ETIENNE" APTO 1202 - ENVIGADO</t>
  </si>
  <si>
    <t>05266</t>
  </si>
  <si>
    <t>ENNIO EMANUEL PINZON VILLARROEL</t>
  </si>
  <si>
    <t>ENNIONAVY@HOTMAIL.COM</t>
  </si>
  <si>
    <t>CARRERA 8 #5A -56 - BOGOTA</t>
  </si>
  <si>
    <t>GERMAN DARIO MONSALVE MORALES</t>
  </si>
  <si>
    <t>GERDAR34@HOTMAIL.COM</t>
  </si>
  <si>
    <t>CALLE 146 BIS N° 9 - 25 APTO 301 - BOGOTA</t>
  </si>
  <si>
    <t>CARLOS ERNESTO QUINTERO GAMBOA</t>
  </si>
  <si>
    <t>CARQUINTEROG@HOTMAIL.COM</t>
  </si>
  <si>
    <t>Cr50  104B 37 Apt501 BOGOTÁ</t>
  </si>
  <si>
    <t>ANA ILSY MONTOYA CASAS</t>
  </si>
  <si>
    <t>anailsy@hotmail.com</t>
  </si>
  <si>
    <t>CL. 134 A Nª 13-29</t>
  </si>
  <si>
    <t>25843</t>
  </si>
  <si>
    <t>YAMIL HERNANDO MORENO ARIAS</t>
  </si>
  <si>
    <t>YAMILKHMORENO@HOTMAIL.COM</t>
  </si>
  <si>
    <t>CALLE 114 # 21 70 - ZONA NORTE - BOGOTA</t>
  </si>
  <si>
    <t>SERGIO DANIEL MENDEZ NOVA</t>
  </si>
  <si>
    <t>sergiomendezinf@gmail.com</t>
  </si>
  <si>
    <t xml:space="preserve">CALLE 6 B N° 80 G 95 TORRE 6 APTO 321  - BOGOTA  </t>
  </si>
  <si>
    <t>CARLOS EDUARDO CHAUSTRE AVENDAÑO</t>
  </si>
  <si>
    <t>CCHAUSTRE@SUPERVIGILANCIA.GOV.CO</t>
  </si>
  <si>
    <t>CARRERA 57 A No 55-40 APTO 502 - BOGOTA</t>
  </si>
  <si>
    <t>EDNA PATRICIA SUAREZ LARA</t>
  </si>
  <si>
    <t>EDPASULA@HOTMAIL.COM</t>
  </si>
  <si>
    <t>CARRERA 12 NO. 140-71 APTO.702 - BOGOTA</t>
  </si>
  <si>
    <t>GERMAN MARIANO ROSERO CHACON</t>
  </si>
  <si>
    <t>quantum.qfp@gmail.com</t>
  </si>
  <si>
    <t>ClE 106  22 84</t>
  </si>
  <si>
    <t>CARLOS ALBERTO OTALORA AVENDAÑO</t>
  </si>
  <si>
    <t>carlos.otalora480@casur.gov.co</t>
  </si>
  <si>
    <t>DIAGONAL 152 NO. 37-95 APT 302 VICTORIA - ZONA OCCIDENTE - BOGOTA DC (CUNDINAMARCA)</t>
  </si>
  <si>
    <t>JOSE LUIS SAAVEDRA CHABARRO</t>
  </si>
  <si>
    <t>joseblitz_85@hotmail.com</t>
  </si>
  <si>
    <t>CALLE 21 # 91 - 50 - BOGOTA</t>
  </si>
  <si>
    <t>JAIRO HERNAN BARRETO GONZALEZ</t>
  </si>
  <si>
    <t>jahebaga@gmail.com</t>
  </si>
  <si>
    <t>CALLE 65 MZ N CASA 19</t>
  </si>
  <si>
    <t>CARLOS JULIO RAMIREZ GUERRERO</t>
  </si>
  <si>
    <t>CRAMIREZ1010@GMAIL.COM</t>
  </si>
  <si>
    <t>CALLE 142 N°12 B - 51 APTO 1209</t>
  </si>
  <si>
    <t>GERMAN PANQUEVA VARGAS</t>
  </si>
  <si>
    <t>german.panqueva506@casur.gov.co</t>
  </si>
  <si>
    <t>Cl 118  20 32 Apt 501  SANTA BARBARA  - NORTE -  BOGOTA DC</t>
  </si>
  <si>
    <t>MIGUEL ANGEL LEGUIZAMO MUÑOZ</t>
  </si>
  <si>
    <t>LEGUIZAMOMIGUEL67@GMAIL.COM</t>
  </si>
  <si>
    <t>CALLE 166 N 8 H -20</t>
  </si>
  <si>
    <t>MARIO FERNANDO SANCHEZ PERALTA</t>
  </si>
  <si>
    <t>civilsan264@hotmail.com</t>
  </si>
  <si>
    <t>Calle 106 # 7A-19 - T2-Apto 705 - BOGOTA</t>
  </si>
  <si>
    <t>HECTOR HERNAN CALDERON TORRES</t>
  </si>
  <si>
    <t>hcalderon552@gmail.com</t>
  </si>
  <si>
    <t>Cl 169B NN° 75 73 CASA 151</t>
  </si>
  <si>
    <t>CAJA PROMOTORA DE VIVIENDA MILITAR Y DE POLICIA</t>
  </si>
  <si>
    <t>alvaro.castillo@caprovimpo.gov.co</t>
  </si>
  <si>
    <t>Cr 54 N° 26 - 54 CAN</t>
  </si>
  <si>
    <t>DAVID FERNANDO BEJARANO MOJICA</t>
  </si>
  <si>
    <t>DAVIDBEJ@GMAIL.COM</t>
  </si>
  <si>
    <t>Vereda Fonquetá, Vía Santa Bárbara, Sector El Trébol, Conjunto Almendro, casa 44</t>
  </si>
  <si>
    <t>25175</t>
  </si>
  <si>
    <t>JOHN MAURICIO NASTAR MORA</t>
  </si>
  <si>
    <t>mauro15_07@hotmail.com</t>
  </si>
  <si>
    <t>DIAGONAL  83  N°82 -19</t>
  </si>
  <si>
    <t>MARTIN ALEJANDRO BELTRAN PUCHE</t>
  </si>
  <si>
    <t>mabeltrap8@gmail.com</t>
  </si>
  <si>
    <t xml:space="preserve"> CR 54 126 35</t>
  </si>
  <si>
    <t>RIGOBERTO ARGUELLO PALACIO</t>
  </si>
  <si>
    <t>rigobike1@hotmail.com</t>
  </si>
  <si>
    <t>CARRERA 11 # 113-10 APTO 505 - ZONA NORTE</t>
  </si>
  <si>
    <t>INVERSIONES GUALANDAYES SAS</t>
  </si>
  <si>
    <t>haciendagualandayes@hotmail.com</t>
  </si>
  <si>
    <t>CR 5 A 131 76 CXA 1 CONJ ATALAYA-BARRIO BOSQUES DE MEDINA</t>
  </si>
  <si>
    <t>WALTER ALEJANDRO LINARES GUERRA</t>
  </si>
  <si>
    <t>WALTER.LINARES123@HOTMAIL.COM</t>
  </si>
  <si>
    <t>DIAGONAL 17B N 88-77 INT 5 APTO 601</t>
  </si>
  <si>
    <t>JHONNATAN STEVEN ARCOS ENCISO</t>
  </si>
  <si>
    <t>jhonnatanarcos@gmail.com</t>
  </si>
  <si>
    <t>CALLE 152 C # 133-21</t>
  </si>
  <si>
    <t>GLORIA PAOLA PARADA SIACHOQUE</t>
  </si>
  <si>
    <t>PAOLAPARADA98@GMAIL.COM</t>
  </si>
  <si>
    <t>CALLE 44 F # 50-23 APTO 407 BOGOTA</t>
  </si>
  <si>
    <t>YESID ORLANDO RODRIGUEZ QUIROGA</t>
  </si>
  <si>
    <t>yesidorlando@gmail.com</t>
  </si>
  <si>
    <t>CARRERA 13 NO 88-17 APT 406 - ZONA ORIENTE - BOGOTA</t>
  </si>
  <si>
    <t>JOHN ALEXANDER GUIO CAÑON</t>
  </si>
  <si>
    <t>ALEXGUIOC@GMAIL.COM</t>
  </si>
  <si>
    <t>CARRERA 2B # 13 - 126 - FUNZA</t>
  </si>
  <si>
    <t>25286</t>
  </si>
  <si>
    <t>CARLOS ALBERTO MONTENEGRO MAYA</t>
  </si>
  <si>
    <t>carlosmontenegrojst@yahoo.es</t>
  </si>
  <si>
    <t>CRA 17 N° 88 - 36 BOGOTA</t>
  </si>
  <si>
    <t>OSCAR JULIAN SOTO CAMACHO</t>
  </si>
  <si>
    <t>OSKARJULIAN.OJSC@GMAIL.COM</t>
  </si>
  <si>
    <t>CALLE 155 N 14-80</t>
  </si>
  <si>
    <t>HUGO RENE AGUILLON GOMEZ</t>
  </si>
  <si>
    <t>BISONTE.6@HOTMAIL.COM</t>
  </si>
  <si>
    <t>CALLE 30 # 22-193 EDIF PORTAL CAMPESTRE APT</t>
  </si>
  <si>
    <t>OSCAR ENRIQUE GONZALEZ PEÑA</t>
  </si>
  <si>
    <t>CARAMBA24@HOTMAIL.COM</t>
  </si>
  <si>
    <t>CALLE 101 # 16 - 21 APTO 301 - BOGOTA</t>
  </si>
  <si>
    <t>ERICH AGUSTIN FIELD MEJIA</t>
  </si>
  <si>
    <t>erich.field@armada.mil.co</t>
  </si>
  <si>
    <t>CRA.32 #72-51</t>
  </si>
  <si>
    <t>GABRIEL SANABRIA RODRIGUEZ</t>
  </si>
  <si>
    <t>GILMAELERAM@GMAIL.COM</t>
  </si>
  <si>
    <t>CARRERA 19A # 125-40 Apto 506 - BOGOTA</t>
  </si>
  <si>
    <t>HUGO LIBARDO GUTIERREZ RIVEROS</t>
  </si>
  <si>
    <t>huliguri@hotmail.com</t>
  </si>
  <si>
    <t>calle 146 no 11-81 casa 3 - ZONA NORTE - BOGOTA</t>
  </si>
  <si>
    <t>HASSAN GAMAL HASSAN</t>
  </si>
  <si>
    <t>GAMALHASSAM24@YAHOO.COM</t>
  </si>
  <si>
    <t>AVENIDA CALLE 127 NO 46 - 71 APT 608</t>
  </si>
  <si>
    <t>ORLANDO JOSE VELANDIA MELO</t>
  </si>
  <si>
    <t>ORVELANDIA039@HOTMAIL.COM</t>
  </si>
  <si>
    <t>CARREA 56 NOP 57B -58  BOGOTA  APTO 502 BLOQUE 40 - BOGOTA</t>
  </si>
  <si>
    <t>LUIS ALFONSO ZAPATA GAVIRIA</t>
  </si>
  <si>
    <t>mariaca_94@hotmail.com</t>
  </si>
  <si>
    <t>CARRERA 17 NO. 106-50 APT 203 - ZONA NORTE - BOGOTA</t>
  </si>
  <si>
    <t>GERMAN FRANCISCO PERTUZ GONZALEZ</t>
  </si>
  <si>
    <t>PERTUZPERALTA@YAHOO.ES</t>
  </si>
  <si>
    <t>CALLE 44A # 76 - 83  MODELIA E 9 - ZONA OCCIDENTE</t>
  </si>
  <si>
    <t>OSCAR WILLIAM CUETO MEZA</t>
  </si>
  <si>
    <t>CUETOOSCAR1@GMAIL.COM</t>
  </si>
  <si>
    <t>KRA 82 NO. 5-167</t>
  </si>
  <si>
    <t>JULIO CESAR BECERRA AVELLANEDA</t>
  </si>
  <si>
    <t>julio-becerra@hotmail.com</t>
  </si>
  <si>
    <t>Carrera 4 # 38 A 09 casa 101 B conjunto residencial Portal de mesopotamia</t>
  </si>
  <si>
    <t>WILLIAN FERNEY ROMO OBANDO</t>
  </si>
  <si>
    <t>caballeropitbull@hotmail.com</t>
  </si>
  <si>
    <t>MZ 1 CASA 2 BARRIO:SANTA CLARA</t>
  </si>
  <si>
    <t>IBO PLAZAS MORENO</t>
  </si>
  <si>
    <t>ibo.plazas@armada.mil.co</t>
  </si>
  <si>
    <t>CALLE 144 # 16A - 27 - BOGOTA</t>
  </si>
  <si>
    <t>JAIME ANDRES ZAMBRANO GOMEZ</t>
  </si>
  <si>
    <t>jaimeandrezz@gmail.com</t>
  </si>
  <si>
    <t>Cll 2a #10-02 - CARTAGENA</t>
  </si>
  <si>
    <t>13001</t>
  </si>
  <si>
    <t>LUZ AMANDA VALLEJO GRANDAS</t>
  </si>
  <si>
    <t>nomaco1984@outlook.com</t>
  </si>
  <si>
    <t>CARRERA 10 NO. 8B - 32</t>
  </si>
  <si>
    <t>YESPETER ANCERVIC MEDINA BECERRA</t>
  </si>
  <si>
    <t>ancervikci@hotmail.com</t>
  </si>
  <si>
    <t>CL. 58 G Nª 47-70</t>
  </si>
  <si>
    <t>GUSTAVO ALFREDO ROA CUERVO</t>
  </si>
  <si>
    <t>gusasesorias@gmail.com</t>
  </si>
  <si>
    <t>CARRERA 45 NO. 56-44 APTO 201 - ZONA OCCIDENTE - BOGOTA</t>
  </si>
  <si>
    <t>RODRIGO HERNAN MARIN PIEDRAHITA</t>
  </si>
  <si>
    <t>ROHEMAPI34@HOTMAIL.COM</t>
  </si>
  <si>
    <t>CALLE 102 A N° 46 - 12 APTO 404 - BOGOTA</t>
  </si>
  <si>
    <t>DIANA CAROLINA CHACON DIAZ</t>
  </si>
  <si>
    <t>CAROLINA.CHACON0212@GMAIL.COM</t>
  </si>
  <si>
    <t>CALLE 97 N 71 A - 47 TO 2 APTO 204</t>
  </si>
  <si>
    <t>FRANKLYN GOMEZ GOMEZ</t>
  </si>
  <si>
    <t>FRANKYGO66@HOTMAIL.COM</t>
  </si>
  <si>
    <t>CARRERA 56A # 148-36 -  BOGOTA</t>
  </si>
  <si>
    <t>RODRIGO ALBERTO DAZA PULIDO</t>
  </si>
  <si>
    <t>rodrigodaza020@hotmail.com</t>
  </si>
  <si>
    <t>CALLE 151# 11- 96 AP 304</t>
  </si>
  <si>
    <t>SERGIO ERNESTO REYES SANCHEZ</t>
  </si>
  <si>
    <t>REYES074@HOTMAIL.COM</t>
  </si>
  <si>
    <t>DIAGONAL 17B NO. 90 - 53 - ZONA OCCIDENTE - BOGOTA</t>
  </si>
  <si>
    <t>HELENA QUIJANO DE RAMIREZ</t>
  </si>
  <si>
    <t>HELENADERAMIREZ@GMAIL.COM</t>
  </si>
  <si>
    <t xml:space="preserve">Kra 64 # 94a-86 - BOGOTA  </t>
  </si>
  <si>
    <t>NATALIA SOFIA HERNANDEZ QUINTERO</t>
  </si>
  <si>
    <t>SOFIAHERNANDEZ.2520@GMAIL.COM</t>
  </si>
  <si>
    <t>CLL 8 C Nº 2-08 EL BOSQUE</t>
  </si>
  <si>
    <t>MANUEL ALFONSO CUBILLOS MARTIN</t>
  </si>
  <si>
    <t>manuel.cubillos154@casur.gov.co</t>
  </si>
  <si>
    <t>CALLE 145 NO.  28 40 Apt 102 INT 1  CEDRITOS - NORTE -   BOGOTA DC (CUNDIN</t>
  </si>
  <si>
    <t>RUBEN DARIO RIAÑO LEMUS</t>
  </si>
  <si>
    <t>dario_61@hotmail.com</t>
  </si>
  <si>
    <t>CRA 89 # 19A-49 INT 9 APTO 203</t>
  </si>
  <si>
    <t>JOSE FERNANDO BOHORQUEZ CUBILLOS</t>
  </si>
  <si>
    <t>FERMILUJU@YAHOO.ES</t>
  </si>
  <si>
    <t>CALLE 25 NO. 68A - 70 APTO 507 - BOGOTA</t>
  </si>
  <si>
    <t>FERNANDO BENEDO SUAREZ QUINTERO</t>
  </si>
  <si>
    <t>FECHOS7@HOTMAIL.COM</t>
  </si>
  <si>
    <t xml:space="preserve">Condominio altos del bosque casa 6A - FACATATIVA  </t>
  </si>
  <si>
    <t>25269</t>
  </si>
  <si>
    <t>ALCIDES CARDENAS VELA</t>
  </si>
  <si>
    <t>alcardenas48@gmail.com</t>
  </si>
  <si>
    <t>Carrera 19a #107-14 Apto 601 - ZONA NORTE - BOGOTA</t>
  </si>
  <si>
    <t>OSWALDO MANUEL MENDEZ LARA</t>
  </si>
  <si>
    <t>oswal1977@yahoo.es</t>
  </si>
  <si>
    <t>CALLE 174 Nª 7 A - 26 INT 2 APT 501 BOGOTÀ</t>
  </si>
  <si>
    <t>MARIA JOSE TANG MEZA</t>
  </si>
  <si>
    <t>MTANG9601@GMAIL.COM</t>
  </si>
  <si>
    <t>CARRERA 1 NO. 16-17 SUR, BATALLÓN FLUVIAL DE I.M NO. 52, BARRIO FUNDADORES AL LADO DE LA BOMBA TERPEL - ARAUCA</t>
  </si>
  <si>
    <t>81001</t>
  </si>
  <si>
    <t>JORGE ALBERTO HURTADO CASTELLANOS</t>
  </si>
  <si>
    <t>RADAREOIR_2005@YAHOO.ES</t>
  </si>
  <si>
    <t>CRA 8A No. 153-51</t>
  </si>
  <si>
    <t>JANNETH LUCIA RODRIGUEZ FONSECA</t>
  </si>
  <si>
    <t>junetiof@yahoo.com</t>
  </si>
  <si>
    <t>617 CONETREE DR TENESSE</t>
  </si>
  <si>
    <t>JOSE AMBROSIO ESPAÑA RODRIGUEZ</t>
  </si>
  <si>
    <t xml:space="preserve">jose.españa.roddriguez </t>
  </si>
  <si>
    <t xml:space="preserve">Calle 168 # 14 B 45 - BOGOTA  </t>
  </si>
  <si>
    <t>FIDEL ANGEL SILVA CUENCA</t>
  </si>
  <si>
    <t>fidels22@hotmail.com</t>
  </si>
  <si>
    <t xml:space="preserve">carrera 70c no.124-74 - BOGOTA  </t>
  </si>
  <si>
    <t>JAIRO ANDRES TORO VILLA</t>
  </si>
  <si>
    <t>an3toro@hotmail.com</t>
  </si>
  <si>
    <t>Carre 16 # 7D-15, Apto A01 - ZIPAQUIRA</t>
  </si>
  <si>
    <t>25899</t>
  </si>
  <si>
    <t>HECTOR JAVIER TAMAYO TAMAYO</t>
  </si>
  <si>
    <t>JAVITAMAYO69@GMAIL.COM</t>
  </si>
  <si>
    <t xml:space="preserve">Kra12 # 69-232 - IBAGUE  </t>
  </si>
  <si>
    <t>73001</t>
  </si>
  <si>
    <t>FERNANDO ANDRES POLO PUENTES</t>
  </si>
  <si>
    <t>fpolo188@yahoo.es</t>
  </si>
  <si>
    <t>CRA 13 N° 152 - 35 APTO 802</t>
  </si>
  <si>
    <t>JUAN GUILLERMO SANMIGUEL EVAN</t>
  </si>
  <si>
    <t>JUAN.CHOPO.4@HOTMAIL.COM</t>
  </si>
  <si>
    <t>CALLE 67 NO 22-62 CASA 28 BARRANCABERMEJA</t>
  </si>
  <si>
    <t>68081</t>
  </si>
  <si>
    <t>MARTHA CECILIA LOPEZ RODRIGUEZ</t>
  </si>
  <si>
    <t xml:space="preserve">sofiacifuentes1955@gmail.com  </t>
  </si>
  <si>
    <t>Calle 6 # 38 - 05 - CALI</t>
  </si>
  <si>
    <t>76001</t>
  </si>
  <si>
    <t>ROCIO DURAN VALENCIA</t>
  </si>
  <si>
    <t>ROCDUR57@GMAIL.COM</t>
  </si>
  <si>
    <t>CARRERA 14 B NO. 119-57   APTO 201 - ZONA NORTE -  BOGOTà</t>
  </si>
  <si>
    <t>FROILAN PINZON CURREA</t>
  </si>
  <si>
    <t>FROYPINZON@HOTMAIL.COM</t>
  </si>
  <si>
    <t>CALLE 5C NO. 43 B 50 Apt 1003 EDIF JARDIN D - ZONA OCCIDENTE - BOGOTA</t>
  </si>
  <si>
    <t>VICTOR ANTONIO GONZALEZ BADRAN</t>
  </si>
  <si>
    <t>tonycalde@gmail.com</t>
  </si>
  <si>
    <t>TRANSVERSAL 52 N° 16- 192 CASA 42 ESCUELA NAVAL</t>
  </si>
  <si>
    <t>ANGELICA GONZALEZ TORRES</t>
  </si>
  <si>
    <t>angelicau2006@hotmail.com</t>
  </si>
  <si>
    <t>CLL 16 N 14 21 APTO 401</t>
  </si>
  <si>
    <t>VIVIANA VIZCAINO PINILLA</t>
  </si>
  <si>
    <t>viviana.vozcaino@icloud.com</t>
  </si>
  <si>
    <t xml:space="preserve"> CR 63 N 22a 41</t>
  </si>
  <si>
    <t>EDILBERTO SANCHEZ RUBIANO</t>
  </si>
  <si>
    <t>ERIBERTO1225@HOTMAIL.COM</t>
  </si>
  <si>
    <t>CARRERA 46 NO. 18A-30 - BOGOTA</t>
  </si>
  <si>
    <t>JUAN PABLO ORTIZ RAMIREZ</t>
  </si>
  <si>
    <t>JUANPABLOORTIZRAMIREZ2021@GMAIL.COM</t>
  </si>
  <si>
    <t>CALLE 146 N° 7 B - 90 APTO 410</t>
  </si>
  <si>
    <t>DIEGO HUMBERTO VELASQUEZ PAEZ</t>
  </si>
  <si>
    <t>DIEGOLAU23@HOTMAIL.COM</t>
  </si>
  <si>
    <t>CALLE 26 NO 40-31 APTO 2003 QUINTA PAREDES - BOGOTA</t>
  </si>
  <si>
    <t>VICTOR HUGO SANTOS PACHECO</t>
  </si>
  <si>
    <t>victorhugosantosp@gmail.com</t>
  </si>
  <si>
    <t>Circunvalar 36A No. 104-25 Torre 3 apto 1101 - BUCARAMANGA</t>
  </si>
  <si>
    <t>68001</t>
  </si>
  <si>
    <t>CARLOS ESTEBAN YELA CORTÉS</t>
  </si>
  <si>
    <t>carlos_yela25@hotmail.com</t>
  </si>
  <si>
    <t xml:space="preserve">Carrera 28 #13 20 - BOGOTA  </t>
  </si>
  <si>
    <t>NAYIVER MAYORGA ZARTA</t>
  </si>
  <si>
    <t>nayi_8907@hotmail.com</t>
  </si>
  <si>
    <t>MZ 1 CASA 10 PRIMER PISO BARRIO LOS PINOS</t>
  </si>
  <si>
    <t>05585</t>
  </si>
  <si>
    <t>MANUEL ANTONIO DIAZ LOZANO</t>
  </si>
  <si>
    <t>MADILO06@YAHOO.ES</t>
  </si>
  <si>
    <t xml:space="preserve">Carrera 22 No. 122-57 Apto. 202 - BOGOTA  </t>
  </si>
  <si>
    <t>NUBIA ESMERALDO VEGA MORENO</t>
  </si>
  <si>
    <t>jorsigo@hotmail.com</t>
  </si>
  <si>
    <t xml:space="preserve"> CRA 69 47 50</t>
  </si>
  <si>
    <t>LILIANA PIA GARCIA AGUDELO</t>
  </si>
  <si>
    <t>ALEJANDRA.HORMECHEA@HOTMAIL.COM</t>
  </si>
  <si>
    <t>CALLE 48 NO. 35 - 26 - VILLAVICENCIO</t>
  </si>
  <si>
    <t>50001</t>
  </si>
  <si>
    <t>FABIO FRANCISCO BORBON ARIAS</t>
  </si>
  <si>
    <t>FRANCISCOBORBONA@GMAIL.COM</t>
  </si>
  <si>
    <t>CALLE 169 B N° 75 - 60 T:4 APTO:704 - BOGOTA</t>
  </si>
  <si>
    <t>RAFAEL OLAYA QUINTERO</t>
  </si>
  <si>
    <t>RAFAOLAYA@HOTMAIL.COM</t>
  </si>
  <si>
    <t>CARRERA16A NO. 143 - 21 APTO 101 - EDIFICIO LA RODA - CEDRITOS - ZONA NORTE - BOGOTA</t>
  </si>
  <si>
    <t>JOSE VICENTE URUEÑA MOLINA</t>
  </si>
  <si>
    <t>cacom5_secomdedhu@hotmail.com</t>
  </si>
  <si>
    <t>CANTON RTE ADEF ICARO Apt 501</t>
  </si>
  <si>
    <t>JAVIER ORLANDO VALDERRAMA BLANCO</t>
  </si>
  <si>
    <t>javier.valderrama@correo.policia.gov.co</t>
  </si>
  <si>
    <t>CALLE 3 4-57 GUICAN BOYACA</t>
  </si>
  <si>
    <t>15332</t>
  </si>
  <si>
    <t>PEDRO ANTONIO OJEDA PEREZ</t>
  </si>
  <si>
    <t>oppedro@hotmail.com</t>
  </si>
  <si>
    <t>AVENIDA ORIENTAL 30 - 08 - TUNJA</t>
  </si>
  <si>
    <t>15001</t>
  </si>
  <si>
    <t>JIMENA ELENA VARGAS HERNANDEZ</t>
  </si>
  <si>
    <t xml:space="preserve">eiarevalor@hotmail.com  </t>
  </si>
  <si>
    <t xml:space="preserve">CARRERA 47 No. 106A - 60 AP310 - BOGOTA  </t>
  </si>
  <si>
    <t>JAIRO ANTONIO LEON PINZON</t>
  </si>
  <si>
    <t>JALP1948@GMAIL.COM</t>
  </si>
  <si>
    <t>CALLE 131A NO 55-16 Apt 602  IBERIA - ZONA NORTE - BOGOTA DC (CUNDINAM</t>
  </si>
  <si>
    <t>CESAR AUGUSTO BETANCOURT MONTOYA</t>
  </si>
  <si>
    <t>jurop2011@yahoo.com</t>
  </si>
  <si>
    <t>CALLE 23 D N° 72 B - 89 INT 11 APTO 501</t>
  </si>
  <si>
    <t>ZULAY REYES RINCON</t>
  </si>
  <si>
    <t>ZZULAY@HOTMAIL.COM</t>
  </si>
  <si>
    <t>CALLE 94 No. 72 A 52 casa 87  BOGOTA</t>
  </si>
  <si>
    <t>JORGE FERNANDO MALDONADO AYALA</t>
  </si>
  <si>
    <t>jorgef55@hotmail.com</t>
  </si>
  <si>
    <t>Cr13  145 45 Apt303 EDIF TORRELADERA 1</t>
  </si>
  <si>
    <t>VICTOR MANUEL BOTIA MURILLO</t>
  </si>
  <si>
    <t>botia.victor@gmail.com</t>
  </si>
  <si>
    <t>CALLE 106 NO 17 A 47 APT 401 - ZONA NORTE --- BOGOTA</t>
  </si>
  <si>
    <t>WLADISLAO REINOSO MARIN</t>
  </si>
  <si>
    <t>Cl 135  17A 29</t>
  </si>
  <si>
    <t>ARMIN OSWALDO GOMEZ GUZMAN</t>
  </si>
  <si>
    <t>oswaldogg1965@gmail.com</t>
  </si>
  <si>
    <t>KRA.81B  19B-80  TORRE 1 APTO.103</t>
  </si>
  <si>
    <t>EDGAR ROJAS RODRIGUEZ</t>
  </si>
  <si>
    <t>edgarrojasrodriguez@gmail.com</t>
  </si>
  <si>
    <t>cr 118 N 83A 75</t>
  </si>
  <si>
    <t>JAIRO ENRIQUE OLARTE LOPEZ</t>
  </si>
  <si>
    <t>jaeol@hotmail.com</t>
  </si>
  <si>
    <t>CALLE 181 # 17B - 88 APTO 511 - BOGOTA</t>
  </si>
  <si>
    <t>SANDRA LILIANA PALACIOS RIVAS</t>
  </si>
  <si>
    <t>LILIANAPALACIOSRIVAS2020@GMAIL.COM</t>
  </si>
  <si>
    <t>CALLE 148 NO. 7G- 37 APTO 402 - BOGOTA</t>
  </si>
  <si>
    <t>CESAR GONZALO MIKAN FORERO</t>
  </si>
  <si>
    <t>CESARMIKAN49@YAHOO.COM</t>
  </si>
  <si>
    <t xml:space="preserve">Carrera 51 #80-281 apto 308 Ed. Vizcayne - BARRANQUILLA  </t>
  </si>
  <si>
    <t>08001</t>
  </si>
  <si>
    <t>FERNANDO PLATA ROZO</t>
  </si>
  <si>
    <t>FEPLAROZ@GMAIL.COM</t>
  </si>
  <si>
    <t>CALLE 44 D N° 45 - 30 INT 8 APTO 302 - BOGOTA</t>
  </si>
  <si>
    <t>BEATRIZ ALEXANDRA DE FATIMA GIRALDO HERRERA</t>
  </si>
  <si>
    <t>benacho11@gmail.com</t>
  </si>
  <si>
    <t>CARRERA 16A # 143-05 - BOGOTA</t>
  </si>
  <si>
    <t>JUAN CARLOS AGUIRRE PRADA</t>
  </si>
  <si>
    <t>TANGOJUANCARLOS@HOTMAIL.COM</t>
  </si>
  <si>
    <t xml:space="preserve">Calle 18 # 86-55 Torre 9 Apto 203 - BOGOTA  </t>
  </si>
  <si>
    <t>NORA HELENA GARCIA ISAZA</t>
  </si>
  <si>
    <t>nohoragarciaisaza@yahoo.com</t>
  </si>
  <si>
    <t>CARRERA 55 # 61-85</t>
  </si>
  <si>
    <t>RODRIGO RENE RAMOS CABALLERO</t>
  </si>
  <si>
    <t>rodroll@gmail.com</t>
  </si>
  <si>
    <t>CARRERA 17 A N 140-59 CASA 1</t>
  </si>
  <si>
    <t>JOSE MAURICIO MUñOZ PUENTES</t>
  </si>
  <si>
    <t>MAUROMP2607@GMAIL.COM</t>
  </si>
  <si>
    <t xml:space="preserve">Carrera 11 # 23A - 86 Int 1, apto 1103, conjunto Colina Campestre, Barrio San Carlos. - DUITAMA  </t>
  </si>
  <si>
    <t>15238</t>
  </si>
  <si>
    <t>UVA MARLENY SERRANO DELGADO</t>
  </si>
  <si>
    <t>ninjet.lung@gmail.com</t>
  </si>
  <si>
    <t xml:space="preserve">Carrera 45 No 44-21 - BOGOTA  </t>
  </si>
  <si>
    <t>OMAIRA ROSA RAMOS HERNANDEZ</t>
  </si>
  <si>
    <t>OMITENIS@HOTMAIL.COM</t>
  </si>
  <si>
    <t>CALLE 2ESTE NO. 61 - 05 TORRE 3 APTO 1201 - BOGOTA</t>
  </si>
  <si>
    <t>DAVID FRANCISCO ROMERO HURTADO</t>
  </si>
  <si>
    <t>DAVID.ROMERO402@GMAIL.COM</t>
  </si>
  <si>
    <t>CARRERA 69 B N° 25 - 45 - BOGOTA</t>
  </si>
  <si>
    <t>FREDDY ALVAREZ VELASQUEZ</t>
  </si>
  <si>
    <t>giotito30@gmail.com</t>
  </si>
  <si>
    <t xml:space="preserve">CALLE 107A # 54-95 APTO 201 - BOGOTA  </t>
  </si>
  <si>
    <t>OLFER MARCEL ANDRADE TRUJILLO</t>
  </si>
  <si>
    <t>OLMANTRU@GMAIL.COM</t>
  </si>
  <si>
    <t>Calle35sur # 47 - 30 - ENVIGADO</t>
  </si>
  <si>
    <t>JOSE RAFAEL LUNA GIRALDO</t>
  </si>
  <si>
    <t>JORALUGI@GMAIL.COM</t>
  </si>
  <si>
    <t>CARRERA 25 Nº1A - 89 - BARRANQUILLA</t>
  </si>
  <si>
    <t>DIANA CAYCEDO PINZON</t>
  </si>
  <si>
    <t>DICAPIGU@HOTMAIL.COM</t>
  </si>
  <si>
    <t>CLL.144  12-41 CASA 11 CEDRITOS</t>
  </si>
  <si>
    <t xml:space="preserve">FONDECLUM </t>
  </si>
  <si>
    <t>fondeclum@gmail.com</t>
  </si>
  <si>
    <t>CRA 50 15 80</t>
  </si>
  <si>
    <t>TANIA HERNANDEZ</t>
  </si>
  <si>
    <t>tanilu26@yahoo.es</t>
  </si>
  <si>
    <t>CRA 17 # 17-02</t>
  </si>
  <si>
    <t>MARGOTH SUAREZ DE SUAREZ</t>
  </si>
  <si>
    <t>MMSSCC70@HOTMAIL.COM</t>
  </si>
  <si>
    <t>CARRERA 11 #114-32 APARTAMENTO 502</t>
  </si>
  <si>
    <t>IVAN CAMILO MERLO ARIAS</t>
  </si>
  <si>
    <t>ivancamiloma@gmail.com</t>
  </si>
  <si>
    <t>CRA 19D BIS N 1C 18 B/ EDUARDO SANTOS</t>
  </si>
  <si>
    <t>DANIEL ALBERTO JARAMILLO ALVARADO</t>
  </si>
  <si>
    <t>DANIELALBERTOJA@GMAIL.COM</t>
  </si>
  <si>
    <t>Avenida cra 58 # 138-63 TORRE 1 APTO 1701 - BOGOTA</t>
  </si>
  <si>
    <t>ANDRES DAVID VILLABON ROJAS</t>
  </si>
  <si>
    <t>andresvillabonrojas@gmail.com</t>
  </si>
  <si>
    <t>CRA. 18A # 6-57</t>
  </si>
  <si>
    <t>HOLLMAN IBAÑEZ PARRA</t>
  </si>
  <si>
    <t>hollmanibañez@gmail.com</t>
  </si>
  <si>
    <t xml:space="preserve"> CLL 100 #8A 55 OFC 616 TORRE C</t>
  </si>
  <si>
    <t>ROBERT SANTIAGO QUIROGA CRUZ</t>
  </si>
  <si>
    <t>ROBERTQUIROGACRUZ@GMAIL.COM</t>
  </si>
  <si>
    <t xml:space="preserve">Carrera 7 B Bis A # 151-37 Apto 202 - BOGOTA  </t>
  </si>
  <si>
    <t>ROBERTO QUIROZ QUIROZ</t>
  </si>
  <si>
    <t>ROBERTOQUIROZ44@GMAIL.COM</t>
  </si>
  <si>
    <t>CARRERA 57 a # 55 - 40 - BOGOTA</t>
  </si>
  <si>
    <t>AMPARO ALMANZA DE SILVA</t>
  </si>
  <si>
    <t>victor.silva771@casur.gov.co</t>
  </si>
  <si>
    <t>CARRERA 54 NO. 59-53 BARRIO QUIRINAL BOGOTÁ</t>
  </si>
  <si>
    <t>FRANCISCO JAVIER CASTRO ALFONSO</t>
  </si>
  <si>
    <t>JAVIERCASTRO1973@YAHOO.COM</t>
  </si>
  <si>
    <t>AVENIDA CALLE 138 NO.57-76 - ZONA OCCIDENTE - BOGOTA</t>
  </si>
  <si>
    <t>NELSON FRANCISCO ROCHA URBINA</t>
  </si>
  <si>
    <t>runelsonf@yahoo.com</t>
  </si>
  <si>
    <t>Carrera 49 # 118 - 41 - BOGOTA</t>
  </si>
  <si>
    <t>MATEO PAEZ SILVA</t>
  </si>
  <si>
    <t>silva-2208@hotmail.com</t>
  </si>
  <si>
    <t>CR 109A 83-50 APTO 5-202</t>
  </si>
  <si>
    <t>ELKIN DARIO OSORIO DIAZ</t>
  </si>
  <si>
    <t>elkindarioosorio@gmail.com</t>
  </si>
  <si>
    <t>CALLE 56 A NO. 58-71 BOGOTA</t>
  </si>
  <si>
    <t>DIANA CAROL BENITEZ RAMIREZ</t>
  </si>
  <si>
    <t>DCBENITEZR@HOTMAIL.COM</t>
  </si>
  <si>
    <t>CARRERA 40 B NO. 19-43 sur - BOGOTA</t>
  </si>
  <si>
    <t>CESAR ENRIQUE MARTINEZ ROA</t>
  </si>
  <si>
    <t>cesarmart81@hotmail.com</t>
  </si>
  <si>
    <t>CALLE 26 NO. 128 -  00  - BOGOTA</t>
  </si>
  <si>
    <t>SANDRA PATRICIA RODRIGUEZ BORBON</t>
  </si>
  <si>
    <t>sandraparo64@gmail.com</t>
  </si>
  <si>
    <t xml:space="preserve"> CR 69B 7A 27</t>
  </si>
  <si>
    <t>CARLOS EDUARDO DEVIA GUTIERREZ</t>
  </si>
  <si>
    <t>CEDUARDODEVIAG@GMAIL.COM</t>
  </si>
  <si>
    <t>Cl 150A NO. 4 - 30  BOSQUE DE PINIOS - BOGOTA</t>
  </si>
  <si>
    <t>LILIANA MARIA FLOREZ BOLIVAR</t>
  </si>
  <si>
    <t>LILO.FLOREZ78@GMAIL.COM</t>
  </si>
  <si>
    <t>AVENIDA AMERICAS 33 - 50 - BOGOTA</t>
  </si>
  <si>
    <t>BLANCA YOLANDA PAZ DE OCHOA</t>
  </si>
  <si>
    <t>BLANCAPAZ275@GMAIL.COM</t>
  </si>
  <si>
    <t>CALLE 72 BIS Nº 5 - 70 APTO 501 - BARRIO ROSALES</t>
  </si>
  <si>
    <t>JUAN CAMILO FORERO HAUZEUR</t>
  </si>
  <si>
    <t>juancamiloforero@gmail.com</t>
  </si>
  <si>
    <t xml:space="preserve">CALLE 134A No. 11-63 APTO 504 - BOGOTA  </t>
  </si>
  <si>
    <t>JORGE MANZANERA NEUMAN</t>
  </si>
  <si>
    <t>jorge.manzanera.n@gmail.com</t>
  </si>
  <si>
    <t>CALLE 144 NO. 7C 28 INT 2</t>
  </si>
  <si>
    <t>HERNAN FLOREZ LOPEZ</t>
  </si>
  <si>
    <t>HERNANFLOREZ@HOTMAIL.COM</t>
  </si>
  <si>
    <t>CRA 57 N° 53 -  50 APTO 504 - BOGOTA</t>
  </si>
  <si>
    <t>NATALIA FARFAN GONZALEZ</t>
  </si>
  <si>
    <t>natisfe70@gmail.COM</t>
  </si>
  <si>
    <t>CALLE 144 N° 12-32 CASA 1 - ZONA NORTE - BOGOTA</t>
  </si>
  <si>
    <t>FERNANDO ADOLFO DAZA TRISTANCHO</t>
  </si>
  <si>
    <t>ferdaza@hotmail.com</t>
  </si>
  <si>
    <t>Cr 16 127  31 Apt 602 TORRE 4</t>
  </si>
  <si>
    <t>SANDRA XIMENA ARGUELLES CEBALLOS</t>
  </si>
  <si>
    <t>sanxiar@gmail.com</t>
  </si>
  <si>
    <t>KM 56 N° 147 - 58 CASA 41 MONTECARLO 2 / BOGOTA</t>
  </si>
  <si>
    <t>BLANCA DIANA TELLEZ MARTINEZ</t>
  </si>
  <si>
    <t>bladite@hotmail.com</t>
  </si>
  <si>
    <t>Carrera 50A # 174B-03 interior 1 apto 702 - ZONA OCCIDENTE - BOGOTA</t>
  </si>
  <si>
    <t>MARIA INES SUAREZ NARVAEZ</t>
  </si>
  <si>
    <t>MARISUANA@GMAIL.COM</t>
  </si>
  <si>
    <t>Cr 55  59 76</t>
  </si>
  <si>
    <t>SANTIAGO RODRIGUEZ PINEDA</t>
  </si>
  <si>
    <t>saropi63@hotmail.com</t>
  </si>
  <si>
    <t>CARRERA 78 N. 173-15 CASA 2 CONJUNTO BONAIRE III - ZONA OCCIDENTE - BOGOTA</t>
  </si>
  <si>
    <t>MARTHA LUCIA GALLO CRISTANCHO</t>
  </si>
  <si>
    <t>maluga39@gmail.com</t>
  </si>
  <si>
    <t>CLL 17 N 37A 68</t>
  </si>
  <si>
    <t>TC (RA) LUZ MARINA AVILA MARTINEZ</t>
  </si>
  <si>
    <t>RODRIGUEZ762@YAHOO.COM.CO</t>
  </si>
  <si>
    <t xml:space="preserve">VRDA CARREÑO FINCA EL REFUGIO - SOTAQUIRA  </t>
  </si>
  <si>
    <t>15763</t>
  </si>
  <si>
    <t>DIEGO LUIS SANDOVAL GONZALEZ</t>
  </si>
  <si>
    <t>dilusa39@hotmail.com</t>
  </si>
  <si>
    <t>Cl 115N 42 08 APT 502 BOGOTA</t>
  </si>
  <si>
    <t>CESAR ALFONSO REYES VALENCIA</t>
  </si>
  <si>
    <t>reyesbrier@gmail.com</t>
  </si>
  <si>
    <t>73411</t>
  </si>
  <si>
    <t>ROBERTO HERNANDEZ HERNANDEZ</t>
  </si>
  <si>
    <t>juliae777@hotmail.com</t>
  </si>
  <si>
    <t xml:space="preserve">Calle 119 No 51-05 - BOGOTA  </t>
  </si>
  <si>
    <t>LUIS DANIEL ALARCON QUENZA</t>
  </si>
  <si>
    <t>danielalarcon71@gmail.com</t>
  </si>
  <si>
    <t>CALLE 99 # 70C-79 - ZONA OCCIDENTE - BOGOTA</t>
  </si>
  <si>
    <t>LUIS FELIPE BARBOSA PATIÑO</t>
  </si>
  <si>
    <t>luis.barbosapa@buzonejercito.mil.co</t>
  </si>
  <si>
    <t>MANZANA F CASA 6 SANTA BARBARA - MELGAR</t>
  </si>
  <si>
    <t>73449</t>
  </si>
  <si>
    <t>JAVIER ANDRES CABEZAS MONTAÑO</t>
  </si>
  <si>
    <t>javier.cabezas@armada.mil.co</t>
  </si>
  <si>
    <t xml:space="preserve">Escuela Naval Almirante Padilla - CARTAGENA  </t>
  </si>
  <si>
    <t>ASOCIACION SOCIEDAD COLOMBIANA DE PEDIATRIA REGIONAL BOYACA</t>
  </si>
  <si>
    <t>scpregionalboyaca@gmail.com</t>
  </si>
  <si>
    <t>CL 13 11 31 OF 314</t>
  </si>
  <si>
    <t>15759</t>
  </si>
  <si>
    <t>CIELO PATRICIA VELASQUEZ GONZALEZ</t>
  </si>
  <si>
    <t>PAT_FORERO@HOTMAIL.COM</t>
  </si>
  <si>
    <t>4712 LINDEN ST</t>
  </si>
  <si>
    <t>YANLICER PEREZ HERNANDEZ</t>
  </si>
  <si>
    <t>ganilecerp@gmail.com</t>
  </si>
  <si>
    <t xml:space="preserve"> CL 152 58 51</t>
  </si>
  <si>
    <t>LEONARDO RAMIRO CRUZ CRUZ</t>
  </si>
  <si>
    <t>LEONARDO.CRUZCRUZ@GMAIL.COM</t>
  </si>
  <si>
    <t xml:space="preserve">Calle152B #56-75 casa 77 - BOGOTA  </t>
  </si>
  <si>
    <t>LEONARDO BAYONA TORRES</t>
  </si>
  <si>
    <t>pegazzo06@gmail.com</t>
  </si>
  <si>
    <t>CL. 106 Nº 7-02 TORRE8 APTO 101</t>
  </si>
  <si>
    <t>GEOVANNY ANDRES SUAREZ PENAGOS</t>
  </si>
  <si>
    <t>andressuarez343@gmail.com</t>
  </si>
  <si>
    <t>CARRERA 8A 153-51 TORRE 10 APTO 202</t>
  </si>
  <si>
    <t>PIEDAD CENAIDA GOMEZ MARTINEZ</t>
  </si>
  <si>
    <t>pigoma13@hotmail.com</t>
  </si>
  <si>
    <t>CARRERA 46 # 18 - 30 - BOGOTA</t>
  </si>
  <si>
    <t>JAVIER ALBERTO BARON VILLAMIZAR</t>
  </si>
  <si>
    <t>baron.javier@gmail.com</t>
  </si>
  <si>
    <t>CALLE 131 # 19 - 32 APTO 804</t>
  </si>
  <si>
    <t>CLAUDIA MILENA DIAZ GIL</t>
  </si>
  <si>
    <t>claudiaz1234@hotmail.com</t>
  </si>
  <si>
    <t>CARRERA 87 B # 8A -72 TORRE 1 APTO 702 - BOGOTA</t>
  </si>
  <si>
    <t>LUIS OSCAR VARGAS ABONDANO</t>
  </si>
  <si>
    <t xml:space="preserve">construir21@gmail.com  </t>
  </si>
  <si>
    <t xml:space="preserve">Calle 121 No. 3A- 20 TO 3 norte B apto 339 - BOGOTA  </t>
  </si>
  <si>
    <t>NUBIA ESPERANZA DELGADO LOZANO</t>
  </si>
  <si>
    <t>nuby_07@hotmail.com</t>
  </si>
  <si>
    <t xml:space="preserve">CARRERA 77 No.19-87 - BOGOTA  </t>
  </si>
  <si>
    <t>JULIO CESAR MOYANO HERNANDEZ</t>
  </si>
  <si>
    <t>moyanoinf@gmail.com</t>
  </si>
  <si>
    <t>CARRERA 54 D # 135 - 15 - BOGOTA</t>
  </si>
  <si>
    <t>ERIKA MARCELA GUERRERO SIERRA</t>
  </si>
  <si>
    <t>erikamarcela2003@hotmail.com</t>
  </si>
  <si>
    <t>CARRERA 78 # 52B 70 - BOGOTA</t>
  </si>
  <si>
    <t>RODRIGO CORTES PERALTA</t>
  </si>
  <si>
    <t>animal.rcp@yahoo.com</t>
  </si>
  <si>
    <t>CALLE 151 NO . 11 - 32 TORRE 4 APTO 1014 CONJUNTO LOMBARDIA - BOGOTA</t>
  </si>
  <si>
    <t>RICARDO ESCOBAR PEREZ</t>
  </si>
  <si>
    <t>ricardoescobarp@gmail.com</t>
  </si>
  <si>
    <t xml:space="preserve">Calle 11 sur # 10-97, Via Canelón - Cajica, Casa Nº 35 / Conjunto Canelon / Cajicá (Cundinamarca)   </t>
  </si>
  <si>
    <t>25126</t>
  </si>
  <si>
    <t>GIOVANNY ALFREDO KURE CASTILLO</t>
  </si>
  <si>
    <t>gestionhk@hotmail.com</t>
  </si>
  <si>
    <t>CALLE 124 #18-43</t>
  </si>
  <si>
    <t>FABIO ALEXANDER VILLAMIL GONZALEZ</t>
  </si>
  <si>
    <t>A.VIL.99@HOTMAIL.COM</t>
  </si>
  <si>
    <t>Calle 51 No 4b-52 apto 301 ed. La reserva  - IBAGUE</t>
  </si>
  <si>
    <t>LUIS ALEXANDER BARBOSA JAIMES</t>
  </si>
  <si>
    <t>luis.barbosa@correo.policia.gov.co</t>
  </si>
  <si>
    <t>CARRERA 1 # 57-00</t>
  </si>
  <si>
    <t>JORGE ANDRES RIOS GOMEZ</t>
  </si>
  <si>
    <t>JORGE.ANDRES.RIOS.GOMEZ@GMAIL.COM</t>
  </si>
  <si>
    <t>CALLE 79 B N° 4 - 50</t>
  </si>
  <si>
    <t>MARIO HUMBERTO COLMENARES CARREÑO</t>
  </si>
  <si>
    <t>colmenaresmario@hotmail.com</t>
  </si>
  <si>
    <t>CARRERA 18 A # 137 32 CASA</t>
  </si>
  <si>
    <t>YAMID ALEXANDER BELLO GARCIA</t>
  </si>
  <si>
    <t>yamid_50@hotmail.com</t>
  </si>
  <si>
    <t>CALLE  150A NO.  50-08   EDIFICIO LOTAR 2 APTO 504  BARRIO VICTORIA NORTE - ZONA OCCIDENTE - BOGOTA</t>
  </si>
  <si>
    <t>CARLOS FELIPE SANTACRUZ ORTEGA</t>
  </si>
  <si>
    <t>CSANTACRUZ@SANTACRUZABOGADOS.NET</t>
  </si>
  <si>
    <t>CARRERA 9 N 71-70 OFICINA 401</t>
  </si>
  <si>
    <t>RICARDO ANDRES BERNAL VALLARINO</t>
  </si>
  <si>
    <t>DRILLBIT55@GMAIL.COM</t>
  </si>
  <si>
    <t>DIAGONAL 4 B BIS # 30 -26 CONJUTNO LUCCA APTO 110 TORRE 3 - ZIPAQUIRA</t>
  </si>
  <si>
    <t>RAFAEL PARDO CORTES</t>
  </si>
  <si>
    <t>rafael.pardo166@casur.gov.co</t>
  </si>
  <si>
    <t>CALLE 103A NO.  22A 03 Apt 302 SAN PATRICIO- NORTE -  BOGOTA DC (CUNDINAMARCA)</t>
  </si>
  <si>
    <t>RAFAEL ALBERTO CASCANTE CHAVES</t>
  </si>
  <si>
    <t>ciudadano@armada.mil.co</t>
  </si>
  <si>
    <t>Avenida Calle 26 # 69-76</t>
  </si>
  <si>
    <t>PABLO EMILIO DONADO CAMARGO</t>
  </si>
  <si>
    <t>PABLO_DONADO@HOTMAIL.COM</t>
  </si>
  <si>
    <t>AVENIDA UNIVERSITARIA # 42 A  - 60 CASA 3 MANZANA D - TUNJA</t>
  </si>
  <si>
    <t>JORGE ANDRES BARRERA CHAPARRO</t>
  </si>
  <si>
    <t>JORGE.BARRERA1220@GMAIL.COM</t>
  </si>
  <si>
    <t>CALLE 10 # 14-89 SEGUNDO PISO BARRIO SANTA INES</t>
  </si>
  <si>
    <t>CLARA INES PINZON DE TORO</t>
  </si>
  <si>
    <t>clainespinzon16@gmail.com</t>
  </si>
  <si>
    <t>CARRERA 13 # 124 - 56 APARTAMENTO 305 INTERIOR 4 - ZONA NORTE - BOGOTA</t>
  </si>
  <si>
    <t>OTILIA RINCON RIVERA</t>
  </si>
  <si>
    <t>otyrive@hotmail.com</t>
  </si>
  <si>
    <t>Calle 127 A 49- 67 Int. 2 ap.304</t>
  </si>
  <si>
    <t>GABRIEL HERNANDO TORRES TORRES</t>
  </si>
  <si>
    <t>gabheto@hotmail.com</t>
  </si>
  <si>
    <t xml:space="preserve">CARRERA 23 NO.106 b - 31 Ap 404 - ZONA NORTE - BOGOTA </t>
  </si>
  <si>
    <t>JUAN DIEGO ARIAS GIRAL</t>
  </si>
  <si>
    <t>jdag8507@hotmail.com</t>
  </si>
  <si>
    <t>Calle 106 N 7 - 30 apto 501 torre 4 cantón norte - ZONA ORIENTE - BOGOTA</t>
  </si>
  <si>
    <t>DIEGO ANDRES VALDERRAMA FERNANDEZ</t>
  </si>
  <si>
    <t>dantemili6868@gmail.com</t>
  </si>
  <si>
    <t>CALLE 6 SUR # 23-51 CONDOMINIO SANTA MARIA 2 MZ 12 ACASA 16</t>
  </si>
  <si>
    <t>WILMAR NIÑO VIVAS</t>
  </si>
  <si>
    <t>wilnivi841122@gmail.com</t>
  </si>
  <si>
    <t>Calle 15 A No 42-30 casa 50 - DUITAMA</t>
  </si>
  <si>
    <t>RITO ALEJO DEL RIO ROJAS</t>
  </si>
  <si>
    <t xml:space="preserve">NOPOSEECORREO@CLUBMILITAR.GOV.CO  </t>
  </si>
  <si>
    <t>TRANSVERSAL 14 A 119-45 APTO 301</t>
  </si>
  <si>
    <t>JOSE MARIA JAIMES RAMIREZ</t>
  </si>
  <si>
    <t>jomlancom@hotmail.com</t>
  </si>
  <si>
    <t>CLL 9A # 17-09</t>
  </si>
  <si>
    <t>GUSTAVO ALFREDO CARDOZO CHAPARRO</t>
  </si>
  <si>
    <t>cardosogustavoa@yahoo.com</t>
  </si>
  <si>
    <t>CALLE 54 #59-35 APTO 202 BOGOTA</t>
  </si>
  <si>
    <t>DIEGO EDUARDO CANALES RODRIGUEZ</t>
  </si>
  <si>
    <t>DIEGOEDUARDOC7@GMAIL.COM</t>
  </si>
  <si>
    <t>CALLE 144 #12 -61 CASA 16 - BOGOTA</t>
  </si>
  <si>
    <t>FERNANDO LUIS ALONSO MARTINEZ</t>
  </si>
  <si>
    <t>fernandoal05@gmail.com</t>
  </si>
  <si>
    <t>CALLE 95 95-91</t>
  </si>
  <si>
    <t>ANGEL MARIA MARTIN ALFONSO</t>
  </si>
  <si>
    <t>ammamartin@yahoo.es</t>
  </si>
  <si>
    <t>DIAGONAL 167 #12-69 CS 133 - ZONA NORTE - BOGOTA</t>
  </si>
  <si>
    <t>JULIAN CAMILO RONCANCIO TRUJILLO</t>
  </si>
  <si>
    <t>julian.camilo.ron@gmail.com</t>
  </si>
  <si>
    <t>CLL 151 F N 133 - 39 AP 201 RINCON DE SANTA INES B</t>
  </si>
  <si>
    <t>JOSE MANUEL MUÑOZ VESGA</t>
  </si>
  <si>
    <t>JHOSEPTH@YAHOO.COM</t>
  </si>
  <si>
    <t>CALLE 23 N° 33 - 50 - BOGOTA</t>
  </si>
  <si>
    <t>OCTAVIO ERNESTO MORA JIMENEZ</t>
  </si>
  <si>
    <t>octavio.mora262@casur.gov.co</t>
  </si>
  <si>
    <t>CARRERA 11 NO.  119 69 Apt 305  SANTA BARBARA - NORTE -   BOGOTA DC (C</t>
  </si>
  <si>
    <t>MARCELA MARIA MERCADO REYES</t>
  </si>
  <si>
    <t>mercado.marcela10@gmail.com</t>
  </si>
  <si>
    <t>CL138 72A 40</t>
  </si>
  <si>
    <t>WILLIAM CAMILO URREGO MORA</t>
  </si>
  <si>
    <t>camilourrego85@hotmail.com</t>
  </si>
  <si>
    <t>CARRERA 92 NO. 8A-76 CONJUNTO CORUÑA RESERVADO  T6  APTO  C 21  BOGOTÁ</t>
  </si>
  <si>
    <t>JULIAN ANDRES CUELLAR HUACA</t>
  </si>
  <si>
    <t>julian.cuellar29@hotmail.com</t>
  </si>
  <si>
    <t>CRA 6 N° 12 - 85 TORRE 8 APTO 1130 - MOSQUERA CUNDINAMARCA</t>
  </si>
  <si>
    <t>25473</t>
  </si>
  <si>
    <t>JORGE ENRIQUE NAVARRETE JADETH</t>
  </si>
  <si>
    <t>navarretejadeth@hotmail.com</t>
  </si>
  <si>
    <t xml:space="preserve">Cra, 9 Vrda Bojacá, Cj Rincón de Chicalá 15A - CHIA  </t>
  </si>
  <si>
    <t>ANDRES DIAZ URIBE</t>
  </si>
  <si>
    <t>andiur@yahoo.es</t>
  </si>
  <si>
    <t>CARRERA 58 C  N°  144 - 15 CASA I 13 - BOGOTA</t>
  </si>
  <si>
    <t>CARLOS ANDRES AGUILERA PULIDO</t>
  </si>
  <si>
    <t>CAAP02@HOTMAIL.COM</t>
  </si>
  <si>
    <t>CALLE 66C NO. 61-01 INT 10 APTO 1103 - BOGOTA</t>
  </si>
  <si>
    <t>ROBERT ZAMBRANO LOZANO</t>
  </si>
  <si>
    <t>ROBERTZAMBRANO@YAHOO.COM</t>
  </si>
  <si>
    <t xml:space="preserve">CARRERA 68b #22a-71 Torre 8 apto 902 - BOGOTA  </t>
  </si>
  <si>
    <t>JUAN FELIPE PEREZ MARTINEZ</t>
  </si>
  <si>
    <t>perezave@gmail.com</t>
  </si>
  <si>
    <t>CALLE 59 N° 56 - 63</t>
  </si>
  <si>
    <t>RAFAEL ALBERTO RAMIREZ CHACON</t>
  </si>
  <si>
    <t>rafael.ramirez.ch@armada.mil.co</t>
  </si>
  <si>
    <t>BAHIA MALAGA - CASA B-08 - BAHIA MALAGA</t>
  </si>
  <si>
    <t>68432</t>
  </si>
  <si>
    <t>MYRIAM ELIZABETH LASPRIELLA ZAMORA</t>
  </si>
  <si>
    <t>myriamlaspriella@hotmail.com</t>
  </si>
  <si>
    <t xml:space="preserve">CARRERA 17 No 96-52 apto 501 - BOGOTA  </t>
  </si>
  <si>
    <t>WILDER CAMILO GONZALEZ VARGAS</t>
  </si>
  <si>
    <t>mcamilo_78@hotmail.com</t>
  </si>
  <si>
    <t>CARRERA 20 # 184-48 CASA 93 CONJUNTO SANTA MARIA</t>
  </si>
  <si>
    <t>JUAN CARLOS SIERRA PINEDA</t>
  </si>
  <si>
    <t>juan.sierra@correo.policia.gov.co</t>
  </si>
  <si>
    <t>CARRERA 75 NO. 25D - 21</t>
  </si>
  <si>
    <t>SERGIO DANIEL BARRERA ARIAS</t>
  </si>
  <si>
    <t>SERGIOBARRERASMO@GMAIL.COM</t>
  </si>
  <si>
    <t xml:space="preserve">Calle 54c sur numero 97-20 - BOGOTA  </t>
  </si>
  <si>
    <t>DIEGO FERNANDO MUÑOZ MENDOZA</t>
  </si>
  <si>
    <t>DMUNOZMENDOZA598@GMAIL.COM</t>
  </si>
  <si>
    <t>CARRERA 4 # 35 - 78 - TUNJA</t>
  </si>
  <si>
    <t>JUAN CARLOS LEON LAGOS</t>
  </si>
  <si>
    <t>JUCALEL66@YAHOO.COM</t>
  </si>
  <si>
    <t>CALLE 160# 73 - 47 APTO 301 TORRE 3 BOGOTA</t>
  </si>
  <si>
    <t>CESAR AUGUSTO RAVELO PEREZ</t>
  </si>
  <si>
    <t>ravelo_1990@hotmail.com</t>
  </si>
  <si>
    <t>CRA 18 A N° 2 - 13</t>
  </si>
  <si>
    <t>JORGE ENRIQUE CASTILLO ORTIZ</t>
  </si>
  <si>
    <t>alema@hotmail.com</t>
  </si>
  <si>
    <t>CARRERA 44 NO. 133A - 70 INT 4 Apt 101 LA SULTANA - ZONA OCCIDENTE - BOGOTA DC (CUNDINAMARCA)</t>
  </si>
  <si>
    <t>EDILBERTO RESTREPO PEREZ</t>
  </si>
  <si>
    <t>ctrpe07@hotmail.com</t>
  </si>
  <si>
    <t>CARRERA 54A # 59 - 37 PISO 3 QUIRINAL - BOGOTA</t>
  </si>
  <si>
    <t>LUZ AMPARO NEUTA PEñA</t>
  </si>
  <si>
    <t>AMPARO1176@HOTMAIL.COM</t>
  </si>
  <si>
    <t>CALLE 79A NO. 66 - 40 - BOGOTA</t>
  </si>
  <si>
    <t>MARTHA AZUCENA DONCEL RICO</t>
  </si>
  <si>
    <t>MARDONRI@HOTMAIL.COM</t>
  </si>
  <si>
    <t>CARRERA  81 BIS N°22 C - 04 - BOGOTA</t>
  </si>
  <si>
    <t>GERMAN TORRES RODRIGUEZ</t>
  </si>
  <si>
    <t>gertoro48@hotmail.com</t>
  </si>
  <si>
    <t>CARRERA  14B Nº 109 - 68 APTO 202 - ZONA NORTE - BOGOTA</t>
  </si>
  <si>
    <t>JAINER HUIZA GONZALEZ</t>
  </si>
  <si>
    <t>jainerhuizagonzalez@yahoo.es</t>
  </si>
  <si>
    <t>CALLE  114 # 11 - 08 - BOGOTA</t>
  </si>
  <si>
    <t>CARLOS ARTURO GARZON VELANDIA</t>
  </si>
  <si>
    <t>CGARZONVELANDIA@GMAIL.COM</t>
  </si>
  <si>
    <t>CARRERA 14 B # 112 - 08 APTO 102 -  BOGOTA</t>
  </si>
  <si>
    <t>ANGEL ORIOL PORRAS DUEÑAS</t>
  </si>
  <si>
    <t>angel.porras461@casur.gov.co</t>
  </si>
  <si>
    <t>Cl 15 Cr 7 ESQUINA CAMILO TORRES RIOHACHA</t>
  </si>
  <si>
    <t>44001</t>
  </si>
  <si>
    <t>VICTOR HUGO QUINTERO MARULANDA</t>
  </si>
  <si>
    <t>victorhugoquinterom@hotmail.com</t>
  </si>
  <si>
    <t>CALLE 41 # 22 - 13 - PALMIRA</t>
  </si>
  <si>
    <t>76520</t>
  </si>
  <si>
    <t>PEDRO IVAN MOLINA HIDALGO</t>
  </si>
  <si>
    <t>PEIMO1968@YAHOO.ES</t>
  </si>
  <si>
    <t>Calle 127 B # 6 - 54 apartamento 501 - ZONA ORIENTE - BOGOTA</t>
  </si>
  <si>
    <t>MARINA RINCON DE OVALLE</t>
  </si>
  <si>
    <t>MIOR_14@HOTMAIL.COM</t>
  </si>
  <si>
    <t>RESIDENCIAL Carrera 67 # 106 - 60 , Conjunto Residencial QUINTANILLA DE LA FLORA , Torre 1 , Apartamento 102 , Barrio ANDES NORTE</t>
  </si>
  <si>
    <t>EDWIN FERNANDO VILLAMARIN SANTAMARIA</t>
  </si>
  <si>
    <t>CL.24c#69-59 torre5 apto501</t>
  </si>
  <si>
    <t>CESAR OCTAVIO MENDOZA MEZA</t>
  </si>
  <si>
    <t>CESAROMENDOZA@HOTMAIL.COM</t>
  </si>
  <si>
    <t>CALLE 22A N 72B - 48</t>
  </si>
  <si>
    <t>SERGIO ALFONSO VARGAS COLMENARES</t>
  </si>
  <si>
    <t>sergiovargas61@hotmail.com</t>
  </si>
  <si>
    <t>CALLE 122 N° 11 C - 51 APTO 413</t>
  </si>
  <si>
    <t>JAIRO ROLANDO DELGADO MORA</t>
  </si>
  <si>
    <t>jairo.delgado669@casur.gov.co</t>
  </si>
  <si>
    <t>CALLE 106B NO. 54 70 Apt 202 - ZONA OCCIDENTE -  BOGOTA DC (CU</t>
  </si>
  <si>
    <t>HUGO ARMANDO SAUCEDO PINEDA</t>
  </si>
  <si>
    <t>NANDOX2012@GMAIL.COM</t>
  </si>
  <si>
    <t>CALLE 97 Nº 70C-69 INT 1 APTO 304 - ZONA OCCIDENTE - BOGOTA</t>
  </si>
  <si>
    <t>GABRIELA BOBADILLA CASTRO</t>
  </si>
  <si>
    <t>gabriela.castro060.gc@gmail.com</t>
  </si>
  <si>
    <t>TRANSVERSAL 54 #21a-15 BASE NAVAL</t>
  </si>
  <si>
    <t>MAXIMO BARRERA LIZARAZO</t>
  </si>
  <si>
    <t>MINBARRERA@HOTMAIL.COM</t>
  </si>
  <si>
    <t>CALLE 114A 45-65 APT202 INT7</t>
  </si>
  <si>
    <t>CARLOS ANDRES MUñOZ GRISALES</t>
  </si>
  <si>
    <t>carlosmunoz@casaroja.org</t>
  </si>
  <si>
    <t xml:space="preserve"> CL 29 13 35</t>
  </si>
  <si>
    <t>ALVARO LUQUE GARCIA</t>
  </si>
  <si>
    <t>alvarolugar@gmail.com</t>
  </si>
  <si>
    <t>K 72A NO. 120-54 APTO 303</t>
  </si>
  <si>
    <t>PAULA VANESSA CAMACHO CALA</t>
  </si>
  <si>
    <t>PAULA.CAMACHOC@GMAIL.COM</t>
  </si>
  <si>
    <t xml:space="preserve">CARRERA 45 # 24 c 12 apto 392 - BOGOTA  </t>
  </si>
  <si>
    <t>DANIEL FERNANDO PUERTO PEREZ</t>
  </si>
  <si>
    <t>alburak.88@gmail.com</t>
  </si>
  <si>
    <t>CALLE 163 B # 50- BOGOTA</t>
  </si>
  <si>
    <t>OLGA YANNETH ARCE ATUESTA</t>
  </si>
  <si>
    <t>olgarce_8@hotmail.com</t>
  </si>
  <si>
    <t>DIAGONAL 72 # 85 - 46</t>
  </si>
  <si>
    <t>NATALIA PEREIRA LADINO</t>
  </si>
  <si>
    <t>nati.pl@hotmail.com</t>
  </si>
  <si>
    <t>CL. 70 N 81 B 03 APTO 905 TORRE 6</t>
  </si>
  <si>
    <t>GERMAN DUARTE VARGAS</t>
  </si>
  <si>
    <t>GDUARTE@ASEPROTECO.COM</t>
  </si>
  <si>
    <t xml:space="preserve">Calle 145A No 12A 09 - BOGOTA  </t>
  </si>
  <si>
    <t>CAMILA ALEJANDRA MOLINA GALINDO</t>
  </si>
  <si>
    <t>camilagombrich@hotmail.com</t>
  </si>
  <si>
    <t>DG-86 A#102-50</t>
  </si>
  <si>
    <t>CARLOS ALBERTO MORALES PALACIOS</t>
  </si>
  <si>
    <t>camp56@GMAIL.COM</t>
  </si>
  <si>
    <t>AVENIDA 9 N 66- 34</t>
  </si>
  <si>
    <t>MYRIAM LORENA LOPEZ MOJICA</t>
  </si>
  <si>
    <t>LORELOPEZM2511@GMAIL.COM</t>
  </si>
  <si>
    <t>CARRERA 53A Nº 150A - 49 - BOGOTA</t>
  </si>
  <si>
    <t>DAVID TADEO PIÑA SABAHG</t>
  </si>
  <si>
    <t>dsabahg@clubmilitar.gov.co</t>
  </si>
  <si>
    <t>CL. 145 Nº 7 -31 PH 06</t>
  </si>
  <si>
    <t>YESSICA ALEJANDRA PRECIADO ALARCON</t>
  </si>
  <si>
    <t>YESSPRE@GMAIL.COM</t>
  </si>
  <si>
    <t>Carrera 11 # 44-60 - SOGAMOSO</t>
  </si>
  <si>
    <t>LUZ AMPARO ROMERO PULIDO</t>
  </si>
  <si>
    <t>MALU832@HOTMAIL.COM</t>
  </si>
  <si>
    <t>CONDOMINIO EL BOSQUE CASA 3  LA TEBAIDA / QUINDIO</t>
  </si>
  <si>
    <t>63401</t>
  </si>
  <si>
    <t>LEONEL HUMBERTO SALAMANCA AMEZQUITA</t>
  </si>
  <si>
    <t>HUMBERTOARTILLERO@GMAIL.COM</t>
  </si>
  <si>
    <t xml:space="preserve">Carrera 15 # 14-67 apto 301 - DUITAMA  </t>
  </si>
  <si>
    <t>LYDA ROCIO MANRIQUE GARZON</t>
  </si>
  <si>
    <t>LYDAMANRIQUE123@GMAIL.COM</t>
  </si>
  <si>
    <t>cr 8 727 c 52 ap 403</t>
  </si>
  <si>
    <t>JAIME ENRIQUE Perico Aranzazu</t>
  </si>
  <si>
    <t>jaime_perico@hotmail.com</t>
  </si>
  <si>
    <t>Carrera 11 #114-75/91, Edif. 147 Square Apto 209 - ZONA NORTE - BOGOTA</t>
  </si>
  <si>
    <t>OSCAR FERNANDO LOPEZ WANUMEN</t>
  </si>
  <si>
    <t>oscarlopezw@hotmail.com</t>
  </si>
  <si>
    <t>CARRERA 77 # 19 - 87 - BOGOTA</t>
  </si>
  <si>
    <t>AGUSTIN ARDILA MORCILLO</t>
  </si>
  <si>
    <t>AGUSTINARDILA1942@HOTMAIL.COM</t>
  </si>
  <si>
    <t>CALLE 146  6 - 24 TORRE 7 APTO 403</t>
  </si>
  <si>
    <t>JULIAN DAVID OICATA PRIETO</t>
  </si>
  <si>
    <t>JUDAOIPRI@GMAIL.COM</t>
  </si>
  <si>
    <t>avenida colon #10-53 - SAN ANDRES</t>
  </si>
  <si>
    <t>88001</t>
  </si>
  <si>
    <t>ORLANDO LOZANO RAMIREZ</t>
  </si>
  <si>
    <t>ORLOZANO67@YAHOO.COM</t>
  </si>
  <si>
    <t xml:space="preserve">Carrera 80 #151-31 T4-102 - BOGOTA  </t>
  </si>
  <si>
    <t>JOSE JOAQUIN SANABRIA FONSECA</t>
  </si>
  <si>
    <t>J4333@HOTMAIL.COM</t>
  </si>
  <si>
    <t>CARRERA 12 NO. 124 - 30 APTO 613 - BOGOTA</t>
  </si>
  <si>
    <t>JUAN CAMILO HERNANDEZ ARISTIZABAL</t>
  </si>
  <si>
    <t>CAMILO.HERNANDEZ@CORREO.POLICIA.GOV.CO</t>
  </si>
  <si>
    <t>CALLE 142 NO. 13-36 - BOGOTA</t>
  </si>
  <si>
    <t>JUAN CARLOS PUENTES PORRAS</t>
  </si>
  <si>
    <t>NOHORAJUANPUENTES@GMAIL.COM</t>
  </si>
  <si>
    <t>CARRERA 78 P BIS N 33A - 03 SUR</t>
  </si>
  <si>
    <t>MARIO OSWALDO GONZALEZ SANCHEZ</t>
  </si>
  <si>
    <t>cam_gerencia@Outlook.com</t>
  </si>
  <si>
    <t>CALLE 106 Nº 45  A 36 - ESTORIL</t>
  </si>
  <si>
    <t>LINA MARIA GUERRERO SIERRA</t>
  </si>
  <si>
    <t>LINAMARIA_182@HOTMAIL.COM</t>
  </si>
  <si>
    <t>DIAGONAL 107 N° 6 - 90</t>
  </si>
  <si>
    <t>WALTER MOJICA GOMEZ</t>
  </si>
  <si>
    <t>CONSUELOARIZAL@HOTMAIL.COM</t>
  </si>
  <si>
    <t>CARRERA 21 # 189-10 casa 24 sector 4 Marantá -  Bogotá.</t>
  </si>
  <si>
    <t>JUAN MANUEL DELGADO CANAVAL</t>
  </si>
  <si>
    <t>JUANMA0258@HOTMAIL.COM</t>
  </si>
  <si>
    <t>Cl 44D 45 45</t>
  </si>
  <si>
    <t>EDGAR RODRIGUEZ PEREZ</t>
  </si>
  <si>
    <t>EDGAR.RP28@GMAIL.COM</t>
  </si>
  <si>
    <t>CR 91 20 A -75 INT 2 APT 503</t>
  </si>
  <si>
    <t>ARMANDO ALBARRACIN CARREÑO</t>
  </si>
  <si>
    <t>ajalbarracinc@hotmail.com</t>
  </si>
  <si>
    <t>Carrera 52 número 22-39, Torre A, apto 502 - ZONA OCCIDENTE - BOGOTA</t>
  </si>
  <si>
    <t>JOHN EDUARD PAEZ CHINONES</t>
  </si>
  <si>
    <t>johneduardpaez@gmail.com</t>
  </si>
  <si>
    <t>CRA 53 A Nº14 C 31 APTO 302 D</t>
  </si>
  <si>
    <t>JIMMY FERNANDO GONZALEZ ALARCON</t>
  </si>
  <si>
    <t>jfernando2706@gmail.com</t>
  </si>
  <si>
    <t>AVENIDA 2A1 # 75-CN50</t>
  </si>
  <si>
    <t>JOSE HUGO ROJAS GUZMAN</t>
  </si>
  <si>
    <t>hugor_2003@yahoo.es</t>
  </si>
  <si>
    <t>CARRERA 21 11-98 CASA 13B CONJUNTO EL CIGARRAL</t>
  </si>
  <si>
    <t>CLAUDIA PATRICIA MUÑOZ TRUJILLO</t>
  </si>
  <si>
    <t>CLAPA.MU29@HOTMAIL.COM</t>
  </si>
  <si>
    <t>CARRERA 52 # 44C - 56 INT B APYO 101 - BOGOTA</t>
  </si>
  <si>
    <t>CESAR ALBERTO FERNANDEZ MEDINA</t>
  </si>
  <si>
    <t>CESAR_FERNANDEZM@YAHOO.COM</t>
  </si>
  <si>
    <t>AVENIDA CALLE 23 # 33 - 50 - BOGOTA</t>
  </si>
  <si>
    <t>RAFAEL ANDRES TRIVIÑO BARRERA</t>
  </si>
  <si>
    <t>andresratb1020@hotmail.com</t>
  </si>
  <si>
    <t>KARRERA 8 N° 66A 48 APAR 316</t>
  </si>
  <si>
    <t>JIMY ALONSO ROJAS VILLAMARIN</t>
  </si>
  <si>
    <t>jimyrojas74@gmail.com</t>
  </si>
  <si>
    <t>CALLE. 152 A Nº 101 A - 45 NUEVO SUBA - ZONA OCCIDENTE - BOGOTA</t>
  </si>
  <si>
    <t>OLGA LUCIA NIÑO PARRA</t>
  </si>
  <si>
    <t>olganinop@yahoo.com</t>
  </si>
  <si>
    <t>CALLE 62 N 35A - 52 - ZONA OCCIDENTE - BOGOTA</t>
  </si>
  <si>
    <t>JUAN CARLOS BARRERA JURADO</t>
  </si>
  <si>
    <t>jucabaju@yahoo.com</t>
  </si>
  <si>
    <t xml:space="preserve">Tranversal 23 No 93-65 edificio Alero 93 apto 602 - BOGOTA  </t>
  </si>
  <si>
    <t>JUAN GABRIEL GIRALDO CASTAÑEDA</t>
  </si>
  <si>
    <t>juangiraldoj4@gmail.com</t>
  </si>
  <si>
    <t>CALLE 271 N. 46-55 APT 302</t>
  </si>
  <si>
    <t>YASID ALBERTO MONTAÑO GRANADOS</t>
  </si>
  <si>
    <t>yasid.montano@correo.policia.gov.co</t>
  </si>
  <si>
    <t>CALLE 119 N°50 - 50 APTO 101 INTERIOR 5</t>
  </si>
  <si>
    <t>LUISA FERNANDA ALDANA SERNA</t>
  </si>
  <si>
    <t>LUISA.ALDANA.SERNA@GMAIL.COM</t>
  </si>
  <si>
    <t>CRA 10 N° 89- 29 APTO 605</t>
  </si>
  <si>
    <t>JAIME HERNAN CADAVID SINISTERRA</t>
  </si>
  <si>
    <t>jaimehcadavids@hotmail.com</t>
  </si>
  <si>
    <t>Calle 155 # 9 - 50 Casa # 45 - BOGOTA</t>
  </si>
  <si>
    <t>JOSE FERNANDO REINA MENDEZ</t>
  </si>
  <si>
    <t>ferchoreina@gmail.com</t>
  </si>
  <si>
    <t>CALLE 96  NO. 45A -  40  BLOQUE 12 APTO 704  LA CASTELLANA - ZONA OCCIDENTE - BOGOTA</t>
  </si>
  <si>
    <t>EDWIN ALEXIS MEJIA MANTILLA</t>
  </si>
  <si>
    <t>MANUEL ANTONIO RAMIREZ SILVA</t>
  </si>
  <si>
    <t>ramirezmanuelantonio8@gmail.com</t>
  </si>
  <si>
    <t xml:space="preserve">Urbanizacion Abedules, casa 11 km 7 via Armenia- Pereira </t>
  </si>
  <si>
    <t>05059</t>
  </si>
  <si>
    <t>JOSE ANTONIO HERNANDEZ ALVAREZ</t>
  </si>
  <si>
    <t>JAHA16440@HOTMAIL.COM</t>
  </si>
  <si>
    <t xml:space="preserve">Calle 8 #17A-07 - ACACIAS  </t>
  </si>
  <si>
    <t>50006</t>
  </si>
  <si>
    <t>WILLIAM ANDRES JIMENEZ MONTAÑEZ</t>
  </si>
  <si>
    <t>ar.min19801983@gmail.com</t>
  </si>
  <si>
    <t>Calle 22 D No 72-41 - BOGOTA</t>
  </si>
  <si>
    <t>HENRY BERMUDEZ FLOREZ</t>
  </si>
  <si>
    <t>henber7@hotmail.com</t>
  </si>
  <si>
    <t>Cl 131 A  30 89 Apt 107</t>
  </si>
  <si>
    <t>EDUARDO ARDILA TORRIJOS</t>
  </si>
  <si>
    <t>edu.ardila@hotmail.com</t>
  </si>
  <si>
    <t xml:space="preserve">Avenida 19 # 118- 30 apto 509 - BOGOTA  </t>
  </si>
  <si>
    <t>JORGE ARAGON DE LA TORRE J</t>
  </si>
  <si>
    <t>ARAGONJORGE1@GMAIL.COM</t>
  </si>
  <si>
    <t>AVENIDA CARRERA 9   N° 127 B -68 APTO 403</t>
  </si>
  <si>
    <t>ADOLFO LEON MUESES CHAMORRO</t>
  </si>
  <si>
    <t>muesesch@hotmail.com</t>
  </si>
  <si>
    <t xml:space="preserve">cra 16a # 152a-59 apto 203 Balcones de San Carlos - BOGOTA  </t>
  </si>
  <si>
    <t>MAURICIO HERNANDEZ AVELLANEDA</t>
  </si>
  <si>
    <t>maurihdz89@gmail.com</t>
  </si>
  <si>
    <t>CALLE 19A NO. 80A - 51 TORRE 5 APTO A306 - BOGOTA</t>
  </si>
  <si>
    <t>PATRICIA ZAMORANO DE FLOREZ</t>
  </si>
  <si>
    <t xml:space="preserve">pdeflores@gmail.com  </t>
  </si>
  <si>
    <t>CLLE 159 NO. 32A-73</t>
  </si>
  <si>
    <t>GUSTAVO ALVARO PORRAS AMAYA</t>
  </si>
  <si>
    <t>PORRASANTIAGO28@GMAIL.COM</t>
  </si>
  <si>
    <t>CARRERA 32 # 25B -72 - BOGOTA</t>
  </si>
  <si>
    <t>JUAN CARLOS JIMENEZ HOWARD</t>
  </si>
  <si>
    <t>juancjimenezh@hotmail.com</t>
  </si>
  <si>
    <t xml:space="preserve">Carrera 15 # 145 - 59 Apto 906 - BOGOTA  </t>
  </si>
  <si>
    <t>MARIA MAGDALENA MUÑOZ CARRANZA</t>
  </si>
  <si>
    <t>DIEGOHERNANLEGUIZA1964@GMAIL.COM</t>
  </si>
  <si>
    <t>CALLE 166 N° 8 H  - 20 INTERIOR 1 APTO 501  - BOGOTA</t>
  </si>
  <si>
    <t>ALFONSO CORDOBA GARCIA</t>
  </si>
  <si>
    <t>alfonsocordoba@hotmail.com</t>
  </si>
  <si>
    <t>KRA. 56 # 84-43 APTO 303 EDIFICIO SEXTANTE BARRANQUILLA</t>
  </si>
  <si>
    <t>JORGE PRIETO GARCIA</t>
  </si>
  <si>
    <t>JORGEPRIETOPROFESOR@HOTMAIL.COM</t>
  </si>
  <si>
    <t>CALLE 131 A # 19-89 APTO 204 - ZONA NORTE - BOGOTA</t>
  </si>
  <si>
    <t>RAFAEL AUGUSTO PORRAS GALINDO</t>
  </si>
  <si>
    <t>rafporras@gmail.com</t>
  </si>
  <si>
    <t>CALLE 21 NO.1D - 36 ETAPA 3 - MADRID</t>
  </si>
  <si>
    <t>25430</t>
  </si>
  <si>
    <t>HAROLD HERNANDO VALDERRAMA MORENO</t>
  </si>
  <si>
    <t>harold.valderrama@armada.mil.co</t>
  </si>
  <si>
    <t>CARRERA 72 NO. 22D - 54 - BOGOTA</t>
  </si>
  <si>
    <t>DIEGO ANGARITA GOMEZ</t>
  </si>
  <si>
    <t>yolandamartinez92@hotmail.com</t>
  </si>
  <si>
    <t>AVENDA 30  53A 23 APT 303</t>
  </si>
  <si>
    <t>AURA MARIA ESPINOSA DE FONSECA</t>
  </si>
  <si>
    <t xml:space="preserve">arturofonseca@msn.com  </t>
  </si>
  <si>
    <t>CARRERA 75 N° 40 -16</t>
  </si>
  <si>
    <t>JESUS HERNEY GONZALEZ BOHORQUEZ</t>
  </si>
  <si>
    <t>jherney@hotmail.com</t>
  </si>
  <si>
    <t>CALLE 127C # 3 - 81 APTO 502 T3</t>
  </si>
  <si>
    <t>JENNY PILAR ALVARADO AVELLA</t>
  </si>
  <si>
    <t>jepial@hotmail.com</t>
  </si>
  <si>
    <t>CRA 37 7 28</t>
  </si>
  <si>
    <t>ELIZABETH PEREZ RODRIGUEZ</t>
  </si>
  <si>
    <t>lizpe5@hotmail.com</t>
  </si>
  <si>
    <t>arrera 18 A # 103 - 50 , Apartamento 402 , Barrio CHICO NAVARRA - ZONA NORTE - BOGOTA</t>
  </si>
  <si>
    <t>CARLOS ALBERTO LEAL QUINTERO</t>
  </si>
  <si>
    <t>karlos.leal81@gmail.com</t>
  </si>
  <si>
    <t>Calle 106 No 08-19 - BOGOTA</t>
  </si>
  <si>
    <t>CARLOS FERNANDO CASTAÑEDA BEDOYA</t>
  </si>
  <si>
    <t>cfcb59@gmail.com</t>
  </si>
  <si>
    <t>Calle 154 # 15D 49  - Bogotá</t>
  </si>
  <si>
    <t>ALBA PATRICIA LANCHEROS SILVA</t>
  </si>
  <si>
    <t>ALBA.LANCHEROS@CORREO.POLICIA.GOV.CO</t>
  </si>
  <si>
    <t>Carrera 56 # 151 - 53 - BOGOTA</t>
  </si>
  <si>
    <t>JAIRO ALFREDO PRADA JAIMES</t>
  </si>
  <si>
    <t>PRADAJJALI@GMAIL.COM</t>
  </si>
  <si>
    <t>CALLE 121 #51 - 56 BOGOTA</t>
  </si>
  <si>
    <t>JUAN PABLO SANCHEZ MONTERO</t>
  </si>
  <si>
    <t>ingjuanpablosm@yahoo.com</t>
  </si>
  <si>
    <t>CARRERA 48 # 125-21 APTO 201</t>
  </si>
  <si>
    <t>ANA MARIA LOZANO SALAZAR</t>
  </si>
  <si>
    <t>AMLNANA@HOTMAIL.COM</t>
  </si>
  <si>
    <t>CRA. 1  77-36 APTO 301 BOGOTA</t>
  </si>
  <si>
    <t>DAVID ANTONIO VARGAS IBAÑEZ</t>
  </si>
  <si>
    <t>DAVID.ANTONIO.VARGAS@ICLOUD.COM</t>
  </si>
  <si>
    <t>CARRERA 36 # 23 - 76 APTO 705 - BOGOTA</t>
  </si>
  <si>
    <t>VICTOR RAUL PEREIRA YEPES</t>
  </si>
  <si>
    <t>pajeluma47@gmail.com</t>
  </si>
  <si>
    <t>CARRERA 83 N°145 - 86 APTO 603 - BOGOTA</t>
  </si>
  <si>
    <t>ERNESTO ANDRES GRANADOS GONZALEZ</t>
  </si>
  <si>
    <t>ANDRESGRANADOS177@HOTMAIL.COM</t>
  </si>
  <si>
    <t>CALLE 138 N. 50-86 - ZONA OCCIDENTE - BOGOTA</t>
  </si>
  <si>
    <t>DORIS CAROLINA GOMEZ VELANDIA</t>
  </si>
  <si>
    <t>CAROLINA.GOMEZ.V@OUTLOOK.COM</t>
  </si>
  <si>
    <t>Carrera 88 Nro 18-33 interior 6, apto 301 - BOGOTA</t>
  </si>
  <si>
    <t>EDGAR ORLANDO BARRERO GARCIA</t>
  </si>
  <si>
    <t>EDGARBARRERO58@YAHOO.COM</t>
  </si>
  <si>
    <t>CALLE 109 NO. 21 - 46 APT 604- ZONA NORTE - BOGOTÁ</t>
  </si>
  <si>
    <t>HUGO ALBERTO PACHON BEJARANO</t>
  </si>
  <si>
    <t>HPACHON55@HOTMAIL.COM</t>
  </si>
  <si>
    <t>CARRERA 14A NO. 118 - 21 APTO 302 PARQUES DE SANTA BARABARA - BOGOTA</t>
  </si>
  <si>
    <t>FABIO ERNESTO RODRIGUEZ SANDOVAL</t>
  </si>
  <si>
    <t>fabiro2003@yahoo.com.MX</t>
  </si>
  <si>
    <t xml:space="preserve">Carrera 14 N° 119-64 Apartamento 302 Bogotá D. C.   </t>
  </si>
  <si>
    <t>DIEGO DAVID MELO MENDEZ</t>
  </si>
  <si>
    <t>olidavidm1018@gmail.com</t>
  </si>
  <si>
    <t xml:space="preserve"> CL 8A BIS A 80 63</t>
  </si>
  <si>
    <t>FABRICIO CABRERA ORTIZ</t>
  </si>
  <si>
    <t>FACAOR@GMAIL.COM</t>
  </si>
  <si>
    <t>Cl 146  21   40 Apt 401</t>
  </si>
  <si>
    <t>DIANA MARGARITA BUITRAGO WILCHES</t>
  </si>
  <si>
    <t>diana.buitrago@fac.mil.co</t>
  </si>
  <si>
    <t>CL. 54 # 48-80</t>
  </si>
  <si>
    <t>OSCAR ALONSO PINEDA ROJAS</t>
  </si>
  <si>
    <t>OSCARALONSOPINEDA@GMAIL.COM</t>
  </si>
  <si>
    <t>CALLE 151 N°13A-50 TORRE2 APTO 1807 - ZONA NORTE - BOGOTA</t>
  </si>
  <si>
    <t>CLAUDIA PATRICIA RENTERIA TENJO</t>
  </si>
  <si>
    <t>claju35@hotmail.com</t>
  </si>
  <si>
    <t xml:space="preserve">Calle 146 A no. 58C56 apto 402 torre 1 - BOGOTA  </t>
  </si>
  <si>
    <t>CARLOS EDUARDO CORREDOR VILLATE</t>
  </si>
  <si>
    <t>CONTABLELMMC@GMAIL.COM</t>
  </si>
  <si>
    <t xml:space="preserve">CARRERA 19 A NO.118 - 75 APTO 103 - BOGOTA  </t>
  </si>
  <si>
    <t>MANUEL IGNACIO TORRIJOS ORDOÑEZ</t>
  </si>
  <si>
    <t>MANUEL.TORRIJOS@ICLOUD.COM</t>
  </si>
  <si>
    <t>CALLE 152 Nº 58-50</t>
  </si>
  <si>
    <t>GINA MARIA OROZCO VILLARREAL</t>
  </si>
  <si>
    <t>GINAMARIA_O@HOTMAIL.COM</t>
  </si>
  <si>
    <t>Calle 181 C # 9-30 Interior 10 Apto 201 - BOGOTA</t>
  </si>
  <si>
    <t>JAIRO ALONSO BAUTISTA</t>
  </si>
  <si>
    <t>jairo.bautista@minhacienda.gov.co</t>
  </si>
  <si>
    <t xml:space="preserve"> CL 6 C 5 50 INT 2</t>
  </si>
  <si>
    <t>NELSON ROLANDO RUSSI BELTRAN</t>
  </si>
  <si>
    <t>nelsonrussi80@gmail.com</t>
  </si>
  <si>
    <t>CALLE 24 A N° 40 - 69   APTO 507 A  - BOGOTA</t>
  </si>
  <si>
    <t>LUIS ARMANDO GOMEZ RUGE</t>
  </si>
  <si>
    <t>luisargo.85@gmail.com</t>
  </si>
  <si>
    <t>CARRERA 50#150a-85 apto101</t>
  </si>
  <si>
    <t>MERY PEREZ DE VALCARCEL</t>
  </si>
  <si>
    <t>GUSVA08@GMAIL.COM</t>
  </si>
  <si>
    <t>CRA 42 N°18 A - 08 TORRE F APTO 601 - NEIVA</t>
  </si>
  <si>
    <t>41001</t>
  </si>
  <si>
    <t>HELGA ARDILA DE RIVAS</t>
  </si>
  <si>
    <t>helgamariarivas@hotmail.com</t>
  </si>
  <si>
    <t xml:space="preserve">Carrera 13 a # 127 a - 14 Apt. 604 - BOGOTA  </t>
  </si>
  <si>
    <t>GERFFENSON CAMPOS BARRIOS</t>
  </si>
  <si>
    <t>gerffensonb@hotmail.com</t>
  </si>
  <si>
    <t>CALLE 22D N. 90-65 int 4 apt 513 - ZONA OCCIDENTE - BOGOTA</t>
  </si>
  <si>
    <t>VICTOR MANUEL SILVA PEDRAZA</t>
  </si>
  <si>
    <t>GLORIA AMANDA CASTILLA GOMEZ</t>
  </si>
  <si>
    <t>gerglocas@gmail.com</t>
  </si>
  <si>
    <t xml:space="preserve">CARRERA 70C N° 127D-68 CASA 4 - BOGOTA  </t>
  </si>
  <si>
    <t>JAZMIN JANETH FERNANDEZ RUIZ</t>
  </si>
  <si>
    <t>jazmin_0691@hotmail.com</t>
  </si>
  <si>
    <t xml:space="preserve">manzana b casa 16 - PRADERA - VALLE  </t>
  </si>
  <si>
    <t>76563</t>
  </si>
  <si>
    <t>MIGUEL ANGEL SIERRA SOSSA</t>
  </si>
  <si>
    <t>MIGUEL.SIERRA@CORREO.POLICIA.GOV.CO</t>
  </si>
  <si>
    <t>AVENIDA BOYACA N° 142 A -55 BLOQUE E APTO 302 - ZONA OCCIDENTE - BOGOTA</t>
  </si>
  <si>
    <t>GERMAN ALEXANDER PINTO ROJAS</t>
  </si>
  <si>
    <t>ALEXPIRO85@GMAIL.COM</t>
  </si>
  <si>
    <t>CRA.57B NO 67C -17 BARRIO MODELO NORTE</t>
  </si>
  <si>
    <t>NACY WANDURRAGA HURTADO</t>
  </si>
  <si>
    <t>NANCYWAN2018@GMAIL.COM</t>
  </si>
  <si>
    <t>CALLE 40 27-37 BUCARAMANGA</t>
  </si>
  <si>
    <t>WILMAN OSWALDO BASTIDAS OTALORA</t>
  </si>
  <si>
    <t>willivert82@hotmail.com</t>
  </si>
  <si>
    <t>Calle 45 # 7-49 - TUNJA</t>
  </si>
  <si>
    <t>GERARDO ARAQUE PINEDA</t>
  </si>
  <si>
    <t>araquegerardo@hotmail.com</t>
  </si>
  <si>
    <t>CALLE 106 N° 7A - 19</t>
  </si>
  <si>
    <t>GERMAN PEREZ ESPINOSA</t>
  </si>
  <si>
    <t>germanperez1942@gmail.com</t>
  </si>
  <si>
    <t>CR 55 153 18</t>
  </si>
  <si>
    <t>CAROLINA ROJAS NINO</t>
  </si>
  <si>
    <t>SOLDETRAPO76@GMAIL.COM</t>
  </si>
  <si>
    <t>Calle 6 # 9-67 c-28 - TENJO</t>
  </si>
  <si>
    <t>25799</t>
  </si>
  <si>
    <t>GLORIA HELENA ALBA ALVAREZ</t>
  </si>
  <si>
    <t>GLORIAHELENA8023@GMAIL.COM</t>
  </si>
  <si>
    <t>CRA 79 N° 19 - 88 T:2 APTO 901 - BOGOTA</t>
  </si>
  <si>
    <t>LUIS FRANCISCO MEDINA CORREDOR</t>
  </si>
  <si>
    <t>PACHOMED62@GMAIL.COM</t>
  </si>
  <si>
    <t>CALLE 144 N0. 12-09 APTO 609</t>
  </si>
  <si>
    <t>LUIS FERNANDO NUÑEZ PARRA</t>
  </si>
  <si>
    <t>luiswalter48@gmail.com</t>
  </si>
  <si>
    <t>cll130C No. 59D-75 ap 605 T 1</t>
  </si>
  <si>
    <t>LUIS ANTONIO  BARRAGAN  SALGUERO</t>
  </si>
  <si>
    <t>LUCHITOBARRAGAN27@GMAIL.COM</t>
  </si>
  <si>
    <t>CALLE 22 D N 72 - 41  TORRE 7  APTO 1004  - BOGOTA</t>
  </si>
  <si>
    <t>JORGE ORLANDO GARZON JIMENEZ</t>
  </si>
  <si>
    <t>POLICEMANS150953@YAHOO.ES</t>
  </si>
  <si>
    <t>CALLE 4 BIS NO. 44 - 57  - ZONA OCCIDENTE - BOGOTA</t>
  </si>
  <si>
    <t>JESUS ALEJANDRO LARA TELLO</t>
  </si>
  <si>
    <t>ALEJANDROLTQ@GMAIL.COM</t>
  </si>
  <si>
    <t>CALLE 182 # 45-45 INT 3 APTO 203 - ZONA OCCIDENTE - BOGOTA</t>
  </si>
  <si>
    <t>CAMILO SANABRIA BURGOS</t>
  </si>
  <si>
    <t>CASB74@HOTMAIL.COM</t>
  </si>
  <si>
    <t>CARRERA 78 # 72D - 16 APTO 309 - BOGOTA</t>
  </si>
  <si>
    <t>GRUPO EMPRESARIAL IMCOFOT COLOMBIA S A</t>
  </si>
  <si>
    <t>gerencia@grupoimcofotcolombia.com</t>
  </si>
  <si>
    <t>CR 72 B 8 69</t>
  </si>
  <si>
    <t>JAIME IVAN GALVEZ MORENO</t>
  </si>
  <si>
    <t>JAIME.GALVEZ.ARC@GMAIL.COM</t>
  </si>
  <si>
    <t xml:space="preserve">CARRERA 10 A No 134 B 82 Apto 505 - BOGOTA  </t>
  </si>
  <si>
    <t>JORGE ALEJANDRO LAVERDE LAVERDE</t>
  </si>
  <si>
    <t>alejandrolaverde@gmail.com</t>
  </si>
  <si>
    <t>CALLE 149  NO. 53-35</t>
  </si>
  <si>
    <t>ERIKA ALEXANDRA ANGEL LOPEZ</t>
  </si>
  <si>
    <t>ERIKA_ANGEL_LOPEZ@HOTMAIL.COM</t>
  </si>
  <si>
    <t>CARRERA 23 NO. 27 - 28 - VILLAVICENCIO</t>
  </si>
  <si>
    <t>OSCAR WILLIAM PINZON HERNANDEZ</t>
  </si>
  <si>
    <t>oscar.pinz@gmail.com</t>
  </si>
  <si>
    <t>Calle 12 c # 71C-61 BL 6 CA 35B Cr Alandra - BOGOTA</t>
  </si>
  <si>
    <t>SIMON PIÑERES DIAZ</t>
  </si>
  <si>
    <t>templar109@gmail.com</t>
  </si>
  <si>
    <t>KRA. 43 N° 85-102 APTO 1A - BARRANQUILLA</t>
  </si>
  <si>
    <t>SANDRA PATRICIA PINEDA VALDERRAMA</t>
  </si>
  <si>
    <t>sandrapv1@hotmail.com</t>
  </si>
  <si>
    <t>AV LAGO N°25 - 129 - TORRE 2 APTO 801 / JAMUNDI VALLE</t>
  </si>
  <si>
    <t>76364</t>
  </si>
  <si>
    <t>RAFAEL GUARIN COLLAZOS</t>
  </si>
  <si>
    <t>raguaco2228@hotmail.com</t>
  </si>
  <si>
    <t>Calle 163 No.73-60 cass 35 - ZONA OCCIDENTE - BOGOTA</t>
  </si>
  <si>
    <t>JAVIER IGNACIO ORTIZ ROZO</t>
  </si>
  <si>
    <t>JAVIERORTIZROZO@HOTMAIL.COM</t>
  </si>
  <si>
    <t xml:space="preserve">Calle 11# 1A-124, Andes 3, Casa 22 - CHIA  </t>
  </si>
  <si>
    <t>LUIS FERNANDO BURGOS GUZMAN</t>
  </si>
  <si>
    <t>LUFEBURGOS@GMAIL.COM</t>
  </si>
  <si>
    <t>TRANSVERSAL 55 C N - 114 A 49 BARRIO ILARCO - BOGOTA</t>
  </si>
  <si>
    <t>ANDRES PONCE NAVARRO</t>
  </si>
  <si>
    <t>PONCEANDRES7422@GMAIL.COM</t>
  </si>
  <si>
    <t>CALLE 121 # 18 B  - 26 APTI 502 - BOGOTA</t>
  </si>
  <si>
    <t>GUSTAVO ADOLFO CAÑON ROMERO</t>
  </si>
  <si>
    <t>GACR.BOX@YAHOO.COM</t>
  </si>
  <si>
    <t>CARRERA 35 #63 C 17-  BOGOTÁ</t>
  </si>
  <si>
    <t>SAUL BURITICA GUARNIZO</t>
  </si>
  <si>
    <t>SAULB3@HOTMAIL.COM</t>
  </si>
  <si>
    <t>CARRERA 4 # 67- 48 APRO 601 - ZONA ORIENTE - BOGOTA</t>
  </si>
  <si>
    <t>ALEX GERARDO SUAREZ CRUZ</t>
  </si>
  <si>
    <t>PAPADEJUANCAMILO@GMAIL.COM</t>
  </si>
  <si>
    <t>Carrera 2 No 66a-52 apto E532 - BOGOTA</t>
  </si>
  <si>
    <t>MARCELA CRISTINA GONZALEZ DE LA CALLE</t>
  </si>
  <si>
    <t>mdelacalle79@hotmail.com</t>
  </si>
  <si>
    <t>CRA.16  127-31 TORRE 4 APTO 302</t>
  </si>
  <si>
    <t>JOHN FERNANDO BAYONA MOLANO</t>
  </si>
  <si>
    <t>JBAYONAMOLANO@HOTMAIL.COM</t>
  </si>
  <si>
    <t>CRA 48 N° 125 - 09 CASA 2 BOGOTA</t>
  </si>
  <si>
    <t>ROMMEL ZAPATA CANO</t>
  </si>
  <si>
    <t>RZAPATAC51@HOTMAIL.COM</t>
  </si>
  <si>
    <t xml:space="preserve">CARRERA 57 No. 53 50 - BOGOTA  </t>
  </si>
  <si>
    <t>LUZ MYRIAM ROMERO GUZMAN</t>
  </si>
  <si>
    <t>LUZMY017@HOTMAIL.COM</t>
  </si>
  <si>
    <t>CALLE 45 #38-A-16 INT 6  APTO 704 - BOGOTA</t>
  </si>
  <si>
    <t>JULIA STELLA ALVARADO FAJARDO</t>
  </si>
  <si>
    <t>dimascordoba@yahoo.com</t>
  </si>
  <si>
    <t xml:space="preserve">Calle 119A # 56A 97 apto704 - BOGOTA  </t>
  </si>
  <si>
    <t>JOHANA TRUJILLO MOYA</t>
  </si>
  <si>
    <t>JOHANATRUJILLO@HOTMAIL.COM</t>
  </si>
  <si>
    <t>CALLE 62 NO 9-23 APTO 201 - BOGOTA</t>
  </si>
  <si>
    <t>ELEUTERIO SANCHEZ RIVAS</t>
  </si>
  <si>
    <t>eleuteriosanchez@gmail.com</t>
  </si>
  <si>
    <t>CALLE 138  #  73-52 CASA 25</t>
  </si>
  <si>
    <t>YOWANY RONCANCIO RONCANCIO</t>
  </si>
  <si>
    <t>yowany.roncancio773@casur.gov.co</t>
  </si>
  <si>
    <t>CALLE 58 #35A58 APTO 503 - ZONA OCCIDENTE - BOGOTA</t>
  </si>
  <si>
    <t>ESPERANZA MATEUS DE RUIZ</t>
  </si>
  <si>
    <t xml:space="preserve">aruiz@ucatolica.edu.co  </t>
  </si>
  <si>
    <t xml:space="preserve">Calle 11 # 1 A - 95, Interior 5, Apartamento 603 - CHIA  </t>
  </si>
  <si>
    <t>DIANA PATRICIA LONDOÑO BENITEZ</t>
  </si>
  <si>
    <t>nanita_102@hotmail.com</t>
  </si>
  <si>
    <t>Avenida Bolívar # 25N-00 edificio Pijao apto 302 - ARMENIA</t>
  </si>
  <si>
    <t>JUAN CARLOS CASTRO PAZ</t>
  </si>
  <si>
    <t>juancarloscastro.paz@gmail.com</t>
  </si>
  <si>
    <t>CARRERA 14A N°151A-39 APTO 1303 TORRE 3 EDICICIO RESERVA DEL CEDRO - BOGOTA</t>
  </si>
  <si>
    <t>LEONARDO CESAR DONCEL LUNA</t>
  </si>
  <si>
    <t>doncelyasociados@gmail.com</t>
  </si>
  <si>
    <t>CLL 105 N°15 - 85  Barrio Santa Bibiana - BOGOTA</t>
  </si>
  <si>
    <t>JAVIER IVAN TORRES RODRIGUEZ</t>
  </si>
  <si>
    <t>JATORO444@GMAIL.COM</t>
  </si>
  <si>
    <t>CALLE 160 N° 73 - 32 CASA 70</t>
  </si>
  <si>
    <t>RODRIGO DE JESUS MARTINEZ</t>
  </si>
  <si>
    <t>CR 3 N 22 10</t>
  </si>
  <si>
    <t xml:space="preserve"> CR 3 N 22 10</t>
  </si>
  <si>
    <t>25817</t>
  </si>
  <si>
    <t>JORGE ORLANDO TORRES GONZALEZ</t>
  </si>
  <si>
    <t>jorge.torres554@casur.gov.co</t>
  </si>
  <si>
    <t>CARRERA 17 NO. 145-75 APTO 702 T, 1 -BOGOTA</t>
  </si>
  <si>
    <t>DARIO MONJE CORTES</t>
  </si>
  <si>
    <t>dario.monjec48@gmail.com</t>
  </si>
  <si>
    <t xml:space="preserve">Calle 44c #45-53 - BOGOTA  </t>
  </si>
  <si>
    <t>NANCY STELLA CARDENAS BLANCO</t>
  </si>
  <si>
    <t>NANSTELL2001@YAHOO.COM</t>
  </si>
  <si>
    <t>AV SUBA Nº 108 - 38 APTO 1101</t>
  </si>
  <si>
    <t>YILEN ANTONIO TORO CARMONA</t>
  </si>
  <si>
    <t>YILENANTONIO@GMAIL.COM</t>
  </si>
  <si>
    <t>CALLE 26 NO 11B-90 APT 502 - ZONA ORIENTE - BOGOTA</t>
  </si>
  <si>
    <t>NULVAR JOSE GALVIS LEGUIZAMON</t>
  </si>
  <si>
    <t>VARSEGALVIS@GMAIL.COM</t>
  </si>
  <si>
    <t>Carrera 18 No 143-86 - BOGOTA</t>
  </si>
  <si>
    <t>ALMA MARIA MERCADO PEREZ</t>
  </si>
  <si>
    <t>ALMAJU7@YAHOO.COM.MX</t>
  </si>
  <si>
    <t>TRANSVERSAL 44 NO.-102-167 - BARRANQUILLA</t>
  </si>
  <si>
    <t>JUAN ALVARO VILLAMIL ESGUERRA</t>
  </si>
  <si>
    <t>jave1976@hotmail.com</t>
  </si>
  <si>
    <t>CALLE 124 N°18 - 43 APTO 602</t>
  </si>
  <si>
    <t>JORGE ENRIQUE BOLIVAR RAMIREZ</t>
  </si>
  <si>
    <t>jebol18@gmail.com</t>
  </si>
  <si>
    <t>CALLE 45 NO. 45 -16 INT. 3 APTO 503 - ZONA OCCIDENTE - BOGOTA</t>
  </si>
  <si>
    <t>CARLOS EDUARDO BRAVO CARDOZO</t>
  </si>
  <si>
    <t>CARLOSEB29@HOTMAIL.COM</t>
  </si>
  <si>
    <t>CALLE 160 # 73 47 APT 101 TORRE 5</t>
  </si>
  <si>
    <t>INGRID ISABEL MORA DIAZ</t>
  </si>
  <si>
    <t>INGRIDI_MORA@HOTMAIL.COM</t>
  </si>
  <si>
    <t>CARRERA 47A #113-30 INTERIOR 1 APARTAMENTO 504</t>
  </si>
  <si>
    <t>JUAN DIEGO VARGAS CALDERON</t>
  </si>
  <si>
    <t>juanvar34@hotmail.com</t>
  </si>
  <si>
    <t>Cra 5 # 13 - 349 Casas de Campo Sausalito - CAJICA</t>
  </si>
  <si>
    <t>GERMAN CASTRO MALDONADO</t>
  </si>
  <si>
    <t>GECAM39@GMAIL.COM</t>
  </si>
  <si>
    <t>ClE 117 A  10 12 Apt 302</t>
  </si>
  <si>
    <t>PAOLA ANDREA MOLINA MORALES</t>
  </si>
  <si>
    <t>javicar1972@hotmail.com</t>
  </si>
  <si>
    <t>CALLE 23 # 68-50 APTO 1003 INTERIOR 10 PUERTO BAHIA</t>
  </si>
  <si>
    <t>FUNDACION ESCUELA COLOMBIANA DE HOTELERIA Y TURISMO</t>
  </si>
  <si>
    <t>rectoria@ecotet.edu.co</t>
  </si>
  <si>
    <t>AK 45 106 63</t>
  </si>
  <si>
    <t>JHON MARTIN BELTRAN GOMEZ</t>
  </si>
  <si>
    <t xml:space="preserve">johnbeltrang@gmail.com  </t>
  </si>
  <si>
    <t xml:space="preserve">Kr 79 # 19a-86 apto 310 - BUENAVENTURA  </t>
  </si>
  <si>
    <t>76109</t>
  </si>
  <si>
    <t>ALVARO VARGAS MENDEZ</t>
  </si>
  <si>
    <t>AVAM.SEG@OUTLOOK.COM</t>
  </si>
  <si>
    <t xml:space="preserve">calle 77 #14-80 portal del vergel casa B23(Ibagué) </t>
  </si>
  <si>
    <t>ANGIE BIBIANA GUIO REYES</t>
  </si>
  <si>
    <t>GUIO.ANGIE@GMAIL.COM</t>
  </si>
  <si>
    <t>CALLE 24 C N° 71 - 60   T:3 APTO 1001</t>
  </si>
  <si>
    <t>MAURICIO GIOVANNY VANEGAS CORREDOR</t>
  </si>
  <si>
    <t>mauriciovanegas@hotmail.com</t>
  </si>
  <si>
    <t xml:space="preserve">Calle 152 B # 59-54 Casa 26 Jardines de la Colina II - BOGOTA  </t>
  </si>
  <si>
    <t>JUAN CAMILO GUILLERMO SERNA GARCIA</t>
  </si>
  <si>
    <t>JCSERNAG@GMAIL.COM</t>
  </si>
  <si>
    <t>CALLE 118 N°11 A - 05</t>
  </si>
  <si>
    <t>MATEO RAMIREZ OSORIO</t>
  </si>
  <si>
    <t>MATEORM10@HOTMAIL.COM</t>
  </si>
  <si>
    <t xml:space="preserve">Diag 107#6-90 edf rondon apt 503 - BOGOTA  </t>
  </si>
  <si>
    <t>LINNA ISABEL DUQUE ROMERO</t>
  </si>
  <si>
    <t>LINADUQUE_ROMERO@HOTMAIL.COM</t>
  </si>
  <si>
    <t>LUIS ROBERTO GONZALEZ OLMOS</t>
  </si>
  <si>
    <t>LUCLOR76@HOTMAIL.COM</t>
  </si>
  <si>
    <t>AVENIDA CALLE 6 # 68-45 - BOGOTA</t>
  </si>
  <si>
    <t>JHON JAIRO HERNANDEZ VARGAS</t>
  </si>
  <si>
    <t>jhoninfante07@hotmail.com</t>
  </si>
  <si>
    <t>CLL. 24 SUR NO. 11-54</t>
  </si>
  <si>
    <t>15047</t>
  </si>
  <si>
    <t>GERMAN WEDGE RODRIGUEZ PIRATEQUE</t>
  </si>
  <si>
    <t>airwedge@gmail.com</t>
  </si>
  <si>
    <t>Calle 9 c bis #68g-85 Etapa 1, Torre 1, Apto 701 - BOGOTA</t>
  </si>
  <si>
    <t>RICARDO AUGUSTO ORTIZ RAMIREZ</t>
  </si>
  <si>
    <t>RIORTIZ1896@GMAIL.COM</t>
  </si>
  <si>
    <t>CARRERA 12 # 14-108 MELGAR</t>
  </si>
  <si>
    <t>JAIRO ANTONIO RODRIGUEZ BERMUDEZ</t>
  </si>
  <si>
    <t>Hidroemacc_jr@hotmail.com</t>
  </si>
  <si>
    <t>CARRERA 7C # 142-65 - BOGOTA</t>
  </si>
  <si>
    <t>MIRYAM BETANCOURT DE GARCIA</t>
  </si>
  <si>
    <t>ana.betancur288@casur.gov.co</t>
  </si>
  <si>
    <t>CRA.11  117A-09 APTO.106</t>
  </si>
  <si>
    <t>JHONATAN ERMINSUL NITOLA VALDERRAMA</t>
  </si>
  <si>
    <t>jhonatannitola@gmail.com</t>
  </si>
  <si>
    <t xml:space="preserve">Carrera 31c #14a 50 - DUITAMA  </t>
  </si>
  <si>
    <t>MIGUEL ANGEL BAUTISTA PASACHOA</t>
  </si>
  <si>
    <t>miguel.bautista492@casur.gov.co</t>
  </si>
  <si>
    <t>CALLE 45 NO. 38A - 16 INT 8 APT 402 URBANIZACION RAFAEL NUñEZ - ZONA OCCIDENTE - BOGOTA DC (CUNDINAMARCA)</t>
  </si>
  <si>
    <t>FREDY HERNANDO PEDRAZA CUEVAS</t>
  </si>
  <si>
    <t>fredypedraza17@yahoo.es</t>
  </si>
  <si>
    <t>carrera 84 bis # 71-34 - BOGOTA</t>
  </si>
  <si>
    <t>CAMILO HERNANDO GOMEZ BECERRA</t>
  </si>
  <si>
    <t>GOMEZCHESG4@YAHOO.COM</t>
  </si>
  <si>
    <t>CRA 19 N° 131 A  - 30 APTO 704 BLOQUE 3</t>
  </si>
  <si>
    <t>LUIS CARLOS CORDOBA AVENDAÑO</t>
  </si>
  <si>
    <t>lcordobaa@gmail.com</t>
  </si>
  <si>
    <t>CARRERA 22 NO. 106 B-61 APTO 401</t>
  </si>
  <si>
    <t>63111</t>
  </si>
  <si>
    <t>NICOLAS HERRERA RODRIGUEZ</t>
  </si>
  <si>
    <t>caruroga@hotmail.com</t>
  </si>
  <si>
    <t>CL. 94 NO. 72A-52 CASA 80, B. PONTEVEDRA</t>
  </si>
  <si>
    <t>PABLO GONZALEZ DELGADO</t>
  </si>
  <si>
    <t>PGONZALEZD@UNAL.EDU.CO</t>
  </si>
  <si>
    <t>CALLE 25B NO. 37A - 14 - BOGOTA</t>
  </si>
  <si>
    <t>NANCY LILIANA MEDINA GUIO</t>
  </si>
  <si>
    <t>nlmesinaguio@gmail.com</t>
  </si>
  <si>
    <t>Carrera57A#145-61 - ZONA OCCIDENTE - BOGOTA</t>
  </si>
  <si>
    <t>YESID ALCIBIADES ROJAS NEIRA</t>
  </si>
  <si>
    <t>jeroj2@gmail.com</t>
  </si>
  <si>
    <t xml:space="preserve">carrera 22 No. 127 D 80 apto 805 - BOGOTA  </t>
  </si>
  <si>
    <t>OSCAR EDUARDO CONTRERAS CASTAÑEDA</t>
  </si>
  <si>
    <t>OSCARCONTRERAS@YAHOO.COM</t>
  </si>
  <si>
    <t>CALLE 22B NO. 60 - 51 INT 5 Apt 202 CIUDAD SALITRE - ZONA NOCCIDENTE - BOGOTA</t>
  </si>
  <si>
    <t>VICTOR MANUEL VILLALBA OBREGON</t>
  </si>
  <si>
    <t>VIVILLALBA@HOTMAIL.COM</t>
  </si>
  <si>
    <t>CALLE 94 A Nº 21 - 90 APTO 101 - ZONA ORIENTE - BOGOTA</t>
  </si>
  <si>
    <t>JOSE ANDRES URREGO PEÑA</t>
  </si>
  <si>
    <t xml:space="preserve">iceman948_888@hotmail.com  </t>
  </si>
  <si>
    <t>CL. 151#55-37</t>
  </si>
  <si>
    <t>LELIO ARMANDO CASTELLAÑOS RODRIGUEZ</t>
  </si>
  <si>
    <t>CASROD01@HOTMAIL.COM</t>
  </si>
  <si>
    <t xml:space="preserve">carrera 89B 75-20 - BOGOTA  </t>
  </si>
  <si>
    <t>EDGAR RICARDO ALVARADO REYES</t>
  </si>
  <si>
    <t>DICKY39162@HOTMAIL.COM</t>
  </si>
  <si>
    <t>Cr5 73 20 Apt802</t>
  </si>
  <si>
    <t>MARY SOL CHACON PAEZ</t>
  </si>
  <si>
    <t>dr_mchp@hotmail.com</t>
  </si>
  <si>
    <t>CL. 1 Nª 24 - 03 MANZANA 12 CASA 2</t>
  </si>
  <si>
    <t>25873</t>
  </si>
  <si>
    <t>CARLOS ALBERTO BUITRAGO RESTREPO</t>
  </si>
  <si>
    <t>BUITRAGO.R@GMAIL.COM</t>
  </si>
  <si>
    <t>Cr 53 N° 106 -  76 APT 204</t>
  </si>
  <si>
    <t>ALEJANDRO NIETO MARTINEZ</t>
  </si>
  <si>
    <t>alejandronieto13@gmail.com</t>
  </si>
  <si>
    <t>CALLE 184 NO. 20-50 INT1APT202 - ZONA NORTE - BOGOTA</t>
  </si>
  <si>
    <t>OLGA LUCIA SANCHEZ GOMEZ</t>
  </si>
  <si>
    <t>osanchezgomez@gmail.com</t>
  </si>
  <si>
    <t>CL. 128 No. 9-60</t>
  </si>
  <si>
    <t>63190</t>
  </si>
  <si>
    <t>ANA MARIA RODRIGUEZ</t>
  </si>
  <si>
    <t>ana-ma26@hotmail.com</t>
  </si>
  <si>
    <t xml:space="preserve"> CL  134 A 55A 66 </t>
  </si>
  <si>
    <t>RODRIGO ALFONSO GONZALEZ MEDINA</t>
  </si>
  <si>
    <t>rokygonza@hotmail.com</t>
  </si>
  <si>
    <t>Carrera 8 # 172A - 85, Torre 1 Apto 1404 - ZONA NORTE - BOGOTA</t>
  </si>
  <si>
    <t>JOHN STEVE RUIZ PARRA</t>
  </si>
  <si>
    <t xml:space="preserve"> johnruizparra@yahoo.com</t>
  </si>
  <si>
    <t>CL. 66C #61-01 INT 4 APTO 504</t>
  </si>
  <si>
    <t>MARIA MARGARITA ROJAS MORALES</t>
  </si>
  <si>
    <t>marge.rojas@gmail.com</t>
  </si>
  <si>
    <t>Calle 102 No 17-15 apartamento 201 edificio kalos - BOGOTA</t>
  </si>
  <si>
    <t>NICOLAS BOTERO VARON</t>
  </si>
  <si>
    <t>MICROLAS212@GMAIL.COM</t>
  </si>
  <si>
    <t>CARRERA 2 A # 70-67 APTO 401</t>
  </si>
  <si>
    <t>OSCAR EDUARDO GONZALEZ CORTES</t>
  </si>
  <si>
    <t>oscar801023@GMAIL.com</t>
  </si>
  <si>
    <t>CL. 21 N° 81 B-30</t>
  </si>
  <si>
    <t>15317</t>
  </si>
  <si>
    <t>IGNACIO LEZCANO MARTINEZ</t>
  </si>
  <si>
    <t>ILEZCANO14@GMAIL.COM</t>
  </si>
  <si>
    <t>CARRERA 11 145 - 71 INTERIOR1 APTO 501 BARRIOS CEDRITOS - BOGOTA</t>
  </si>
  <si>
    <t>RAMIRO ALFONSO RODRIGUEZ RUGE</t>
  </si>
  <si>
    <t>RAMIRORODRIGUEZRUGE@GMAIL.COM</t>
  </si>
  <si>
    <t>CARRERA 20 101-26 APTO 502 - BOGOTA</t>
  </si>
  <si>
    <t>OSCAR ARMANDO RODRIGUEZ GUERRERO</t>
  </si>
  <si>
    <t>OSCARARMANDORG@HOTMAIL.COM</t>
  </si>
  <si>
    <t>CALLE 19A NORTE NO. 14-44 APTO 503 - ARMENIA</t>
  </si>
  <si>
    <t>CARLOS ANDRES ALVAREZ MONTEALEGRE</t>
  </si>
  <si>
    <t>AMCA3021@GMAIL.COM</t>
  </si>
  <si>
    <t>JAIRO HERNAN AMORTEGUI CALDERON</t>
  </si>
  <si>
    <t>JAIRO.AMORTEGUI@HOTMAIL.COM</t>
  </si>
  <si>
    <t>CARRERA 8A NO. 107-15 - ZONA NORTE - BOGOTA</t>
  </si>
  <si>
    <t>SONIA DEYANIRA COMBITA GUZMAN</t>
  </si>
  <si>
    <t>sondeyco@yahoo.es</t>
  </si>
  <si>
    <t>CALLE 55 NO. 71 - 18 - APTO 401 NORMANDIA - BOGOTA</t>
  </si>
  <si>
    <t>GERMAN EDUARDO RAMIREZ CAMACHO</t>
  </si>
  <si>
    <t>ramirez_parga@yahoo.com</t>
  </si>
  <si>
    <t xml:space="preserve">Carrera 11 D No. 119 - 64 Apto 402 - BOGOTA  </t>
  </si>
  <si>
    <t>OLGA VILLALVA TAVERA</t>
  </si>
  <si>
    <t>cocinarnomisteri@hotmail.com</t>
  </si>
  <si>
    <t>Carrera 7 C BIS # 141 A - 27 , Casa 93 , Barrio AGRUPACION BELMIRA</t>
  </si>
  <si>
    <t>MILTON ORLANDO VARGAS MARIÑO</t>
  </si>
  <si>
    <t>MILTONOVARGASM@GMAIL.COM</t>
  </si>
  <si>
    <t>CARRERA 22 #106-B-27 APTO 202</t>
  </si>
  <si>
    <t>BLANCA MARGARITA FORERO DE HURTADO</t>
  </si>
  <si>
    <t>MARGARITAFORERO7@GMAIL.COM</t>
  </si>
  <si>
    <t>CALLE 4 Nº6-60 CASA 12 COTA</t>
  </si>
  <si>
    <t>15176</t>
  </si>
  <si>
    <t>CARLOS RICARDO WIESNER PERDOMO</t>
  </si>
  <si>
    <t>crwiesp46@yahoo.com</t>
  </si>
  <si>
    <t>GLORIA SONIA DUQUE DE BARBOSA</t>
  </si>
  <si>
    <t>TATADUQUE2569@GMAI.COM</t>
  </si>
  <si>
    <t>CALLE 131 A Nº 57 A -76</t>
  </si>
  <si>
    <t>ADOLFO LEON DONADO MUÑOZ</t>
  </si>
  <si>
    <t>adonado_71@hotmail.com</t>
  </si>
  <si>
    <t xml:space="preserve">Cra 53 C # 134-70 Int 3 Apto 801 - BOGOTA  </t>
  </si>
  <si>
    <t>CLAUDIA PATRICIA OSPINA BUITRAGO</t>
  </si>
  <si>
    <t>CLAUDIAPATRICIAOSPINA@HOTMAIL.COM</t>
  </si>
  <si>
    <t>MACADAMIA CASA 38 CALERA K 4 - LA CALERA</t>
  </si>
  <si>
    <t>25377</t>
  </si>
  <si>
    <t>JOAQUIN HERNAN CASTRO PAZ</t>
  </si>
  <si>
    <t>johecapa@hotmail.com</t>
  </si>
  <si>
    <t>CARRERA 17 A # 145- 80 APTO 504 CONJUNTO VERSALLES TRES - BOGOTÀ</t>
  </si>
  <si>
    <t>SEGUNDO EUTIMIO GALLEGO VIRGUEZ</t>
  </si>
  <si>
    <t>olgalgallego@hotmail.com</t>
  </si>
  <si>
    <t xml:space="preserve">CRA 13 N. 155-51 CASA 36 - BOGOTA  </t>
  </si>
  <si>
    <t>AS722844</t>
  </si>
  <si>
    <t>DIANA MARIA CETARES BORDA</t>
  </si>
  <si>
    <t>dianacetares@yahoo.com</t>
  </si>
  <si>
    <t xml:space="preserve"> CL 125 51 25</t>
  </si>
  <si>
    <t>LILIA CECILIA ACOSTA DE ORTIZ</t>
  </si>
  <si>
    <t>LILIJUACOSTA@HOTMAIL.COM</t>
  </si>
  <si>
    <t>Calle 11# 1A-124, Andes 3, Casa 22 - CHIA</t>
  </si>
  <si>
    <t>GEODATOS CARACTERIZACION DEL SUBSUELO SAS</t>
  </si>
  <si>
    <t>geodatosubsuelo@gmail.com</t>
  </si>
  <si>
    <t>CL 174 8 30 TO AP 902</t>
  </si>
  <si>
    <t>RAMON ALFONSO DUARTE MEDINA</t>
  </si>
  <si>
    <t>alfodua@gmail.com</t>
  </si>
  <si>
    <t>CALLE 123A NO. 11B-55 APT 305 - ZONA NORTE - BOGOTA</t>
  </si>
  <si>
    <t>ROLANDO ARTURO SANTOFIMIO ARAGON</t>
  </si>
  <si>
    <t>ROLANDO.SANTOFIMIO@GMAIL.COM</t>
  </si>
  <si>
    <t>TRANSVERSAL 55 N° 108 - 35 APTO 403</t>
  </si>
  <si>
    <t>CRISTIAN CAMILO DIAZ ALVAREZ</t>
  </si>
  <si>
    <t>CRISTIAN.DIAZ.A@ARMADA.MIL.CO</t>
  </si>
  <si>
    <t xml:space="preserve">Carrera 74 # 163-40 To 5 A1103 - BOGOTA  </t>
  </si>
  <si>
    <t>MARIO AURELIO PEDROZA SANDOVAL</t>
  </si>
  <si>
    <t>mario.pedroza384@casur.gov.co</t>
  </si>
  <si>
    <t xml:space="preserve">Calle 115 #53-71 - BOGOTA  </t>
  </si>
  <si>
    <t>FABIAN DARIO ALVAREZ GARCIA</t>
  </si>
  <si>
    <t>FAALGAN@HOTMAIL.COM</t>
  </si>
  <si>
    <t>CALLE 57 A N 46 - 37 TORRE 7 APTO 214</t>
  </si>
  <si>
    <t>JUAN CAMILO MEJIA RIVERA</t>
  </si>
  <si>
    <t>BJUANKD34@GMAIL.COM</t>
  </si>
  <si>
    <t>CARRERA 45 # 63 - 22 TORRE A APTO 302 - BUCARAMANGA</t>
  </si>
  <si>
    <t>JESUS ERNESTO BOJACA SABOGAL</t>
  </si>
  <si>
    <t>ERNEBOS@HOTMAIL.COM</t>
  </si>
  <si>
    <t xml:space="preserve">carrera 53c #131A 10 INT 5 APTO 604 - BOGOTA  </t>
  </si>
  <si>
    <t>LILIA INES LIZARAZO DE GOMEZ</t>
  </si>
  <si>
    <t>LILIAINES7@YAHOO.ES</t>
  </si>
  <si>
    <t>CARRERA 42 # 7 A SUR -92 APTO 1607 - MEDELLIN</t>
  </si>
  <si>
    <t>05001</t>
  </si>
  <si>
    <t>GERMAIN ROLANDO BUITRAGO GUTIERREZ</t>
  </si>
  <si>
    <t>GERMAIN.BUITRAGO415@CASUR.GOV.CO</t>
  </si>
  <si>
    <t xml:space="preserve">Carrera 18 B Nro 3-110 sur Casa 3 Conjunto Campestre Siena - CAJICA  </t>
  </si>
  <si>
    <t>OCTAVIO SARABIA CANIZALES</t>
  </si>
  <si>
    <t>ceniz038@hotmail.com</t>
  </si>
  <si>
    <t xml:space="preserve"> CLL 152B # 73B-51</t>
  </si>
  <si>
    <t>CARLOS RICARDO WIESNER RAMOS</t>
  </si>
  <si>
    <t>CARLOSWRS@HOTMAIL.COM</t>
  </si>
  <si>
    <t>CALLE 146 NO. 7B - 90 - ZONA ORIENTE - BOGOTA</t>
  </si>
  <si>
    <t>ANTONIO JOSE LEWIS CASTELLANO</t>
  </si>
  <si>
    <t>antoniolewis31@yahoo.com</t>
  </si>
  <si>
    <t>CARRERA 22 # 1 18 - 61 APTO 402 - BOGOTA</t>
  </si>
  <si>
    <t>RAFAEL EDUARDO GUTIERREZ HORTUA</t>
  </si>
  <si>
    <t>EMBAJADOR1969@GMAIL.COM</t>
  </si>
  <si>
    <t>Carrera 10 A # 137 25. Apto. 601 - BOGOTA</t>
  </si>
  <si>
    <t>EDINSON SALCEDO MURILLO</t>
  </si>
  <si>
    <t>edinsonsalcedo@hotmail.com</t>
  </si>
  <si>
    <t>calle 59 numero 15 - 24 - BARRANCABERMEJA</t>
  </si>
  <si>
    <t>ORLANDO GUSTAVO SEGURA SARMIENTO</t>
  </si>
  <si>
    <t>tavitosegura@gmail.com</t>
  </si>
  <si>
    <t>CARRERA 14A No 151A-06 - ZONA NORTE - BOGOTA</t>
  </si>
  <si>
    <t>JULIO CESAR LOPEZ RODRIGUEZ</t>
  </si>
  <si>
    <t>juclop19@gmail.com</t>
  </si>
  <si>
    <t>AVENIDA CARRERA 72 # 152-B- 79 casa 62 - BOGOTA</t>
  </si>
  <si>
    <t>PIEDAD ROCIO MOYA PARDO</t>
  </si>
  <si>
    <t>PIEDADROCIOMOYA69@HOTMAIL.COM</t>
  </si>
  <si>
    <t>CALLE 103 N° 15 - 95 APTO 402 - BOGOTA</t>
  </si>
  <si>
    <t>MARTIN VERDUGO VALDERRAMA</t>
  </si>
  <si>
    <t>maveva@hotmail.com</t>
  </si>
  <si>
    <t>CALLE 21 #  13A - 1A - DUITAMA</t>
  </si>
  <si>
    <t>NAIR MAGALY FLOREZ BUITRAGO</t>
  </si>
  <si>
    <t>NAIRMAGALY@GMAIL.COM</t>
  </si>
  <si>
    <t>CARRERA 57 N 148 - 15 INT 2 APTO 501</t>
  </si>
  <si>
    <t>BAYLAN LATIONAMERICA SAS</t>
  </si>
  <si>
    <t>admin@baylan.co</t>
  </si>
  <si>
    <t>CR 72A BIS 53 A 71</t>
  </si>
  <si>
    <t>LUIS EDUARDO BAZZANI MARTINEZ</t>
  </si>
  <si>
    <t>facturacion.publisenales@gmail.com</t>
  </si>
  <si>
    <t>CR 51 # 103B20 APTO 201</t>
  </si>
  <si>
    <t>HENRY ALEXIS CAMACHO CRISTANCHO</t>
  </si>
  <si>
    <t>HANK1008@GMAIL.COM</t>
  </si>
  <si>
    <t>CRA 46 N° 53 - 15 APTO 302</t>
  </si>
  <si>
    <t>MARLON HILARION AUX VILLARREAL</t>
  </si>
  <si>
    <t>MARAUXVILLA@HOTMAIL.COM</t>
  </si>
  <si>
    <t xml:space="preserve">Carrera 44C No 45-53 5-401 - BOGOTA  </t>
  </si>
  <si>
    <t>LUZ ADRIANA TABARES TRUJILLO</t>
  </si>
  <si>
    <t>luzt07@gmail.com</t>
  </si>
  <si>
    <t>CL. 146 A 58C -56 APTO 202</t>
  </si>
  <si>
    <t>MARTIN ALONSO QUIÑONES PACHECO</t>
  </si>
  <si>
    <t>tinimarti@gmail.com</t>
  </si>
  <si>
    <t>CARRERA 20 NO. 142 - 22 APT 204 - ZONA NORTE - BOGOTA</t>
  </si>
  <si>
    <t>HERNANDO RODRIGUEZ MURILLO</t>
  </si>
  <si>
    <t>RODRIGUEZ.HERNANDO29@GMAIL.COM</t>
  </si>
  <si>
    <t>CARRERA 73 A NO. 5 B - 56 MANDALAY - ZONA OCCIDENTE - BOGOTA DC (CUNDINAMARCA)</t>
  </si>
  <si>
    <t>LUIS HERNANDO OSORIO DUSSAN</t>
  </si>
  <si>
    <t>proyosorio@yahoo.es</t>
  </si>
  <si>
    <t>Calle 107 A No. 7 A - 81 TO 1 APT 801 - ZONA ORIENTE - BOGOTA</t>
  </si>
  <si>
    <t>LEIDY TATIANA CHACON GAONA</t>
  </si>
  <si>
    <t>LEIDYCHACON2011@GMAIL.COM</t>
  </si>
  <si>
    <t>TRANSVERSAL 52C # 1-35</t>
  </si>
  <si>
    <t>JAVIER MAURICIO CONTRERAS GOMEZ</t>
  </si>
  <si>
    <t>javiercontreras1222@gmail.com</t>
  </si>
  <si>
    <t>CALLE 15 A NORTE  1 - 128 TORRE 2 APTO 502</t>
  </si>
  <si>
    <t>JAIRO LEONEL CUADROS BLANCO</t>
  </si>
  <si>
    <t>yimyjairo88@gmail.com</t>
  </si>
  <si>
    <t>CL. 42CBIS # 87I-68</t>
  </si>
  <si>
    <t>15180</t>
  </si>
  <si>
    <t>CAROLINA MURILLO GARCIA</t>
  </si>
  <si>
    <t>carolina.murillo1055@correo.policia.gov.co</t>
  </si>
  <si>
    <t>CARRERA 41 A NO. 35 - 55 SUR - BOGOTA</t>
  </si>
  <si>
    <t>HECTOR CAMILO AGUDELO MEDINA</t>
  </si>
  <si>
    <t>hcagudelo165@gmail.com</t>
  </si>
  <si>
    <t xml:space="preserve">CARRERA 14#103 -54 - BOGOTA  </t>
  </si>
  <si>
    <t>LYDA ROCIO PINZON GUEVARA</t>
  </si>
  <si>
    <t>lyda.pinzon@gmail.com</t>
  </si>
  <si>
    <t>CARRERA 54A BIS 174A - 49 - ZONA OCCIDENTE - BOGOTA</t>
  </si>
  <si>
    <t>ANDRES FELIPE URUEÑA</t>
  </si>
  <si>
    <t>andresfelipeuruena1@gmail.com</t>
  </si>
  <si>
    <t xml:space="preserve">Manda 4 número 18 barrio Rojas 2 - ARMENIA  </t>
  </si>
  <si>
    <t>CARLOS EDUARDO GARCIA VARGAS</t>
  </si>
  <si>
    <t>VERMANDAVID2009@HOTMAIL.COM</t>
  </si>
  <si>
    <t>CALLE 122 #23-27  APT 504 - ZONA NORTE -  BOGOTA</t>
  </si>
  <si>
    <t>OSCAR ALBERTO GARZON REYES</t>
  </si>
  <si>
    <t>osgarzon@gmail.com</t>
  </si>
  <si>
    <t xml:space="preserve">Calle 57 C No. 58-54 Bloque 72 Apto 401 - BOGOTA  </t>
  </si>
  <si>
    <t>SANDRA LORENA RESTREPO JARAMILLO</t>
  </si>
  <si>
    <t>SANDRARESTREPO@GMAIL.COM</t>
  </si>
  <si>
    <t>calle 145a NO. 19 62 apt 302 - BOGOTA</t>
  </si>
  <si>
    <t>GUSTAVO CASTRO OCHOA</t>
  </si>
  <si>
    <t>GHC8A@YAHOO.COM</t>
  </si>
  <si>
    <t>CALLE 142 NO.  9 - 30 - BOGOTA</t>
  </si>
  <si>
    <t>JUAN CARLOS GUTIERREZ NAVARRETE</t>
  </si>
  <si>
    <t>juanarmy81@gmail.com</t>
  </si>
  <si>
    <t>CL. 133 N°19-51</t>
  </si>
  <si>
    <t>JAVIER ANDRES BENAVIDES CANO</t>
  </si>
  <si>
    <t>ANATOLIO CORREA FIGUEROA</t>
  </si>
  <si>
    <t>ANATOLIOCORREA@HOTMAIL.COM</t>
  </si>
  <si>
    <t>Calle 45 # 45 -47  INTERIOR 2 APTO 502- BOGOTA</t>
  </si>
  <si>
    <t>OSWALDO VLADIMIR REYES LARA</t>
  </si>
  <si>
    <t>oswaldo.reyes@correo.policia.gov.co</t>
  </si>
  <si>
    <t>CALLE 163  N° 59 A  10     APTO 2014     BOGOTA</t>
  </si>
  <si>
    <t>LUIS LEONARDO BETANCOURT HERNANDEZ</t>
  </si>
  <si>
    <t>leobeta88@hotmail.com</t>
  </si>
  <si>
    <t>CARRERA 34 bis NO. 38 - 76 sur - ZONA SUR - BOGOTA</t>
  </si>
  <si>
    <t>IVONNE ANDREY LOPEZ LOPEZ</t>
  </si>
  <si>
    <t>iall72@hotmail.com</t>
  </si>
  <si>
    <t>CL. 173 N° 18-60</t>
  </si>
  <si>
    <t>JORGE HERNAN BUSTOS GAMBOA</t>
  </si>
  <si>
    <t xml:space="preserve">Jorge.bustos.g@hotmail.com  </t>
  </si>
  <si>
    <t>Cr 1 C  11   103 CASA 22</t>
  </si>
  <si>
    <t>LUCIA MEDINA DE DUARTE</t>
  </si>
  <si>
    <t>LUCIADEDUARTE@GMAIL.COM</t>
  </si>
  <si>
    <t xml:space="preserve">CARRERA 6b NO. 113-12 - BOGOTA  </t>
  </si>
  <si>
    <t>ADRIANA LIZETTE FORERO RINCON</t>
  </si>
  <si>
    <t>adriana22forero63@gmail.com</t>
  </si>
  <si>
    <t xml:space="preserve"> CL 101 N 20 47</t>
  </si>
  <si>
    <t>ALEJANDRO VARGAS VARGAS</t>
  </si>
  <si>
    <t>alejandro.vargas@armada.mil.co</t>
  </si>
  <si>
    <t>CARRERA 65 #169 -82 - BOGOTA</t>
  </si>
  <si>
    <t>ERWIN PEDRAZA PEÑA</t>
  </si>
  <si>
    <t>pedraza.er@hotmail.com</t>
  </si>
  <si>
    <t>CALLE 3 # 3 -45 JUNIN CUNDINAMARCA</t>
  </si>
  <si>
    <t>25372</t>
  </si>
  <si>
    <t>DANIEL GILBERTO JIMENEZ ANDRADE</t>
  </si>
  <si>
    <t>danieljimenez71@gmail.com</t>
  </si>
  <si>
    <t>CARRERA 83 # 13-50 torre 2 apto. 1207 - BOGOTA</t>
  </si>
  <si>
    <t>IGOR JOSE GONZALEZ GUTIERREZ</t>
  </si>
  <si>
    <t>igorjose_82@hotmail.com</t>
  </si>
  <si>
    <t>CLL 166 # 8H-56</t>
  </si>
  <si>
    <t>PABLO ENRIQUE MIRANDA DIAZ</t>
  </si>
  <si>
    <t>PABLOMIRANDA43@YAHOO.COM</t>
  </si>
  <si>
    <t>CARRERA 16 NO. 96 46 APT 501 - BOGOTA</t>
  </si>
  <si>
    <t>JAIME ALBERTO OVIEDO GOMEZ</t>
  </si>
  <si>
    <t>jaimeoviedogomez@gmail.com / jaog_44@hotmail.com</t>
  </si>
  <si>
    <t>CRA 119 Nº 77B-49</t>
  </si>
  <si>
    <t>RAUL EDUARDO GAMARRA GOMEZ</t>
  </si>
  <si>
    <t>RGAMARRA@FENALCOBOGOTA.COM.CO</t>
  </si>
  <si>
    <t>CARRERA 7  NO.  85-40  BOGOTÁ</t>
  </si>
  <si>
    <t>MIGUEL ANGEL RONCHAQUIRA VEGA</t>
  </si>
  <si>
    <t>alf.ronchaquiravega@hotmail.com</t>
  </si>
  <si>
    <t>DIAGONAL 40 #135-37 - SOACHA</t>
  </si>
  <si>
    <t>25754</t>
  </si>
  <si>
    <t>FABIAN FRANCISCO LONDOÑO OSPINA</t>
  </si>
  <si>
    <t>falondo01@gmail.com</t>
  </si>
  <si>
    <t>CL 107 19A 44</t>
  </si>
  <si>
    <t>YEBRAIL MORA SUESCUN</t>
  </si>
  <si>
    <t>yemosu8@hotmail.com</t>
  </si>
  <si>
    <t>DIAGONAL 69 A N° 0 B - 57 CASA 23 B / TUNJA</t>
  </si>
  <si>
    <t>MIGUEL ANGEL AGUDELO RAMIREZ</t>
  </si>
  <si>
    <t>miguelagudelo75@yahoo.es</t>
  </si>
  <si>
    <t>CRA 20 N° 134 A - 16 APTO 201</t>
  </si>
  <si>
    <t>JOSE ANTONIO POLO QUESADA</t>
  </si>
  <si>
    <t>jpololo73@yahoo.com</t>
  </si>
  <si>
    <t>CRA 45 N° 44 - 21 INT 8 APTO 302</t>
  </si>
  <si>
    <t>EDINSON CALA CALDERON</t>
  </si>
  <si>
    <t>yaca317@hotmail.com</t>
  </si>
  <si>
    <t>CALLE 5 SUR NO. 5 - 86 CASA 2 - SOCORRO</t>
  </si>
  <si>
    <t>68755</t>
  </si>
  <si>
    <t>FABIAN CORDOBA VICTORIA</t>
  </si>
  <si>
    <t>FABIANCOR39@HOTMAIL.COM</t>
  </si>
  <si>
    <t xml:space="preserve">Calle 53 # 3 - 27 torre 9. Apto 305 - BOGOTA  </t>
  </si>
  <si>
    <t>JOSE JOAQUIN CORTES FRANCO</t>
  </si>
  <si>
    <t>alcaparral2003@yahoo.com.co</t>
  </si>
  <si>
    <t>CARRERA 50 # 122-66</t>
  </si>
  <si>
    <t>FLOR ANGELA CANAVAL ARDILA</t>
  </si>
  <si>
    <t>fcanavalardila@yahoo.com</t>
  </si>
  <si>
    <t xml:space="preserve">Calle 168 #9_71, etapa 1, torre 2, apto 1502 - ZONA NORTE </t>
  </si>
  <si>
    <t>ROBERTO  ENCISO BELTRAN</t>
  </si>
  <si>
    <t>021238@GMAIL.COM</t>
  </si>
  <si>
    <t>CARRERA 17 NO. 122 - 80 APT 201 - BOGOTA</t>
  </si>
  <si>
    <t>LUIS CARLOS PINZON RODRIGUEZ</t>
  </si>
  <si>
    <t>LUCARPI28@GMAIL.COM</t>
  </si>
  <si>
    <t>VIA LA GRANJA URB GIRASOLES CASA 14 QUIMBAYA QUINDIO</t>
  </si>
  <si>
    <t>63594</t>
  </si>
  <si>
    <t>DIEGO ALFONSO SILVA CORTES</t>
  </si>
  <si>
    <t>DIEGOALSILVAC@HOTMAIL.COM</t>
  </si>
  <si>
    <t>CARRERA 58A NO. 135 - 04</t>
  </si>
  <si>
    <t>ANA LUCIA RODRIGUEZ DE BAUTISTA</t>
  </si>
  <si>
    <t>ANLUROBA1@GMAIL.COM</t>
  </si>
  <si>
    <t>CARRERA 3 C # 4-C-15 M 4 CASA 120 COOSERVICIOS</t>
  </si>
  <si>
    <t>ANGEL FABIAN MESA MESA</t>
  </si>
  <si>
    <t>af.mesa228@uniandes.edu.co</t>
  </si>
  <si>
    <t>HENRY FABIAN AREIZA NAVA</t>
  </si>
  <si>
    <t>fabianareizanava@gmail.com</t>
  </si>
  <si>
    <t xml:space="preserve">Calle 16 # 8-113 casa 6 - MELGAR  </t>
  </si>
  <si>
    <t>VICTORIA EUGENIA ATRA MARQUEZ</t>
  </si>
  <si>
    <t>VICKYATRA@HOTMAIL.COM</t>
  </si>
  <si>
    <t xml:space="preserve">Mz 45 casa 10, barrio Topacio - IBAGUE  </t>
  </si>
  <si>
    <t>CARLOS EDUARDO RENGIFO ROJAS</t>
  </si>
  <si>
    <t>CAR_RENGIFO@HOTMAIL.COM</t>
  </si>
  <si>
    <t>CARRERA 9 A NO 119-30 APTO 403 - BOGOTA</t>
  </si>
  <si>
    <t>JORGE ARMANDO JIMENEZ BAEZ</t>
  </si>
  <si>
    <t>JORGEARMANDOJIMENEZBAEZ6@GMAIL.COM</t>
  </si>
  <si>
    <t>Calle 21D # 31 135 Urbanización Tierra Grata Etapa 1 casa B14 - FUSAGASUGA</t>
  </si>
  <si>
    <t>25290</t>
  </si>
  <si>
    <t>MAURICIO ALBERTO SANCHEZ BRICEÑO</t>
  </si>
  <si>
    <t>sanchezbma@gmail.com</t>
  </si>
  <si>
    <t>Base naval arc Málaga casa A9 - BUENAVENTURA</t>
  </si>
  <si>
    <t>HERMANN ORTIZ MUÑOZ</t>
  </si>
  <si>
    <t>JUAN.ORTIZ@KONKASA.COM</t>
  </si>
  <si>
    <t>CARRERA 16 # 127-31 APTO 503 TORRE1</t>
  </si>
  <si>
    <t>AURA YOLANDA VIDAL YEPES</t>
  </si>
  <si>
    <t>YOLANDAVIDALYEPES@HOTMAIL.COM</t>
  </si>
  <si>
    <t>ZAMIR JOSE SILVA MEJIA</t>
  </si>
  <si>
    <t>zamirsilva7@gmail.com</t>
  </si>
  <si>
    <t>CALLE 11A # 32-83 - BOGOTA</t>
  </si>
  <si>
    <t>DARMELY SNED CUBIDES AMEZQUITA</t>
  </si>
  <si>
    <t>darme_cubides08@hotmail.com</t>
  </si>
  <si>
    <t>Carrera 13 NO. 42-36 apto 301  - ZONA ORIENTE - BOGOTA</t>
  </si>
  <si>
    <t>JOSE FEDERICO OSPINA GALVIS</t>
  </si>
  <si>
    <t>fedeosga@yahoo.com</t>
  </si>
  <si>
    <t>CARRERA 13 NO.106-30 - BOGOTA</t>
  </si>
  <si>
    <t>HERNANDO GARCIA GOMEZ</t>
  </si>
  <si>
    <t>hdogarciagomez@yahoo.com</t>
  </si>
  <si>
    <t xml:space="preserve">Carrera 58 C # 147-81 TORRE 2 APTO 1606 CONJUNTO ROSSETTI  - BOGOTA  </t>
  </si>
  <si>
    <t>OMAR YESID MORENO OLIVEROS</t>
  </si>
  <si>
    <t>morenoliveros@gmail.com</t>
  </si>
  <si>
    <t>calle 143 #16a - ZONA NORTE - Bogota</t>
  </si>
  <si>
    <t>SARA FERNANDA GARZON ORTIZ</t>
  </si>
  <si>
    <t>SARAFDagarzon@hotmail.com</t>
  </si>
  <si>
    <t xml:space="preserve">Carrera 80 # 8c-85 - BOGOTA  </t>
  </si>
  <si>
    <t>RAFAEL EDUARDO HERRERA  BRUNAL</t>
  </si>
  <si>
    <t>rafahe@gmail.com</t>
  </si>
  <si>
    <t>CLL  161 54 25 T 2 APT 706</t>
  </si>
  <si>
    <t>LUIS EDUARDO CHAPARRO GIL</t>
  </si>
  <si>
    <t>LEDUARCH@HOTMAIL.COM</t>
  </si>
  <si>
    <t>CALLE 17 NO 9A 43 Barrio COLINA - NORTE -  BOGOTA(CUNDINAMARCA)</t>
  </si>
  <si>
    <t>HECTOR JULIO NIETO MELO</t>
  </si>
  <si>
    <t>JULIANNIETO1983@GMAIL.COM</t>
  </si>
  <si>
    <t>KM 6 VIA PANTANO DE VARGAS - PARISO DUITAMA</t>
  </si>
  <si>
    <t>JESUS NELSON MEJIA GONZALEZ</t>
  </si>
  <si>
    <t>MEJIA.NELSON035@GMAIL.COM</t>
  </si>
  <si>
    <t>Cl64  4 50 Apt304</t>
  </si>
  <si>
    <t>HECTOR ARIEL SALINAS ARENAS</t>
  </si>
  <si>
    <t>HECADR 23@GMAIL.COM</t>
  </si>
  <si>
    <t>CALLE 106 # 7A - 03</t>
  </si>
  <si>
    <t>CARLOS ERNESTO MARMOLEJO CUMBE</t>
  </si>
  <si>
    <t>caermarmolejo@hotmail.com</t>
  </si>
  <si>
    <t>CARRERA 73a No 56a - 80 - BOGOTA</t>
  </si>
  <si>
    <t>WILLINGTON BASTIDAS DELGADO</t>
  </si>
  <si>
    <t>WIBADE2@GMAIL.COM</t>
  </si>
  <si>
    <t>CALLE 152 N°55A - 10 BOGOTA</t>
  </si>
  <si>
    <t>ALEXANDRA LOPEZ TORRES</t>
  </si>
  <si>
    <t>meryalexa@hotmail.com</t>
  </si>
  <si>
    <t>KRA. 79 No. 19 - 88. barrio la felicidad</t>
  </si>
  <si>
    <t>EDGAR ALBERTO CELY CELY</t>
  </si>
  <si>
    <t>EDGARCELYCELY@GMAIL.COM</t>
  </si>
  <si>
    <t>CARRERA 73B # 5-20 - ZONA OCCIDENTE - BOGOTA</t>
  </si>
  <si>
    <t>JORGE ANDRES RODRIGUEZ BORBON</t>
  </si>
  <si>
    <t>JORGEARODRIGUEZB@YAHOO.COM</t>
  </si>
  <si>
    <t>CALLE 134 A Nº 57A -35 TORRE 6 APTO 601 - ZONA OCCIDENTE - BOGOTA</t>
  </si>
  <si>
    <t>PATRICIA NATIVIDAD BENAVIDES VILLOTA</t>
  </si>
  <si>
    <t>DIANACCASTRO@HOTMAIL.COM</t>
  </si>
  <si>
    <t>CARRERA 57 Nº 148 - 16 APTO 803 TORRE 2 COLINA CAMPESTRE - BOGOTA</t>
  </si>
  <si>
    <t>JAIRO ANDRES FIGRUEROA CANO</t>
  </si>
  <si>
    <t>loalofigaro@hotmail.com</t>
  </si>
  <si>
    <t xml:space="preserve"> CL 103 A 19A 63</t>
  </si>
  <si>
    <t>NILSSEN JANETH GUTIERREZ SUAREZ</t>
  </si>
  <si>
    <t>nilssenj@gmail.com</t>
  </si>
  <si>
    <t>Calle 95 # 71-31 B5 A 1303 - ZONA OCCIDENTE - BOGOTA</t>
  </si>
  <si>
    <t>JUAN DARIO LOPEZ OSTOS</t>
  </si>
  <si>
    <t>julopos@hotmail.com</t>
  </si>
  <si>
    <t>CALLE 54 # 37 - 11</t>
  </si>
  <si>
    <t>PABLO ENRIQUE CABALLERO AVILA</t>
  </si>
  <si>
    <t>CABALLEROPABLOE@GMAIL.COM</t>
  </si>
  <si>
    <t>CALLE 60 NO. 37-20 BOGOTÁ</t>
  </si>
  <si>
    <t>PABLO GERARDO CAMACHO GOMEZ</t>
  </si>
  <si>
    <t>pgerardocamacho@hotmail.com</t>
  </si>
  <si>
    <t>Carrera 20 #122-55 apto 503 TORRE 2</t>
  </si>
  <si>
    <t>EMIRO ALFONSO BARBOSA RAMIREZ</t>
  </si>
  <si>
    <t>emiro1759@hotmail.com</t>
  </si>
  <si>
    <t xml:space="preserve">CARRERA 64 No 22 A 49 INT 4 APTO 202 - BOGOTA  </t>
  </si>
  <si>
    <t>ALFREDO SANTAMARIA SANDOVAL</t>
  </si>
  <si>
    <t>SANTAMARIA_x001F__ALF84@HOTMAIL.COM</t>
  </si>
  <si>
    <t>CALLE 121 NO. 9-78  APTO 402 BOGOTÁ</t>
  </si>
  <si>
    <t>OSCAR HERNAN DAZA SANDOVAL</t>
  </si>
  <si>
    <t>oscarhdazas@gmail.com</t>
  </si>
  <si>
    <t>TRANSVERSAL 59 # 104B-08 apto 302</t>
  </si>
  <si>
    <t>ROBINSON ARIOSTO SANTANDER HERNANDEZ</t>
  </si>
  <si>
    <t>robin3082@hotmail.com</t>
  </si>
  <si>
    <t>CARRERA 10C NO. 7-33 - OIBA</t>
  </si>
  <si>
    <t>68500</t>
  </si>
  <si>
    <t>OSCAR LEON PATIÑO PANTOJA</t>
  </si>
  <si>
    <t>LEONZICO13@YAHOO.COM</t>
  </si>
  <si>
    <t>CARRERA 23 NO. 122-54 APT. 303 - BOGOTA</t>
  </si>
  <si>
    <t>LINDERMAN BELLO HOLGUIN</t>
  </si>
  <si>
    <t>LBELLOH@HOTMAIL.COM</t>
  </si>
  <si>
    <t>CALLE 25 N 68C - 50 INT 7 APTO 402</t>
  </si>
  <si>
    <t>GUSTAVO SOTO BRACAMONTE</t>
  </si>
  <si>
    <t>SBGUSTAV50@HOTMAIL.COM</t>
  </si>
  <si>
    <t xml:space="preserve">Calle 145 No. 7c-75 - BOGOTA  </t>
  </si>
  <si>
    <t>YURI STELLA HARRY OSORIO</t>
  </si>
  <si>
    <t>yuri.harry@armada.mil.co</t>
  </si>
  <si>
    <t>Carrera 111a # 145-87 T 19 apto 401 - BOGOTA</t>
  </si>
  <si>
    <t>GIOVANNY DUARTE PEREZ</t>
  </si>
  <si>
    <t>GIODUARTE1964@GMAIL.COM</t>
  </si>
  <si>
    <t>CALLE 146 N 7F - 22 APTO 803</t>
  </si>
  <si>
    <t>COLEGIO FEDERACION COLOMBIANA DE OPTOMETRAS</t>
  </si>
  <si>
    <t>INFO@FEDOPTO.ORG</t>
  </si>
  <si>
    <t>CL 85 19B 22 OF 405 BRR ANTIGUO COUNTRY</t>
  </si>
  <si>
    <t>RAFAEL ANTONIO YAÑEZ VILLAMIZAR</t>
  </si>
  <si>
    <t>RAFAELYANEZ_62@HOTMAIL.COM</t>
  </si>
  <si>
    <t xml:space="preserve">AV. BOYACA 128B-65 T4 APTO 304 - BOGOTA  </t>
  </si>
  <si>
    <t>MANUEL ALEJANDRO LOPEZ ROZO</t>
  </si>
  <si>
    <t>sanalejodelasalle@gmail.com</t>
  </si>
  <si>
    <t xml:space="preserve">Calle 63 No 75-35 Int 3 Apto701 - BOGOTA  </t>
  </si>
  <si>
    <t>MARIA DOLORES SANCHEZ ALFONSO</t>
  </si>
  <si>
    <t>MARIA.SANCHEZ31145@GMAIL.COM</t>
  </si>
  <si>
    <t>CRA 31 N° 14 - 51 CASA E19</t>
  </si>
  <si>
    <t>GERMAN ADOLFO GARCIA CASTELLANOS</t>
  </si>
  <si>
    <t>GGARCHOC@YAHOO.COM</t>
  </si>
  <si>
    <t>CALLE 213 N° 114 - 10 - MANZANA 28 CASA 35 - BOGOTA</t>
  </si>
  <si>
    <t>RICARDO FONSECA CRISTANCHO</t>
  </si>
  <si>
    <t>rifocri@hotmail.com</t>
  </si>
  <si>
    <t>CALLE 35 Nº 4A - 34 CASA 20 - ZONA ORIENTE - BOGOTA</t>
  </si>
  <si>
    <t>CARLOS ARTURO MORENO ROA</t>
  </si>
  <si>
    <t>carlosamorenor@yahoo.es</t>
  </si>
  <si>
    <t>CALLE 127 D N°71 - 46 APTO 102</t>
  </si>
  <si>
    <t>SANDRA PATRICIA LOZANO BUITRAGO</t>
  </si>
  <si>
    <t>sandralozano.74@hotmail.com</t>
  </si>
  <si>
    <t>CARMEN LUCIA POVEDA MEDINA</t>
  </si>
  <si>
    <t>povedamedina@gmail.com</t>
  </si>
  <si>
    <t>CL. 62 N 5-31 APT 803</t>
  </si>
  <si>
    <t>DIEGO HERNAN ROSERO GIRALDO</t>
  </si>
  <si>
    <t>DIEGOROSERO68@YAHOO.ES</t>
  </si>
  <si>
    <t>CALLE 144 N° 13 - 41 APTO 505</t>
  </si>
  <si>
    <t>JOSE ALEXANDER LEAL VALBUENA</t>
  </si>
  <si>
    <t>alexleal8@gmail.com</t>
  </si>
  <si>
    <t>CRA 7 B N° 17 - 32 DUITAMA - BOYACA</t>
  </si>
  <si>
    <t>HILVA CECILIA MONROY DE PLAZAS</t>
  </si>
  <si>
    <t>HILVAMONROY@HOTMAIL.COM</t>
  </si>
  <si>
    <t xml:space="preserve">Carrera 28 # 84-11 - BOGOTA  </t>
  </si>
  <si>
    <t>JUAN ESTEBAN ARENAS CORREA</t>
  </si>
  <si>
    <t>estebanare40@gmail.com</t>
  </si>
  <si>
    <t>DIAGONAL 107 # 6-90 - BOGOTA</t>
  </si>
  <si>
    <t>MATAMOROS GUILLERMO DE MENDOZA MENDOZA</t>
  </si>
  <si>
    <t>gdemendoza@yahoo.com</t>
  </si>
  <si>
    <t xml:space="preserve">Calle 127-18-b44 casa 2 - BOGOTA  </t>
  </si>
  <si>
    <t>DAVID ARTURO GONZALEZ MOJICA</t>
  </si>
  <si>
    <t>david.artur.53@gmail.com</t>
  </si>
  <si>
    <t>CRA.22  N° 29 B 176   APTO 501  - CARTAGENA</t>
  </si>
  <si>
    <t>HECTOR GERMAN CRUZ LARA</t>
  </si>
  <si>
    <t>ger788@hotmail.com</t>
  </si>
  <si>
    <t>KRA. 9 NO. 103-35  COLON HAB. 604</t>
  </si>
  <si>
    <t>15814</t>
  </si>
  <si>
    <t>MARTHA QUIROGA MORENO</t>
  </si>
  <si>
    <t>MILITIN@HOTMAIL.COM</t>
  </si>
  <si>
    <t>CARRERA 64 N 94-75 BARRIO ANDES - ZONA OCCIDENTE - BOGOTA</t>
  </si>
  <si>
    <t>JOSE RAMON MUNAR MARTIN</t>
  </si>
  <si>
    <t>joramunar@gmail.com</t>
  </si>
  <si>
    <t>CARRERA 11 NO 114-61 APTO 202 - ZONA NORTE - BOGOTA</t>
  </si>
  <si>
    <t>ARNULFO AGUIRRE AGUIRRE</t>
  </si>
  <si>
    <t>arnulfo.aguirre199@casur.gov.co</t>
  </si>
  <si>
    <t>DIAGONAL 43 NO. 38A - 53 INT 10 Apt 903  RAFAEL NUNEZ - ZONA OCCIDENTE - BOGOTA DC (CU</t>
  </si>
  <si>
    <t>ABRAHAM RUIZ VASQUEZ</t>
  </si>
  <si>
    <t>abraruva@yahoo.com</t>
  </si>
  <si>
    <t>HENRY VELANDIA CHEGWIN</t>
  </si>
  <si>
    <t xml:space="preserve">henry.velandia130@casur.gov.co  </t>
  </si>
  <si>
    <t>CARRERA 56B NO. 128-52 LAS VILLAS - BOGOTA</t>
  </si>
  <si>
    <t>ALFONSO YARURO YANINE</t>
  </si>
  <si>
    <t>ALFONSOYAR80@GMAIL.COM</t>
  </si>
  <si>
    <t>CALLE 152 NO13-54 - ZONA NORTE -  BOGOTA</t>
  </si>
  <si>
    <t>PEDRO MAURICIO VALDERRAMA SANABRIA</t>
  </si>
  <si>
    <t>mauval03@hotmail.com</t>
  </si>
  <si>
    <t>CALLE 18 NO.14-64 - DUITAMA</t>
  </si>
  <si>
    <t>MARIO FERNANDO CANALES RODRIGUEZ</t>
  </si>
  <si>
    <t>mfcanales@hotmail.com</t>
  </si>
  <si>
    <t>CALLE 127 D N° 19 - 25 APTO 801</t>
  </si>
  <si>
    <t>JOSE RICARDO CARREÑO BLANCO</t>
  </si>
  <si>
    <t>richardr-6@hotmail.com</t>
  </si>
  <si>
    <t>CALLE 134 N. 92-32 - BOGOTA</t>
  </si>
  <si>
    <t>JUAN PABLO ORTIZ ROA</t>
  </si>
  <si>
    <t xml:space="preserve">CARRRERA 1 ESTE # 77 - 05 APTO 701 - BOGOTA  </t>
  </si>
  <si>
    <t>SEGUNDO GREGORIO ROJAS PAEZ</t>
  </si>
  <si>
    <t>KARENN_ROJAS_SANCHEZ@HOTMAIL.COM</t>
  </si>
  <si>
    <t>CALLE 44 C N° 45 - 28 INT 2  APTO 203 - BOGOTA</t>
  </si>
  <si>
    <t>CLEMENCIA MORA MONTAÑEZ</t>
  </si>
  <si>
    <t>CLEMENCIAM15@YAHOO.COM</t>
  </si>
  <si>
    <t>CARRERA 48 # 22 - 83 CASA 53 - BOGOTA</t>
  </si>
  <si>
    <t>JULIO FERNADO SANDOVAL GOMEZ</t>
  </si>
  <si>
    <t>SANGO29@HOTMAIL.COM</t>
  </si>
  <si>
    <t>Calle 1 sur 8-68 - CHIA  - CASA 54</t>
  </si>
  <si>
    <t>GUILLERMO DUQUE LOPEZ</t>
  </si>
  <si>
    <t>DUQUE81@HOTMAIL.COM</t>
  </si>
  <si>
    <t>CALLE 162 NO. 54-95 INT 6  - BOGOTA</t>
  </si>
  <si>
    <t>NICOLAS CARMEN ARISTIZABAL</t>
  </si>
  <si>
    <t>NICOLASCARMEN@HOTMAIL.COM</t>
  </si>
  <si>
    <t>CRA 60 NO.  22 - 99 T1 APTO 2301</t>
  </si>
  <si>
    <t>HORACIO CRISTIAN ZEA ZULUAGA</t>
  </si>
  <si>
    <t xml:space="preserve">zeazuluaga@hotmail.com  </t>
  </si>
  <si>
    <t xml:space="preserve">Calle 27#10b.-37 callejón angosto. Barrio getsemani - CARTAGENA  </t>
  </si>
  <si>
    <t>JHON FREDY FORERO ROA</t>
  </si>
  <si>
    <t>jfforeror@gmail.com</t>
  </si>
  <si>
    <t>CARRERA 7d # 153B-18 - BOGOTA</t>
  </si>
  <si>
    <t>WILSON GOYENECHE BLANCO</t>
  </si>
  <si>
    <t>wilgobla@hotmail.com</t>
  </si>
  <si>
    <t>CARRERA 9 # 6C - 28 BIGUP - BOGOTA</t>
  </si>
  <si>
    <t>EDWARD EXENHAWER RODRIGUEZ VARGAS</t>
  </si>
  <si>
    <t>EXENHAWER@HOTMAIL.COM</t>
  </si>
  <si>
    <t>CALLE 152 # 72-35  TORRE 5 APTO 903</t>
  </si>
  <si>
    <t>NELSON EDUARDO HERNANDEZ ROMERO</t>
  </si>
  <si>
    <t>nelson.hernandez@armada.mil.co</t>
  </si>
  <si>
    <t>calle 23d No. 72b-89 Bloque 12, Apartamento  303 - BOGOTA</t>
  </si>
  <si>
    <t>PEDRO PABLO RICARDO GONZALEZ</t>
  </si>
  <si>
    <t>pedro.ricardo685@casur.gov.co</t>
  </si>
  <si>
    <t>DIAGONAL 112 NO.  53-37 SAN NICOLAS - ZONA OCCIDENTE - BOGOTA DC (CUNDINAMARCA)</t>
  </si>
  <si>
    <t>WILLIAM GUSTAVO VELANDIA MORA</t>
  </si>
  <si>
    <t>WILLIAMVELANDIAM@HOTMAIL.COM</t>
  </si>
  <si>
    <t>CALLE 116 # 20-78  APTO 403 /EDIFICIO FLAMINGO- BOGOTA</t>
  </si>
  <si>
    <t>JUAN CARLOS MOGOLLON CONTRERAS</t>
  </si>
  <si>
    <t>juca100381@hotmail.com</t>
  </si>
  <si>
    <t>CL. 6 NO. 7-43 B/ EL CENTRO PAMPLONA</t>
  </si>
  <si>
    <t>54518</t>
  </si>
  <si>
    <t>RICARDO ANDRES LOPEZ GARCIA</t>
  </si>
  <si>
    <t>RICARDOAND36@YAHOO.ES</t>
  </si>
  <si>
    <t xml:space="preserve">calle 16 No 25-45 - YOPAL  </t>
  </si>
  <si>
    <t>BEATRIZ VARON BONILLA</t>
  </si>
  <si>
    <t>beatriz.varon623@casur.gov.co</t>
  </si>
  <si>
    <t>CARRERA 40D NO. 59-53</t>
  </si>
  <si>
    <t>EDGAR TOMAS PALACIO MEJIA</t>
  </si>
  <si>
    <t>TOMASPDELMYP@HOTMAIL.COM</t>
  </si>
  <si>
    <t xml:space="preserve"> CALLE 140 N° 6-10 MONTEREAL</t>
  </si>
  <si>
    <t>PEDRO ALFONSO AVENDAÑO REMOLINA</t>
  </si>
  <si>
    <t>PEDRAVE9@YAHOO.ES</t>
  </si>
  <si>
    <t>URB ENCANTO ETAPA9 CASAB2-FUSAGASUGA</t>
  </si>
  <si>
    <t>ELKIN YESID FONSECA GUEVARA</t>
  </si>
  <si>
    <t>elkin.yesid0014@gmail.com</t>
  </si>
  <si>
    <t>Calle 7 NO. 29-26 - MELGAR</t>
  </si>
  <si>
    <t>WALTER OLMEDO WILCHES CARVAJAL</t>
  </si>
  <si>
    <t>walwil74@gmail.com</t>
  </si>
  <si>
    <t>Km 8 via al mar Serena del Mar Zinnia club House T3 Apto 401B - CARTAGENA</t>
  </si>
  <si>
    <t>RICARDO ANDREI CLAVIJO TORRES</t>
  </si>
  <si>
    <t>RCLAVIJO52@HOTMAIL.COM</t>
  </si>
  <si>
    <t>CARRERA 73 Nº 163 - 71 CASA 89 - BOGOTA</t>
  </si>
  <si>
    <t>FRANCISCO JAVIER ARIZA TORRES</t>
  </si>
  <si>
    <t>franciscoariza.ejercol@gmail.com</t>
  </si>
  <si>
    <t>AVENIDA CARRERA 50 # 18-A-46</t>
  </si>
  <si>
    <t>CARLOS ALFREDO ERAZO DIAZ</t>
  </si>
  <si>
    <t>CERASSO1995@HOTMAIL.COM</t>
  </si>
  <si>
    <t>CARRERA 45 NO 44-21 BOGOTá</t>
  </si>
  <si>
    <t>KARLA XIMENA SILVA BARBOSA</t>
  </si>
  <si>
    <t>XIMENITASILVA.1994@HOTMAIL.COM</t>
  </si>
  <si>
    <t>CRR 19B N 24-35</t>
  </si>
  <si>
    <t>GONZALO JIMENEZ DIAZ</t>
  </si>
  <si>
    <t>gonzalo.jimenez557@casur.gov.co</t>
  </si>
  <si>
    <t>CARRERA 54 NO.128C - 34 Apt 301  LAS VILLAS - ZONA OCCIDENTE - BOGOTA DC (CUND</t>
  </si>
  <si>
    <t>MILTON CARDENAS GALLO</t>
  </si>
  <si>
    <t>m_cardenas28@hotmail.es</t>
  </si>
  <si>
    <t>Calle 152 no 45-95, apto 302 - BOGOTA</t>
  </si>
  <si>
    <t>ISAIAS RAMON MONTES</t>
  </si>
  <si>
    <t>isaiasramon@hotmail.com</t>
  </si>
  <si>
    <t>Calle 23 # 45-132 Palmeto Casa M4 - FUSAGASUGA</t>
  </si>
  <si>
    <t>LINETH RODRIGUEZ RUGE</t>
  </si>
  <si>
    <t>LINETHRODRIGUEZRUGE@HOTMAIL.COM</t>
  </si>
  <si>
    <t>CARRERA 11 C #117- 35 APTO 201 EDIFICIO MARIZAGUA</t>
  </si>
  <si>
    <t>PABLO ENRIQUE TELLO GUERRERO</t>
  </si>
  <si>
    <t>PETELLOS4@YAHOO.COM</t>
  </si>
  <si>
    <t>CALLE 138 # 75 - 75 T 4 APTO 504 - BOGOTA</t>
  </si>
  <si>
    <t>ANGELA JANNETH VERA VASQUEZ</t>
  </si>
  <si>
    <t>angverava@yahoo.com</t>
  </si>
  <si>
    <t>CALLE 22 C N 28 - 21</t>
  </si>
  <si>
    <t>HECTOR JOSE ANGARITA MONCALEANO</t>
  </si>
  <si>
    <t>hector.angarita@outlook.co</t>
  </si>
  <si>
    <t>Carrera 7B Nº 134B - 63 Torre 3 Apto 714</t>
  </si>
  <si>
    <t>GLADYS AMPARO GUEVARA DIAZ</t>
  </si>
  <si>
    <t>gladys.guevara150@casur.gov.co</t>
  </si>
  <si>
    <t>SECCIONAL SIMON BOLIVAR   VIA LA RIVERA  TULUA (VALLE)</t>
  </si>
  <si>
    <t>76834</t>
  </si>
  <si>
    <t>GERMAN SAAVEDRA PRADO</t>
  </si>
  <si>
    <t>claudia5pala@hotmail.com</t>
  </si>
  <si>
    <t>CARRERA 9A NO. 117A - 65 - BOGOTA</t>
  </si>
  <si>
    <t>JOSE IGNACIO BAEZ VEGA</t>
  </si>
  <si>
    <t>JOSEIGNACIOBAEZVEGA@HOTMAIL.COM</t>
  </si>
  <si>
    <t>Cl 55  28   49 BARRIO MIRIÑADO</t>
  </si>
  <si>
    <t>HAWHER ALDAN CORSO CORREA</t>
  </si>
  <si>
    <t>hawhercorso@hotmail.com</t>
  </si>
  <si>
    <t xml:space="preserve">Calle 66 C # 61 - 01 Torre 1 Apto 501 - BOGOTA  </t>
  </si>
  <si>
    <t>JAIME ALBERTO CADAVID LOPEZ</t>
  </si>
  <si>
    <t>jaime.cadavid165@casur.gov.co</t>
  </si>
  <si>
    <t>TRANSVERSAL 13A NO. 117   33 Apt 201  SANTA BARBARA - NORTE -  BOGOTA DC (C</t>
  </si>
  <si>
    <t>OSCAR ZULUAGA CASTAÑO</t>
  </si>
  <si>
    <t>vicepresidencia@satena.com</t>
  </si>
  <si>
    <t>CRA 1 107 00 APTO 201 EDIFICIO ICARO CANTON NORTE</t>
  </si>
  <si>
    <t>NELSON MANUEL OLIVEROS GONZALEZ</t>
  </si>
  <si>
    <t>NMOLIEROS6@GMAIL.COM</t>
  </si>
  <si>
    <t>CARRERA 48 NO. 22-83 CASA 27</t>
  </si>
  <si>
    <t>HELBER FRANCISCO HERRERA HERNANDEZ</t>
  </si>
  <si>
    <t>francohh13@hotmail.com</t>
  </si>
  <si>
    <t>CALLE 131A # 9 - 20 - BOGOTA</t>
  </si>
  <si>
    <t>JESUS LEONARDO SUAREZ CALDERON</t>
  </si>
  <si>
    <t>JLSUAREZ75@HOTMAIL.COM</t>
  </si>
  <si>
    <t>CARRERA 57 # 53 - 50 INT 1  APTO 101 - BOGOTA</t>
  </si>
  <si>
    <t>MARIA ESPERANZA VARGAS SANCHEZ</t>
  </si>
  <si>
    <t>MEPV727@hotmail.com</t>
  </si>
  <si>
    <t>CARRE 87C N 22-81 CASA 53</t>
  </si>
  <si>
    <t>JOSE ALEJANDRO REY MANTILLA</t>
  </si>
  <si>
    <t>JOSITO.60@HOTMAIL.COM</t>
  </si>
  <si>
    <t>Cl 134B 9A 45 Apt 302 BARRIO LISBOA</t>
  </si>
  <si>
    <t>LAURA JULIANA LINARES LAVERDE</t>
  </si>
  <si>
    <t>lajuli-221@hotmail.com</t>
  </si>
  <si>
    <t>CLL 188 N 7A - 21</t>
  </si>
  <si>
    <t>MARTA LUCIA MUÑOZ LOPEZ</t>
  </si>
  <si>
    <t>larnonata@hotmail.com</t>
  </si>
  <si>
    <t>CALLE 24#33-89 (PAIPA)LOS ROSALES</t>
  </si>
  <si>
    <t>MARGARITA CASTAÑEDA DE VIVO</t>
  </si>
  <si>
    <t xml:space="preserve">alejandro@casabellacartagena.com  </t>
  </si>
  <si>
    <t xml:space="preserve">Calle 96 #10-51 Apto 502 - BOGOTA  </t>
  </si>
  <si>
    <t>DANIEL BASTIDAS HERNANDEZ</t>
  </si>
  <si>
    <t>DABAS23@HOTMAIL.COM</t>
  </si>
  <si>
    <t>CALLE 45 - 45- 16 APTO 101 INTERIOR 8 - BOGOTA</t>
  </si>
  <si>
    <t>JOHN JAIRO CASTRO ROA</t>
  </si>
  <si>
    <t>JOHNJAIROCASTRO@YAHOO.ES</t>
  </si>
  <si>
    <t>CALLE 152B N° 73B -51 APTO 502 T: 2</t>
  </si>
  <si>
    <t>RAFAEL GUILLERMO MUÑOZ SANABRIA</t>
  </si>
  <si>
    <t>guimusan72@gmail.com</t>
  </si>
  <si>
    <t>CARRERA 15 BIS NO.  109 68 AP 501  SANTA PAULA - NORTE -   BOGOTA DC (CUN</t>
  </si>
  <si>
    <t>JOSE JOAQUIN LANDINEZ TORRES</t>
  </si>
  <si>
    <t>jlandineztorres@gmail.com</t>
  </si>
  <si>
    <t>CALLE 147 N° 7B - 75 - BOGOTA</t>
  </si>
  <si>
    <t>EDGAR CEBALLOS MENDOZA</t>
  </si>
  <si>
    <t>esar.magdalena@gmail.com</t>
  </si>
  <si>
    <t xml:space="preserve">Carrera 9A 117A - 43 - BOGOTA  </t>
  </si>
  <si>
    <t>JOSE ROBERTO IBAÑEZ SANCHEZ</t>
  </si>
  <si>
    <t xml:space="preserve">robertoibanez1@hotmail.com                        </t>
  </si>
  <si>
    <t>AVENIDA 116 NO.  11 50 Apt 503 - ZONA NORTE - BOGOTA</t>
  </si>
  <si>
    <t>FABIAN RAMIREZ CABRALES</t>
  </si>
  <si>
    <t>fabian.ramirez.ca@armada.mil.co</t>
  </si>
  <si>
    <t>CL. 121 # 44-21</t>
  </si>
  <si>
    <t>EMILIA ARGUELLO DEL ALMARIO</t>
  </si>
  <si>
    <t>EMYALMARIO@HOTMAIL.COM</t>
  </si>
  <si>
    <t xml:space="preserve">Calle 55 No 36-15 apto 301 - BOGOTA  </t>
  </si>
  <si>
    <t>NOHORA SANCHEZ DE MEDINA</t>
  </si>
  <si>
    <t>NSANCHEZDEMEDINA@GMAIL.COM</t>
  </si>
  <si>
    <t>CRA 14 A N° 151 A  - 39 TORRE 2 APTO 601 - BOGOTA</t>
  </si>
  <si>
    <t>MARIA NOHEMA OSORIO DE GONZALEZ</t>
  </si>
  <si>
    <t>SGONZALEZOSORIO@GMAIL.COM</t>
  </si>
  <si>
    <t>CRA.36A NO.53-52 - BOGOTA</t>
  </si>
  <si>
    <t>MIGUEL ESTEBAN MORENO PEÑA</t>
  </si>
  <si>
    <t>MIGUELESMOREMNO@GMAIL.COM</t>
  </si>
  <si>
    <t>Calle 41 #2-61 INt 18 - TUNJA</t>
  </si>
  <si>
    <t>CAMILA  FONSECA RIVERA</t>
  </si>
  <si>
    <t>CAMIFONSERIVE@HOTMAIL.COM</t>
  </si>
  <si>
    <t>calle 44c # 45-53 blo 4 apto 803 - BOGOTA</t>
  </si>
  <si>
    <t>GLORIA NATALY BARBOSA DUQUE</t>
  </si>
  <si>
    <t xml:space="preserve">TATABARBOSADUQUE@HOTMAIL.COM         </t>
  </si>
  <si>
    <t xml:space="preserve">CALLE 152 B No.  58 C 50  INT. 14 APTO. 601            </t>
  </si>
  <si>
    <t>OSCAR FERNANDO ALARCON PARRA</t>
  </si>
  <si>
    <t>oscaralar1@gmail.com</t>
  </si>
  <si>
    <t>CARRERA 11A este # 8A-36 - CAJICA</t>
  </si>
  <si>
    <t>HERNANDO ENRIQUE MATTOS DAGER</t>
  </si>
  <si>
    <t>hernandomattos@gmail.com</t>
  </si>
  <si>
    <t>San Andrés circunvalar - SAN ANDRES</t>
  </si>
  <si>
    <t>FEDERACION COLOMBIANA DE ASOCIACIONES EQUINAS FEDEQUINAS</t>
  </si>
  <si>
    <t>cmontenegro@fedequinas.org</t>
  </si>
  <si>
    <t>CR 64 9B 36</t>
  </si>
  <si>
    <t>ALFONSO LAVERDE GONZALEZ</t>
  </si>
  <si>
    <t>ALFONSOLAVERDEGONZALEZ@HOTMAIL.COM</t>
  </si>
  <si>
    <t xml:space="preserve">AVENIDA 19 131a30 AP.902 T.3 - BOGOTA  </t>
  </si>
  <si>
    <t>CARLOS ALBERTO JAIMES VILLAMIZAR</t>
  </si>
  <si>
    <t>JAIMESTOLEDO@GMAIL.COM</t>
  </si>
  <si>
    <t>CARRERA 56 Nº 145-51 T3 APTO 203 -  BOGOTA</t>
  </si>
  <si>
    <t>MARIANA GARCIA PRIETO</t>
  </si>
  <si>
    <t>MAGAPRI@GMAIL.COM</t>
  </si>
  <si>
    <t>CALLE 22 F # 106-14 BOGOTA</t>
  </si>
  <si>
    <t>AURA CECILIA CORTES MOSCOSO</t>
  </si>
  <si>
    <t>acecomo@yahoo.com</t>
  </si>
  <si>
    <t>CL 67 6 89</t>
  </si>
  <si>
    <t>DORA LUZ FONSECA OSORIO</t>
  </si>
  <si>
    <t>DORALUZ.FONSECA@GMAIL.COM</t>
  </si>
  <si>
    <t>CALLE 24 B N° 68 A - 42 APTO 804 TORE 1 - BOGOTA</t>
  </si>
  <si>
    <t>JUAN MANUEL CARDENAS GARCIA</t>
  </si>
  <si>
    <t>pilotinthesky@gmail.com</t>
  </si>
  <si>
    <t>CARRERA 53 N° 59 - 45  - BOGOTA</t>
  </si>
  <si>
    <t>WILLIAM ORLANDO PAUWELS RAMIREZ</t>
  </si>
  <si>
    <t>CLAWIL8@HOTMAIL.COM</t>
  </si>
  <si>
    <t xml:space="preserve">Calle 44d No 45-45 int2 apt 304 - BOGOTA  </t>
  </si>
  <si>
    <t>FLOR MARIA RODRIGUEZ DE CORTES</t>
  </si>
  <si>
    <t>MARTHALUCO@HOTMAIL.COM</t>
  </si>
  <si>
    <t>TRANSVERSAL 60 N° 119 - 30 APTO 308 TORRE 2</t>
  </si>
  <si>
    <t>JUAN PABLO VELEZ CALDERON</t>
  </si>
  <si>
    <t>JULAMPV@YAHOO.COM</t>
  </si>
  <si>
    <t xml:space="preserve">Carrera 68A # 22A-75 casa 79 - BOGOTA  </t>
  </si>
  <si>
    <t>JUAN CARLOS JARA ARISTIZABAL</t>
  </si>
  <si>
    <t>JUANCARLOSJARAARISTIZABAL@GMAIL.COM</t>
  </si>
  <si>
    <t>CARRERA 30 MANZANA 4 NO. 92 - 20 CASA 10 - PEREIRA</t>
  </si>
  <si>
    <t>66001</t>
  </si>
  <si>
    <t>WILLIAM ALBERTO OCHOA BARBOSA</t>
  </si>
  <si>
    <t>WILLIAMO81@HOTMAIL.COM</t>
  </si>
  <si>
    <t>CARRERA  69 N° 47- 50</t>
  </si>
  <si>
    <t>SERGIO LEONARDO ORDUZ BOTIA</t>
  </si>
  <si>
    <t>TRAMITE VIATICOS</t>
  </si>
  <si>
    <t>BASE NAVAL ARC BOLIVAR EDI. FRAGATA</t>
  </si>
  <si>
    <t>JORGE HERNANDO MORALES VILLAMIZAR</t>
  </si>
  <si>
    <t>jorgehmoralesv@yahoo.es</t>
  </si>
  <si>
    <t>CALLE 48 # 70 - 30 - BOGOTA</t>
  </si>
  <si>
    <t>RAFAEL ANTONIO MESA CEPEDA</t>
  </si>
  <si>
    <t>rafamesa64@hotmail.com</t>
  </si>
  <si>
    <t>CARRERA 54 NO. 125 - 05 blque 4 apto 203 - ZONA OCCIDENTE - Bogotá</t>
  </si>
  <si>
    <t>CLAUDIA ADRIANA ROJAS WIESNER</t>
  </si>
  <si>
    <t>CLAUDIA_ROJAS_CO@YAHOO.COM</t>
  </si>
  <si>
    <t>CARRERA 57 Nº 131 A - 43 - BOGOTA</t>
  </si>
  <si>
    <t>RICARDO ALFREDO CORONADO AVELLA</t>
  </si>
  <si>
    <t>RICARDO.CORONADO@AOL.COM</t>
  </si>
  <si>
    <t xml:space="preserve">Calle 137A # 58 - 70 INT 6 APT 1304 - BOGOTA  </t>
  </si>
  <si>
    <t>OLIMPO SILVA ROJAS</t>
  </si>
  <si>
    <t>olimposr@yahoo.com</t>
  </si>
  <si>
    <t>KRA. 22 No. 135-54 casa 31</t>
  </si>
  <si>
    <t>18094</t>
  </si>
  <si>
    <t>LUIS ALBERTO ARIAS MENDEZ</t>
  </si>
  <si>
    <t>LAAM663@GMAIL.COM</t>
  </si>
  <si>
    <t xml:space="preserve">Calle 75d #102-37 - BOGOTA  </t>
  </si>
  <si>
    <t>MANUEL MARIA PEDRAZA OCHOA</t>
  </si>
  <si>
    <t>fabi7754@hotmail.com</t>
  </si>
  <si>
    <t>CALLE 131A NO. 53B91 INT 4 Apt 902 - ZONA OCCIDENTE - BOGOTA</t>
  </si>
  <si>
    <t>CAMILO ANDRES FARFAN OSPINA</t>
  </si>
  <si>
    <t>FARFO81@HOTMAIL.COM</t>
  </si>
  <si>
    <t>Calle 106A # 48-35 apto 402 - BOGOTA</t>
  </si>
  <si>
    <t>ANDRES JULIAN CHAVES FONSECA</t>
  </si>
  <si>
    <t>a.j.chavesfonse@hotmail.com</t>
  </si>
  <si>
    <t>CRA.68C  14-35 INT.2 APTO.102</t>
  </si>
  <si>
    <t>JUAN GUILLERMO GUZMAN URBINA</t>
  </si>
  <si>
    <t>mercena02@hotmail.com</t>
  </si>
  <si>
    <t>CARRERA 15 N 17-128 CASA 10</t>
  </si>
  <si>
    <t>JUAN CARLOS GALINDO MORA</t>
  </si>
  <si>
    <t>juancarlos987_@hotmail.com</t>
  </si>
  <si>
    <t>CALLE 63 #7A11 TORRE 8 APT 1101</t>
  </si>
  <si>
    <t>JAVIER AUGUSTO BERMUDEZ ECHAVARRIA</t>
  </si>
  <si>
    <t>javis90@hotmail.com</t>
  </si>
  <si>
    <t xml:space="preserve">Calle 134a No 11 64 - BOGOTA  </t>
  </si>
  <si>
    <t>ZULY ESPERANZA BENAVIDES DE BENAVIDES</t>
  </si>
  <si>
    <t>confeczulmy@hotmail.com</t>
  </si>
  <si>
    <t>CARREA 10B NO. 135A - 57 BARRIO LISBOA - BOGOTA</t>
  </si>
  <si>
    <t>NELLY EMELINA CORTES DE FANDIñO</t>
  </si>
  <si>
    <t>NELLYECORTES@HOTMAIL.COM</t>
  </si>
  <si>
    <t>CARRERA 7 BIS N° 106 - 87 APTO 201 - ZONA ORIENTE - BOGOTA</t>
  </si>
  <si>
    <t>ALBERTO POSADA RUIZ</t>
  </si>
  <si>
    <t>alpocar@hotmail.com</t>
  </si>
  <si>
    <t>CARRERA 7 #  53 35 Apt 401</t>
  </si>
  <si>
    <t>RODRIGO BOTIA GOMEZ</t>
  </si>
  <si>
    <t>RODRIGOBOTIAG@GMAIL.COM</t>
  </si>
  <si>
    <t>TRANSVERSAL 3 N° 11 - 85 DUITAMA BOYACA</t>
  </si>
  <si>
    <t>JHON JAIRO DELGADO GOMEZ</t>
  </si>
  <si>
    <t>john.delgado554@casur.gov.co</t>
  </si>
  <si>
    <t xml:space="preserve">carrera 72 bis nro. 24 d 50 interior 4 apto 605 - BOGOTA  </t>
  </si>
  <si>
    <t>GONZALO EDGAR LOZANO REY</t>
  </si>
  <si>
    <t>LOZANOEDGAR2002@YAHOO.COM</t>
  </si>
  <si>
    <t xml:space="preserve">CARRERA 1 # 77-36 APTO 301 - BOGOTA  </t>
  </si>
  <si>
    <t>OSCAR ALBERTO JARAMILLO CARRILLO</t>
  </si>
  <si>
    <t>OSCARJARAMILLOCARRILLO@GMAIL.COM</t>
  </si>
  <si>
    <t>CALLE 150 BIS N°80 - 99 T:5 APTO:502 - BOGOTA</t>
  </si>
  <si>
    <t>RODOLFO CARRERO VILLAMIL</t>
  </si>
  <si>
    <t>carrerorodolfo06@gmail.com</t>
  </si>
  <si>
    <t>CALLE 82 B #  95 B 15 INT 202</t>
  </si>
  <si>
    <t>ADR WORK SAS</t>
  </si>
  <si>
    <t>info@adrwork.com</t>
  </si>
  <si>
    <t>CR 21 B 31C 10 SUR</t>
  </si>
  <si>
    <t>MIGUEL CORDOBA GARCIA</t>
  </si>
  <si>
    <t>migcorgar@gmail.com</t>
  </si>
  <si>
    <t>CALLE 3 SUR # 15A - 217 - CAJICA</t>
  </si>
  <si>
    <t>JOSE JOVANNE VARGAS ALBARRACIN</t>
  </si>
  <si>
    <t>jovanne10@hotmail.com</t>
  </si>
  <si>
    <t>CALLE 7C BIS NO. 72B-27</t>
  </si>
  <si>
    <t>MARISOL FONSECA PATIÑO</t>
  </si>
  <si>
    <t>MARISOLFONSECAPATINOSOL@HOTMAIL.COM</t>
  </si>
  <si>
    <t xml:space="preserve">Calle 146 a 95 b 46 apartamento 307 torre 2 - BOGOTA  </t>
  </si>
  <si>
    <t>JOSE CARLOS GUEVARA GOMEZ</t>
  </si>
  <si>
    <t>GUEVERAGOMEZ@GMAIL.COM</t>
  </si>
  <si>
    <t>CRA 9 NO60-57 EDIFICIO IDANIKA</t>
  </si>
  <si>
    <t>ALBERTO QUINTERO BETANCOURT</t>
  </si>
  <si>
    <t>albert_quin@hotmail.com</t>
  </si>
  <si>
    <t>CARRERA 22 NO 127D 80APT 706 - ZONA NORTE -  BOGOTA</t>
  </si>
  <si>
    <t>HERNANDO COLLAZOS VILLAMIZAR</t>
  </si>
  <si>
    <t>HERNANDOCOLLAZOSV@HOTMAIL.COM</t>
  </si>
  <si>
    <t>CARRERA 74A # 167 - 31  TORRE 2 APTO 703 - BOGOTA</t>
  </si>
  <si>
    <t>GERMAN FONSECA HUERTAS</t>
  </si>
  <si>
    <t>GEFONSE@HOTMAIL.COM</t>
  </si>
  <si>
    <t>CARLOS EDUARDO ESPINOSA MEJIA</t>
  </si>
  <si>
    <t>CARLOSRUFI67@HOTMAIL.COM</t>
  </si>
  <si>
    <t>CALLE 12 # 35-60 APTO 101 LOS PINOS - BUCARAMANGA</t>
  </si>
  <si>
    <t>CARLOS HUGO MORA CORDERO</t>
  </si>
  <si>
    <t xml:space="preserve">chugomora@yahoo.com  </t>
  </si>
  <si>
    <t>42 7088 LYNWOOD DR RICHMOND BC V7C 5V3-TORONTO</t>
  </si>
  <si>
    <t>AURA CECILIA CAMPUZANO DE OSEJO</t>
  </si>
  <si>
    <t>ROLANDOSEJO@HOTMAIL.COM</t>
  </si>
  <si>
    <t>CARRERA  70H # 126A - 32 - BOGOTA</t>
  </si>
  <si>
    <t>LUZ MARINA MATEUS DE CORTES</t>
  </si>
  <si>
    <t xml:space="preserve">luzma_cortesm@hotmail.com  </t>
  </si>
  <si>
    <t xml:space="preserve">Carrera 53C # 134-70 Int 2 Apto 501 - BOGOTA  </t>
  </si>
  <si>
    <t>WILLIAM ANTONIO RODRIGUEZ ANZOLA</t>
  </si>
  <si>
    <t xml:space="preserve">williamrodrigueza@hotmail.com  </t>
  </si>
  <si>
    <t>Cr 65B  67   18</t>
  </si>
  <si>
    <t>JOSE MIGUEL BARON GOMEZ</t>
  </si>
  <si>
    <t>MIGUELANG344@GMAIL.COM</t>
  </si>
  <si>
    <t>ClE 146  40A 25 APT 501</t>
  </si>
  <si>
    <t>JAVIER LEONARDO ALVAREZ CASTRO</t>
  </si>
  <si>
    <t>JALAC79@HOTMAIL.COM</t>
  </si>
  <si>
    <t>CRA 54 N° 59 - 44 - BOGOTA</t>
  </si>
  <si>
    <t>FERNEL ISIDRO AGUILLON DUQUE</t>
  </si>
  <si>
    <t>fad262009@hotmail.com</t>
  </si>
  <si>
    <t>AV 0 Nº 3-19 URB. VILLA NUEVA</t>
  </si>
  <si>
    <t>RAFAEL POVEDA RAMIREZ</t>
  </si>
  <si>
    <t>rafaelpoveda1102@hotmail.com</t>
  </si>
  <si>
    <t>CALLE 152 NO.55A-10 APT.1302 INT 01 B/ MAZUREN - ZONA OCCIDENTE - BOGOTA</t>
  </si>
  <si>
    <t>JOHANNA ANDREA MONTOYA CIFUENTES</t>
  </si>
  <si>
    <t>JAMC6846@GMAIL.COM</t>
  </si>
  <si>
    <t>CALLE 106 # 18B - 27</t>
  </si>
  <si>
    <t>HELENA MENDEZ RAMIREZ</t>
  </si>
  <si>
    <t>CALLE 115 NO.35-14 APTO.602 - ZONA OCCIDENTE - BOGOTA</t>
  </si>
  <si>
    <t>GUILLERMO LEON ORTIZ MENDOZA</t>
  </si>
  <si>
    <t>ORTIZMENDOZA.GUILLERMO@HOTMAIL.COM</t>
  </si>
  <si>
    <t>Cl 107A  NO 11A 87 Apt 201  SANTA PAULA - NORTE -   BOGOTA DC (CUN</t>
  </si>
  <si>
    <t>LUIS FERNANDO PINTO WINKLER</t>
  </si>
  <si>
    <t xml:space="preserve">luis.pinto@textilnets.com.co   </t>
  </si>
  <si>
    <t>CARRERA 78 N 128 A-09   CASA   3 - BOGOTA</t>
  </si>
  <si>
    <t>WILLIAM VELASCO CARDENAS</t>
  </si>
  <si>
    <t>LIAMVELASCO997@GMAIL.COM</t>
  </si>
  <si>
    <t>CALLE 59 B N° 2B - 93 ESTE / TUNJA</t>
  </si>
  <si>
    <t>LIBIO EFRAIN RUANO SALAZAR</t>
  </si>
  <si>
    <t>EFRAINRUANO04@GMAIL.COM</t>
  </si>
  <si>
    <t>CARRERA 72 N° 163-31 Apto 219 - BOGOTA</t>
  </si>
  <si>
    <t>JAVIER ALEJANDRO LEAL VILLAR</t>
  </si>
  <si>
    <t>JAL25@OUTLOOK.COM</t>
  </si>
  <si>
    <t>CALLE 35 C N 20-51</t>
  </si>
  <si>
    <t>ALFONSO ANTONIO BORDA GUERRA</t>
  </si>
  <si>
    <t>AABG64@HOTMAIL.COM</t>
  </si>
  <si>
    <t>CARRERA 14 NO.  77A-61 APTO.11-01 - BOGOTA</t>
  </si>
  <si>
    <t>JAIME ALBERTO MUÑOZ MARIÑO</t>
  </si>
  <si>
    <t>CACABETO_13@YAHOO.ES</t>
  </si>
  <si>
    <t>KMT 2 CHIA-CAJICA HDA FONTANAR SAUCE  23 - CHIA</t>
  </si>
  <si>
    <t>MONICA GARCIA BETANCOURT</t>
  </si>
  <si>
    <t>DEWHURST GROUP SAS</t>
  </si>
  <si>
    <t>m.vargas@dewhurstgroup.us</t>
  </si>
  <si>
    <t>CR 7 A 173 95 AP 2002 TO 2</t>
  </si>
  <si>
    <t>CRISTHIAN FABIAN HERRERA SANDOVAL</t>
  </si>
  <si>
    <t>mrcalvin18@hotmail.com</t>
  </si>
  <si>
    <t>MIRADOR DEL PUERTO 2 INT. 1 APTO 402 BOGOTà</t>
  </si>
  <si>
    <t>ANGELA MARIA BAEZ GIRALDO</t>
  </si>
  <si>
    <t>ANGELAMBAEZ@GMAIL.COM</t>
  </si>
  <si>
    <t>CALLE 55 # 28-49</t>
  </si>
  <si>
    <t>ROCIO LILIANA MARTINEZ RINCON</t>
  </si>
  <si>
    <t>lilamari14@gmail.com</t>
  </si>
  <si>
    <t xml:space="preserve">Carrera 39b # 2b -04 - BOGOTA  </t>
  </si>
  <si>
    <t>MIRYAM DEL SOCORRO SANCHEZ</t>
  </si>
  <si>
    <t>MIRIAMSANCHEZB11@GMAIL.COM</t>
  </si>
  <si>
    <t>CARRERA 11 NO. 113-05 - ZONA NORTE - BOGOTá</t>
  </si>
  <si>
    <t>PATRICIA TERESITA PEÑA FAJARDO</t>
  </si>
  <si>
    <t>PPF82@HOTMAIL.COM</t>
  </si>
  <si>
    <t>CALLE 57 NO. 38A - 45 Apt 501 NICOLAS DE FEDERMAN - ZONA OCCIDENTE - BOGOTA DC (CUNDINAMARCA)</t>
  </si>
  <si>
    <t>JORGE DAVID PARRA VARGAS</t>
  </si>
  <si>
    <t>davidparrav@gmail.com</t>
  </si>
  <si>
    <t>Escuela Naval - Manzanillo Casa 147 - CARTAGENA</t>
  </si>
  <si>
    <t>ELIAS LUNA MUÑOZ</t>
  </si>
  <si>
    <t>ELIASLUNA05@GMAIL.COM</t>
  </si>
  <si>
    <t>CARRERA 22 NO. 122 - 53 APTO 102 - ZONA NORTE - BOGOTA</t>
  </si>
  <si>
    <t>GUILLERMO ARTURO CASTELLANOS OJEDA</t>
  </si>
  <si>
    <t>guillermo251100@gamail.com</t>
  </si>
  <si>
    <t xml:space="preserve">CARRERA 144 # 16A -09 - BOGOTA  </t>
  </si>
  <si>
    <t>SONIA ELVIRA CABRALES DE RAMIREZ</t>
  </si>
  <si>
    <t>SONIAELVIRACABRALES@HOTMAIL.COM</t>
  </si>
  <si>
    <t>CALLE 121 N° 54 -21 BOGOTA</t>
  </si>
  <si>
    <t>DANIEL ANGELICO VILLAMIL LOPEZ</t>
  </si>
  <si>
    <t>danivil1@yahoo.com</t>
  </si>
  <si>
    <t>CL. 22 A NO. 52-07 AP. 902</t>
  </si>
  <si>
    <t>CLARA SAMPEDRO DE AÑEZ</t>
  </si>
  <si>
    <t xml:space="preserve">clara.anez@gmail.com  </t>
  </si>
  <si>
    <t xml:space="preserve">Calle 124 # 20 -20 (303) - BOGOTA  </t>
  </si>
  <si>
    <t>WILLIAM FERNELLY SABOGAL LEON</t>
  </si>
  <si>
    <t>WILLSALE@HOTMAIL.COM</t>
  </si>
  <si>
    <t>CARRERA 53 # 56B-27  APT 407T. 407 - BOGOTA</t>
  </si>
  <si>
    <t>LUCIA ORJUELA DE MONCAYO</t>
  </si>
  <si>
    <t>CALLE 135 C N°9 A - 71 - ZONA NORTE - BOGOTA</t>
  </si>
  <si>
    <t>MARIA CONSUELO ARIZA LOPEZ</t>
  </si>
  <si>
    <t>FABIO NELSON CUFIÑO GUTIERREZ</t>
  </si>
  <si>
    <t>nelsoncufino@gmail.com</t>
  </si>
  <si>
    <t>VEREDA LA BALSA - CHIA</t>
  </si>
  <si>
    <t>ALVARO ENRIQUE RAMIREZ ROLDAN</t>
  </si>
  <si>
    <t>aeramirezr68@gmail.com</t>
  </si>
  <si>
    <t>Conjunto Sierraluna casa 49 Tiquiza chia</t>
  </si>
  <si>
    <t>JULIO BARRERA BUSTOS</t>
  </si>
  <si>
    <t>JULIOBARRERABUSTOS@HOTMAIL.COM</t>
  </si>
  <si>
    <t>CARRERA 14B # 109-80 APTO 201</t>
  </si>
  <si>
    <t>ABRAHAM CAMARGO VARGAS</t>
  </si>
  <si>
    <t>ABRAHAMFORMITAS@HOTMAIL.COM</t>
  </si>
  <si>
    <t xml:space="preserve">carrera 19 # 21-60 - PAIPA  </t>
  </si>
  <si>
    <t>AMBICOL SERVICES SAS</t>
  </si>
  <si>
    <t>ambicolserviceseu@hotmail.com</t>
  </si>
  <si>
    <t>CL 26 A 13 97 OF 501</t>
  </si>
  <si>
    <t>CARLOS ENRIQUE AREVALO</t>
  </si>
  <si>
    <t>carlos.arevalo7@gmail.com</t>
  </si>
  <si>
    <t>CL 131 6 24</t>
  </si>
  <si>
    <t>ELKIN MAURICIO NOVOA SILVA</t>
  </si>
  <si>
    <t>elmanosil10@gmail.com</t>
  </si>
  <si>
    <t>Cra 5 No 3-96 - CIMITARRA</t>
  </si>
  <si>
    <t>68190</t>
  </si>
  <si>
    <t>HARVEY GEOVANNI SANCHEZ CUESTA</t>
  </si>
  <si>
    <t>HARCA@HOTMAIL.COM</t>
  </si>
  <si>
    <t>CRA 16 # 17A - 26</t>
  </si>
  <si>
    <t>WILLIAM BAYARDO HERRERA QUIROGA</t>
  </si>
  <si>
    <t>HERRERAWILLIAM.35@GMAIL.COM</t>
  </si>
  <si>
    <t xml:space="preserve">Clle 47a # 1 -24 Este - TUNJA  </t>
  </si>
  <si>
    <t>CARLOS ALBERTO GUZMAN LOMBANA</t>
  </si>
  <si>
    <t>GERENCIADEOPERACIONES@SECANCOL.COM.CO</t>
  </si>
  <si>
    <t>CALLE 140 N 6-40 APOCENTOS 5 301 MONTE ARROYO</t>
  </si>
  <si>
    <t>IVAN MAURICIO BUITRAGO FERREIRA</t>
  </si>
  <si>
    <t>ivanmbuitragof@yahoo.com</t>
  </si>
  <si>
    <t>CALLE 127 A #5C-41 T.1 APT 701 -  BOGOTA</t>
  </si>
  <si>
    <t>WILSON DANIEL PALACIOS GARCIA</t>
  </si>
  <si>
    <t>WILSONDANIELPALACIOS@GMAIL.COM</t>
  </si>
  <si>
    <t>CARRERA 69 D NO. 25 - 45 TORRE 7 APTO 302 CONJUNTO IBIZA III - ZONA OCCIDENTE - BOGOTA</t>
  </si>
  <si>
    <t>FERNANDO ANCIZAR RODRIGUEZ FORERO</t>
  </si>
  <si>
    <t>oftalfer@yahoo.com</t>
  </si>
  <si>
    <t>CLLE 47 # 9-13 APTO 303 - ZONA ORIENTE - BOGOTA</t>
  </si>
  <si>
    <t>PABLO ENRIQUE GOMEZ NIETO</t>
  </si>
  <si>
    <t>ayaju1@hotmail.com</t>
  </si>
  <si>
    <t>CRA 17 N° 173 - 52 T:6 APTO 803</t>
  </si>
  <si>
    <t>CARLOS ANTONIO GUTIERREZ MARTINEZ</t>
  </si>
  <si>
    <t>GUMACARLOS650418@HOTMAIL.COM</t>
  </si>
  <si>
    <t>CALLE 152 # 58-C-49 APTO 803 T 1</t>
  </si>
  <si>
    <t>GERMAN EDUARDO RAMIREZ REYES</t>
  </si>
  <si>
    <t>GERMANEDUARDORR@GMAIL.COM</t>
  </si>
  <si>
    <t>CARRERA 19A NO. 135 - 27 AP 308 - BOGOTA</t>
  </si>
  <si>
    <t>VICTOR IGNACIO MELGAREJO ARIAS</t>
  </si>
  <si>
    <t>VICTOR.MELGAREJO76@GMAIL.COM</t>
  </si>
  <si>
    <t>CALLE 133 # 19-59 APTO 506</t>
  </si>
  <si>
    <t>ALMACEN FENIXDUITAMA SOCIEDAD POR ACCIONES SIMPLIFICADA</t>
  </si>
  <si>
    <t>almacenfenixduitama@gmail.com</t>
  </si>
  <si>
    <t xml:space="preserve">CL 14 16 55 </t>
  </si>
  <si>
    <t>ROSA STELLA NIÑO CUBILLOS</t>
  </si>
  <si>
    <t>STELLA_NINO@HOTMAIL.COM</t>
  </si>
  <si>
    <t>CRA 73 NO 163-64 APTO 301 INT: 5</t>
  </si>
  <si>
    <t>RICARDO NICOLAS GARCIA CHADID</t>
  </si>
  <si>
    <t>rigarcha@gmail.com</t>
  </si>
  <si>
    <t>CARRERA 13 A NO. 127 A - 29 - APTO 401 -  ZONA NORTE - BOGOTA</t>
  </si>
  <si>
    <t>JORGE VARGAS PEÑA</t>
  </si>
  <si>
    <t>JORGE.VARGAS.PENA@HOTMAIL.COM</t>
  </si>
  <si>
    <t>CARRERA 52 No 132-87 CASA 16 BARRIO VILLA CAMPESTRE - BARRANQUILLA</t>
  </si>
  <si>
    <t>HECTOR JULIO AYALA CERON</t>
  </si>
  <si>
    <t>hectorayala1937@GMAIL.COM</t>
  </si>
  <si>
    <t>CALLE 11 BIS # 124A - 88 - BOGOTA</t>
  </si>
  <si>
    <t>ROCIO MARULANDA CORREDOR</t>
  </si>
  <si>
    <t>ROCIOMARULANDA@HOTMAIL.COM</t>
  </si>
  <si>
    <t>CARRERA 12 # 140 - 91 TORRE 1 APTO 302 - ZONA NORTE - BOGOTA</t>
  </si>
  <si>
    <t>CARLOS ARTURO ESCAMILLA CAMACHO</t>
  </si>
  <si>
    <t>carlos.a.escamilla@gmail.com</t>
  </si>
  <si>
    <t>CARRERA 11 NO. 112 17 Apt102 - ZONA NORTE - BOGOTA</t>
  </si>
  <si>
    <t>GABRIEL VERA MOGOLLON</t>
  </si>
  <si>
    <t>padres36@hotmail.com</t>
  </si>
  <si>
    <t>CrA 80  146 07 LOTE10 CASA 5</t>
  </si>
  <si>
    <t>MAURICIO ORTIZ GONZALEZ</t>
  </si>
  <si>
    <t>JUMAJU1017@GMAIL.COM</t>
  </si>
  <si>
    <t xml:space="preserve">Calle 48 2 39 este - TUNJA  </t>
  </si>
  <si>
    <t>GABRIEL ALFONSO SALAZAR SADDY</t>
  </si>
  <si>
    <t>gabrielalfonsosalazar@gmail.com</t>
  </si>
  <si>
    <t>Calle 120 No. 11B-37, Apartamento 505 - ZONA NORTE - BOGOTA</t>
  </si>
  <si>
    <t>LILIANA CAROLINA AFRICANO CASTILLO</t>
  </si>
  <si>
    <t>carolinafricano@gmail.com</t>
  </si>
  <si>
    <t>KRA 27 No. 45A-82</t>
  </si>
  <si>
    <t>RAUL ALBERTO SILVA PARRA</t>
  </si>
  <si>
    <t>silvasilva_87@hotmail.com</t>
  </si>
  <si>
    <t>CALLE 95 N° 21 - 53</t>
  </si>
  <si>
    <t>JAVIER DURAN GONZALEZ</t>
  </si>
  <si>
    <t>jdurang88@gmail.com</t>
  </si>
  <si>
    <t>CARRERA 20 NO. 187-90 casa 24 - BOGOTA</t>
  </si>
  <si>
    <t>ALVARO SANDOVAL GOMEZ</t>
  </si>
  <si>
    <t>ALSANGO1@YAHOO.COM</t>
  </si>
  <si>
    <t>CALLE 95 # 8-40 APTO 303 - BOGOTA</t>
  </si>
  <si>
    <t>JOHANNA VICTORIA OSORIO RAMIREZ</t>
  </si>
  <si>
    <t>johanna.osorio@armada.mil.co</t>
  </si>
  <si>
    <t>CL. 119 A N° 50 - 91 APTO. 801 - BOGOTA</t>
  </si>
  <si>
    <t>TEOFILDE DE MARIA FUENTES DE MEDINA</t>
  </si>
  <si>
    <t>MAYITODEMEDINA@GMAIL.COM</t>
  </si>
  <si>
    <t>CALLE 45 # 45 -84 - BOGOTA</t>
  </si>
  <si>
    <t>JOSE OCTAVIO RUIZ REYES</t>
  </si>
  <si>
    <t>jose.ruiz538@casur.gov.co</t>
  </si>
  <si>
    <t>DIAGONAL 128C  20   2CLL 127B 13A-27  - NORTE -BOGOTA</t>
  </si>
  <si>
    <t>VICTOR AUGUSTO MUÑOZ</t>
  </si>
  <si>
    <t>VICTORMUNUZ@TECNOQUIMICAS.COM</t>
  </si>
  <si>
    <t>CARRERA 12 NO. 123-50 MULTICENTRO  APTO 2016</t>
  </si>
  <si>
    <t>LUIS FAVIO GARCIA CHAVES</t>
  </si>
  <si>
    <t>luisfaga47@hotmail.com</t>
  </si>
  <si>
    <t>CALLE 123 NO. 16-56 APT. 302 - ZONA NORTE - BOGOTA</t>
  </si>
  <si>
    <t>JAIRO ALEXIS ROMERO SANCHEZ</t>
  </si>
  <si>
    <t>jairo_alex90@hotmail.com</t>
  </si>
  <si>
    <t>CL. 53 SUR #31-88</t>
  </si>
  <si>
    <t>HECTOR HERMOGENES GUERRERO ORTEGA</t>
  </si>
  <si>
    <t>hectorhguerreroo@hotmail.es</t>
  </si>
  <si>
    <t>CARRERA 36 No. 25B-69, BARRIO EL RECUERDO - ZONA OCCIDENTE - BOGOTA</t>
  </si>
  <si>
    <t>SPECTRUM GROUP COLOMBIA SAS</t>
  </si>
  <si>
    <t>farroyave@spctinternaticonal.com.co</t>
  </si>
  <si>
    <t>CL 6 18 97 IN 2302 ED MASSAI</t>
  </si>
  <si>
    <t>JUAN CARLOS ROCHA BOTERO</t>
  </si>
  <si>
    <t>juancrocha@hotmail.com</t>
  </si>
  <si>
    <t>CALLE 152 NO. 58 - 50 INT 3 APTO 302 - BOGOTA</t>
  </si>
  <si>
    <t>JOSE MISAEL GORDON MALAGON</t>
  </si>
  <si>
    <t>josegordonmalagon@gmail.com</t>
  </si>
  <si>
    <t>HERNANDO ANDRES CELY MANCIPE</t>
  </si>
  <si>
    <t>hacem171@gmail.com</t>
  </si>
  <si>
    <t>CALLE 106 #7-25 CANTON NORTE</t>
  </si>
  <si>
    <t>JAIME ALBERTO CASTILLO CARDONA</t>
  </si>
  <si>
    <t>jacc1025@yahoo.es</t>
  </si>
  <si>
    <t>CRA 21 N° 118 - 80 APTO 402</t>
  </si>
  <si>
    <t>ROBIN FERNANDO CAMACHO ROSAS</t>
  </si>
  <si>
    <t>robin.camacho@correo.policia.gov.co</t>
  </si>
  <si>
    <t>CALLE 29 CRA 4C 62 - TUNJA</t>
  </si>
  <si>
    <t>LUZ MARINA RINCON GARCIA</t>
  </si>
  <si>
    <t>luzmarinarincong@hotmail.com</t>
  </si>
  <si>
    <t>ESCUELA NAVAL DE CADETES ALMIRANTE PADILLA - CARTAGENA</t>
  </si>
  <si>
    <t>FRANCISCO JOSE MEDINA SUAREZ</t>
  </si>
  <si>
    <t>PACHITOMED@YAHOO.COM</t>
  </si>
  <si>
    <t xml:space="preserve">Calle 144 # 9-54 Al. 608 - BOGOTA  </t>
  </si>
  <si>
    <t>LAURA ALEJANDRA VELASQUEZ GUECHA</t>
  </si>
  <si>
    <t>laura.velasquez@armada.mil.co</t>
  </si>
  <si>
    <t>CALLE 29 SUR # 11 - 20 - SOGAMOSO</t>
  </si>
  <si>
    <t>PAULINA RODRIGUEZ VDA DE TORRES</t>
  </si>
  <si>
    <t>jaimerodriguezgrandas@gmail.com</t>
  </si>
  <si>
    <t xml:space="preserve">Calle 104 #21-51 apto 302 - BOGOTA  </t>
  </si>
  <si>
    <t>ALVARO JACINTO CORREA GAMBA</t>
  </si>
  <si>
    <t>alvarocorreagamba@hotmail.com</t>
  </si>
  <si>
    <t>Calle 74 # 11-45 Apto 402 - ZONA ORIENTE - BOGOTA</t>
  </si>
  <si>
    <t>MARCOS SIMON VERA ROJAS</t>
  </si>
  <si>
    <t>msvresg5@yahoo.com</t>
  </si>
  <si>
    <t>CALLE 151 # 13 A  - 50 TPRRE 4 APTO 1304 - ZONA NORTE - BOGOTA</t>
  </si>
  <si>
    <t>CARLOS ANDRES ANGEL MEDINA</t>
  </si>
  <si>
    <t>carlosandresangel@gmail.com</t>
  </si>
  <si>
    <t>Calle 100 # 49-97 - ZONA OCCIDENTE</t>
  </si>
  <si>
    <t>HUGO EDUARDO ROJAS DIAZ</t>
  </si>
  <si>
    <t>hugor46@yahoo.com</t>
  </si>
  <si>
    <t xml:space="preserve">Carrera 7A # 106-75 Apto 401 - BOGOTA  </t>
  </si>
  <si>
    <t>RAFAEL ALFREDO COLON TORRES</t>
  </si>
  <si>
    <t>neboneros@hotmail.com</t>
  </si>
  <si>
    <t>CARRERA 1 ESTE # 18 - 52 INT 3 - CHIA</t>
  </si>
  <si>
    <t>MARINA BECERRA DE ESCALANTE</t>
  </si>
  <si>
    <t>ESCALANTEMARIAEDDA@GMAIL.COM</t>
  </si>
  <si>
    <t xml:space="preserve">Carrera 18 A No. 44 - 35 - BOGOTA  </t>
  </si>
  <si>
    <t>SAMUEL GARCIA MORENO</t>
  </si>
  <si>
    <t>SAMUELGARCIA33@HOTMAIL.COM</t>
  </si>
  <si>
    <t>CALLE 23C NO 80B - 21 - ZONA OCCIDENTE -  BOGOTA</t>
  </si>
  <si>
    <t>FABIO CESAR VALDERRAMA DIAZ</t>
  </si>
  <si>
    <t>fabiocvalderrama@yahoo.com</t>
  </si>
  <si>
    <t>CALLE 116 NO. 21   06 - BOGOTA</t>
  </si>
  <si>
    <t>MAURICIO HERRERA GUERRERO</t>
  </si>
  <si>
    <t>fiero-mao@hotmail.com</t>
  </si>
  <si>
    <t>37 CLUEHSTONE RANCO SANTA MARGARITA CALIFORNIA 92688</t>
  </si>
  <si>
    <t>LUIS FERNANDO CAMARGO CHAPARRO</t>
  </si>
  <si>
    <t>LUISFC6912@GMAIL.COM</t>
  </si>
  <si>
    <t>CALLE 37 SUR NO. 9 - 235 CONDOMINIO QUINTAS DE ASTORCA - SOGAMOSO</t>
  </si>
  <si>
    <t>GERMAN FIERRO GAITAN</t>
  </si>
  <si>
    <t>KIKEFIERRO15@GMAIL.COM</t>
  </si>
  <si>
    <t>CARRERA 7D NO. 145 - 51 Apt 1003 EDIF MIRAD - BOGOTA</t>
  </si>
  <si>
    <t>MARIO HERNANDO TORRES MERCHAN</t>
  </si>
  <si>
    <t>TORMER20@HOTMAIL.COM</t>
  </si>
  <si>
    <t>CARRERA 130-50 TORRE 5 APTO 501 - BOGOTA</t>
  </si>
  <si>
    <t>FRANCISCO HUMBERTO NOVA VILLANUEVA</t>
  </si>
  <si>
    <t>hunofravi2009@gmail.com</t>
  </si>
  <si>
    <t>CL. 8A # 2 - 34 MOSQUERA</t>
  </si>
  <si>
    <t>GERMAN DAVID CASTRO DIAZ</t>
  </si>
  <si>
    <t>gdcdesg5@yahoo.com</t>
  </si>
  <si>
    <t>CARRERA 65  67A 28 B  JJ VARGAS</t>
  </si>
  <si>
    <t>GUSTAVO RODRIGUEZ MACHUCA</t>
  </si>
  <si>
    <t>gusroma@hotmail.com</t>
  </si>
  <si>
    <t xml:space="preserve">Calle 15 # 44C-09 Apt 603 Edificio altos del trapiche - VILLAVICENCIO  </t>
  </si>
  <si>
    <t>SERGIO ALBERTO TAFUR GARCIA</t>
  </si>
  <si>
    <t>sealtaga@gmail.com</t>
  </si>
  <si>
    <t xml:space="preserve">Casa de Comando Fuerte Militar Larandia - CAQUETA  </t>
  </si>
  <si>
    <t>ALBERTO RODRIGUEZ CAMARGO</t>
  </si>
  <si>
    <t>camargorodriguezal@gmail.com</t>
  </si>
  <si>
    <t>Calle 134 A No 55 A 46 Apto 701 - ZONA OCCIDENTE - BOGOTA</t>
  </si>
  <si>
    <t>JHON ARLEX MEJIA MANRIQUE</t>
  </si>
  <si>
    <t>jhomm74@hotmail.com</t>
  </si>
  <si>
    <t>CARRERA 10 N° 24 B-50VILLA PANORAMA</t>
  </si>
  <si>
    <t xml:space="preserve">COOPERATIVA DE AHORRO Y CREDITO DE SANTANDER LIMITADA </t>
  </si>
  <si>
    <t>CALLE 35 NO. 16 - 43 - SANTANDER</t>
  </si>
  <si>
    <t>MARIA FERNANDA BARRERA PARDO</t>
  </si>
  <si>
    <t>MARIAFBARRERA@HOTMAIL.COM</t>
  </si>
  <si>
    <t xml:space="preserve">Km 7 condominio sikasué casa 41 - LA CALERA  </t>
  </si>
  <si>
    <t>GLADYS HENAO DE ORTIZ</t>
  </si>
  <si>
    <t>DIANAORTIZHENAO34@GMAIL.COM</t>
  </si>
  <si>
    <t>CALLE 22 A N° 50 - 49 APTO 504 T: 1</t>
  </si>
  <si>
    <t>HUGO ALEJANDRO ROJAS RUEDA</t>
  </si>
  <si>
    <t>HUGROJA@HOTMAIL.COM</t>
  </si>
  <si>
    <t>CALLE 146 NO. 19 - 14 ap 210 - BOGOTA</t>
  </si>
  <si>
    <t>HECTOR RAUL ROJAS ARBOLEDA</t>
  </si>
  <si>
    <t>GATOUH60@GMAIL.COM / gatouh60@hotmail.com</t>
  </si>
  <si>
    <t>CARRERA 72a NO. 23f - 36 int 6 apto 902 - BOGOTA</t>
  </si>
  <si>
    <t>FRANCISCO JOSE ARISTIZABAL TAMAYO</t>
  </si>
  <si>
    <t>criminaristi@hotmail.com</t>
  </si>
  <si>
    <t xml:space="preserve">Calle 35 No. 4 A- 34 Rincón de la Frontera, Mesopotamia, Tunja   </t>
  </si>
  <si>
    <t>MIGUEL ANTONIO CARO NIÑO</t>
  </si>
  <si>
    <t>miguel.caro@capimar.com</t>
  </si>
  <si>
    <t xml:space="preserve">CARRERA 115 # 16B-114 URB CAÑAS GORDAS - CALI  </t>
  </si>
  <si>
    <t>HERNANDO HERRERA AREVALO</t>
  </si>
  <si>
    <t>hernandoherrera@hotmail.com</t>
  </si>
  <si>
    <t>Cl155  9 45 Apt 803 TORRE 3</t>
  </si>
  <si>
    <t>MANUEL GERARDO MONTES CADENA</t>
  </si>
  <si>
    <t>montes3335@hotmail.com</t>
  </si>
  <si>
    <t>DIAGONAL 107 N°6 - 90 BOGOTA</t>
  </si>
  <si>
    <t>JOSE ALEJANDRO BELTRAN GOMEZ</t>
  </si>
  <si>
    <t xml:space="preserve">donjobelgo@hotmail.com  </t>
  </si>
  <si>
    <t xml:space="preserve">Calle 127A No. 14-11 Apto. 504 - BOGOTA  </t>
  </si>
  <si>
    <t>MAURICIO JANNER OCHOA RUIZ</t>
  </si>
  <si>
    <t>mauricioochoaR7@GMAIL.COM</t>
  </si>
  <si>
    <t>KM 1 VIA PAIPA TUNJA - PAIPA</t>
  </si>
  <si>
    <t>ANGELA MARIA VALDERRAMA PINZON</t>
  </si>
  <si>
    <t>angelamvalderramap@gmail.com</t>
  </si>
  <si>
    <t xml:space="preserve">Calle 65a #7-28 ap 908 - BOGOTA  </t>
  </si>
  <si>
    <t>LUIS ALFONSO NOVOA DIAZ</t>
  </si>
  <si>
    <t>luis.novoa891@casur.gov.co</t>
  </si>
  <si>
    <t>CARRERA 7 A # 146 - 23</t>
  </si>
  <si>
    <t>RAUL RODRIGUEZ SANDOVAL</t>
  </si>
  <si>
    <t>RAULR554@YAHOO.COM</t>
  </si>
  <si>
    <t>CALLE 145 7-A40</t>
  </si>
  <si>
    <t>JORGE ENRIQUE SUAREZ MEDINA</t>
  </si>
  <si>
    <t>JMSUAREZ2004@YAHOO.COM</t>
  </si>
  <si>
    <t>CALLE 127C # 46-20 - BOGOTá</t>
  </si>
  <si>
    <t>GERARDO RODRIGUEZ PUERTO</t>
  </si>
  <si>
    <t>ALBERTO BONILLA TORRES</t>
  </si>
  <si>
    <t>ALBOTOR2004@YAHOO.COM</t>
  </si>
  <si>
    <t xml:space="preserve">Calle 5A No 1b-71 casa 22 conjunto oporto barrio el cairo - CHIA  </t>
  </si>
  <si>
    <t>RICARDO ABUASSI ESPITIA</t>
  </si>
  <si>
    <t>RICARDOABUASSI@GMAIL.COM</t>
  </si>
  <si>
    <t>CRA 47 # 237 - 80 NOGALES CASA 7</t>
  </si>
  <si>
    <t>O NEIL VLADIMIR ACERO PEÑA</t>
  </si>
  <si>
    <t>ovapdogans@gmail.com</t>
  </si>
  <si>
    <t>CARRERA 70 NO. 22 - 75 MZ C,INT 33 APTO 203 - ZONA OCCIDENTE - BOGOTA</t>
  </si>
  <si>
    <t>CARLOS ANTONIO RUBIANO FONSECA</t>
  </si>
  <si>
    <t>C.RUBIANO18@HOTMAIL.COM</t>
  </si>
  <si>
    <t>CARRERA 11 118-56 APTO 202 EDIFICIO WALKAMARY</t>
  </si>
  <si>
    <t>PEDRO RAFAEL MORENO GIL</t>
  </si>
  <si>
    <t>PERAMOGI@HOTMAIL.COM</t>
  </si>
  <si>
    <t xml:space="preserve">Carrera 7B#147-51 Aparatamento 303 - BOGOTA  </t>
  </si>
  <si>
    <t>MERCEDES CONCEPCION LOPEZ ROBLES</t>
  </si>
  <si>
    <t>mercedlpezrobles@yahoo.es</t>
  </si>
  <si>
    <t>CL 23 17 A 42 BRR LAS QUINTAS</t>
  </si>
  <si>
    <t>COOPERATIVA MULTIACTIVA DE LA EDUCACION NACIONAL</t>
  </si>
  <si>
    <t>gerencia@coopemen.com</t>
  </si>
  <si>
    <t>CR 58 44A 41</t>
  </si>
  <si>
    <t>CESAR ANDRES BARRERA PEREZ</t>
  </si>
  <si>
    <t>barrera.andress@hotmail.com</t>
  </si>
  <si>
    <t>CALLE 18 N° 14 - 44 - DUITAMA</t>
  </si>
  <si>
    <t>HUGO RAMIREZ CHAPARRO</t>
  </si>
  <si>
    <t>HUGORAMI_4@HOTMAIL.COM</t>
  </si>
  <si>
    <t>CRA 3 N° 22 - 010 CASA 1 PINARES DE CHIA SECTOR PUERTA DEL SOL - CHIA</t>
  </si>
  <si>
    <t>CLUB MILITAR</t>
  </si>
  <si>
    <t>sistemas@clubmilitar.gov.co</t>
  </si>
  <si>
    <t>CRA 50 NO. 15-80</t>
  </si>
  <si>
    <t>IMAGROUP COLOMBIA SAS</t>
  </si>
  <si>
    <t>Calle 42 B 63 C 20</t>
  </si>
  <si>
    <t>CL 42 B 63 C 20</t>
  </si>
  <si>
    <t>ANGELA PAOLA GONZALEZ PATIÑO</t>
  </si>
  <si>
    <t>paolagonzalez272@gmail.com</t>
  </si>
  <si>
    <t>CRA 23 134A 51</t>
  </si>
  <si>
    <t>ECNA ZULY FONSECA AYALA</t>
  </si>
  <si>
    <t>AYATEC@OUTLOOK.ES</t>
  </si>
  <si>
    <t xml:space="preserve">CALLE 24 No 19 61 </t>
  </si>
  <si>
    <t>IGLESIA CRISTIANA LA CASA, CENTRO DE ADORACION PARA TODAS LAS NACIONES</t>
  </si>
  <si>
    <t>contabilidad@lacasa.org.co</t>
  </si>
  <si>
    <t>CR 29B 71C 26</t>
  </si>
  <si>
    <t>ASOCIACION DE ESTACIONES DE SERVICIO DEL ORIENTE COLOMBIANO</t>
  </si>
  <si>
    <t>asociacionedsorientecolombiano@gmail.com</t>
  </si>
  <si>
    <t>CR 6 A 13 17 BRR CASTILLOS DE ORIENTE</t>
  </si>
  <si>
    <t>OMAIRA CECILIA RODRIGUEZ SEPULVEDA</t>
  </si>
  <si>
    <t>omacecir@gmail.com</t>
  </si>
  <si>
    <t>CR 5 18 11 AP 201</t>
  </si>
  <si>
    <t>GRUPO JUPAWISS SAS</t>
  </si>
  <si>
    <t>gerencia@grupojupawiss.com</t>
  </si>
  <si>
    <t xml:space="preserve">CLL 83A 115 20 INT 25 </t>
  </si>
  <si>
    <t>AMPHIBIA INC SAS</t>
  </si>
  <si>
    <t>contabilidad@amphibia.com.co</t>
  </si>
  <si>
    <t>CR 17 A 116 15 OF 301</t>
  </si>
  <si>
    <t>ASOCIACION COLOMBIANA DE OFICIALES EN RETIRO DE LA POLICIA NACIONAL</t>
  </si>
  <si>
    <t>contabilidad@acorpol.com.co</t>
  </si>
  <si>
    <t>CR 14B 106 08</t>
  </si>
  <si>
    <t>LA ASENCION S.A.</t>
  </si>
  <si>
    <t>alix.ramirez@laascension.com</t>
  </si>
  <si>
    <t>Carrera 21 N° 33 - 28</t>
  </si>
  <si>
    <t xml:space="preserve">FUERZA AEREA COLOMBIANA COMANDO FAC </t>
  </si>
  <si>
    <t>maria.sossa@fac.mil.co</t>
  </si>
  <si>
    <t>Cr 50  18   06</t>
  </si>
  <si>
    <t>SIEMPRE COLOMBIA TURISMO DE NATURALEZA Y EDUCACION AMBIENTAL SAS</t>
  </si>
  <si>
    <t>administracion@siemprecolombia.com</t>
  </si>
  <si>
    <t>CL  103 70B 15</t>
  </si>
  <si>
    <t>OMAR HENRY CORTES VELASQUEZ</t>
  </si>
  <si>
    <t>adel.algarin@buzonejercito.mil.co</t>
  </si>
  <si>
    <t xml:space="preserve">AC 24 100 86 </t>
  </si>
  <si>
    <t>FUNDACION PANAMERICAMANA PARA EL DESARROLLO COLOMBIA FUDAP COL</t>
  </si>
  <si>
    <t>cmatallana@fudap.org</t>
  </si>
  <si>
    <t>CRA 21 164 88</t>
  </si>
  <si>
    <t>A D T TURISMO S A S MAYORISTAS CONSOLIDADORES</t>
  </si>
  <si>
    <t>supervisor@adttusrismo.com.co</t>
  </si>
  <si>
    <t>CL 94 15 32 OF 103</t>
  </si>
  <si>
    <t>FEDERACION COLOMBIANA DE CICLISMO</t>
  </si>
  <si>
    <t>presidencia@federacioncolombianadeciclismo.com</t>
  </si>
  <si>
    <t>CR 46 60 80</t>
  </si>
  <si>
    <t>SEGUROS DE VIDA SURAMERICANA SA</t>
  </si>
  <si>
    <t>servicioalcliente@suramericana.com.co</t>
  </si>
  <si>
    <t>CR 63 49 A 31 P 1 ED CAMACOL</t>
  </si>
  <si>
    <t>BANCO DAVIVIENDA SA</t>
  </si>
  <si>
    <t>www.davivienda.com</t>
  </si>
  <si>
    <t>Avenida el Dorado No. 68 C -61 Piso 10</t>
  </si>
  <si>
    <t>BANCO POPULAR</t>
  </si>
  <si>
    <t>www.bancopopular.com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</si>
</sst>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164" formatCode="_-&quot;$&quot;\ * #,##0.0000000000000_-;\-&quot;$&quot;\ * #,##0.0000000000000_-;_-&quot;$&quot;\ * &quot;-&quot;_-;_-@_-"/>
    <numFmt numFmtId="165" formatCode="_-&quot;$&quot;\ * #,##0.00000000000000000_-;\-&quot;$&quot;\ * #,##0.00000000000000000_-;_-&quot;$&quot;\ 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theme="5"/>
      <name val="Arial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41" fontId="4" fillId="0" borderId="1" xfId="1" applyFont="1" applyFill="1" applyBorder="1" applyAlignment="1">
      <alignment vertical="top"/>
    </xf>
    <xf numFmtId="42" fontId="4" fillId="0" borderId="1" xfId="2" applyFont="1" applyFill="1" applyBorder="1" applyAlignment="1">
      <alignment vertical="center" wrapText="1"/>
    </xf>
    <xf numFmtId="0" fontId="4" fillId="0" borderId="0" xfId="0" applyFont="1" applyFill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41" fontId="4" fillId="0" borderId="1" xfId="1" applyFont="1" applyBorder="1" applyAlignment="1">
      <alignment vertical="top"/>
    </xf>
    <xf numFmtId="42" fontId="4" fillId="0" borderId="1" xfId="2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7" fillId="0" borderId="1" xfId="3" applyFont="1" applyBorder="1" applyAlignment="1">
      <alignment horizontal="left" vertical="top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right" vertical="top"/>
    </xf>
    <xf numFmtId="42" fontId="3" fillId="0" borderId="0" xfId="2" applyFont="1" applyFill="1" applyAlignment="1">
      <alignment vertical="top"/>
    </xf>
    <xf numFmtId="0" fontId="4" fillId="0" borderId="0" xfId="0" applyFont="1" applyFill="1" applyAlignment="1">
      <alignment horizontal="center" vertical="top" wrapText="1"/>
    </xf>
    <xf numFmtId="41" fontId="4" fillId="0" borderId="0" xfId="0" applyNumberFormat="1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42" fontId="3" fillId="0" borderId="0" xfId="0" applyNumberFormat="1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42" fontId="4" fillId="0" borderId="0" xfId="2" applyFont="1" applyAlignment="1">
      <alignment vertical="top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</cellXfs>
  <cellStyles count="4">
    <cellStyle name="Hipervínculo" xfId="3" builtinId="8"/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ncopopular.com/" TargetMode="External"/><Relationship Id="rId2" Type="http://schemas.openxmlformats.org/officeDocument/2006/relationships/hyperlink" Target="mailto:adel.algarin@buzonejercito.mil.co" TargetMode="External"/><Relationship Id="rId1" Type="http://schemas.openxmlformats.org/officeDocument/2006/relationships/hyperlink" Target="mailto:maria.sossa@fac.mil.co" TargetMode="External"/><Relationship Id="rId4" Type="http://schemas.openxmlformats.org/officeDocument/2006/relationships/hyperlink" Target="mailto:financierapaipa@clubmilitar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FA20-BF21-45C3-8754-D2CE25DFBE12}">
  <dimension ref="A1:L845"/>
  <sheetViews>
    <sheetView tabSelected="1" workbookViewId="0">
      <selection activeCell="B40" sqref="B40"/>
    </sheetView>
  </sheetViews>
  <sheetFormatPr baseColWidth="10" defaultRowHeight="11.25" x14ac:dyDescent="0.25"/>
  <cols>
    <col min="1" max="1" width="11.42578125" style="2"/>
    <col min="2" max="2" width="9.140625" style="2" customWidth="1"/>
    <col min="3" max="3" width="49.7109375" style="2" customWidth="1"/>
    <col min="4" max="4" width="38.42578125" style="26" customWidth="1"/>
    <col min="5" max="5" width="12.28515625" style="27" customWidth="1"/>
    <col min="6" max="6" width="83.42578125" style="26" customWidth="1"/>
    <col min="7" max="8" width="11.42578125" style="2"/>
    <col min="9" max="9" width="15.85546875" style="2" bestFit="1" customWidth="1"/>
    <col min="10" max="10" width="13.85546875" style="2" bestFit="1" customWidth="1"/>
    <col min="11" max="11" width="18.85546875" style="2" customWidth="1"/>
    <col min="12" max="12" width="15.5703125" style="2" customWidth="1"/>
    <col min="13" max="257" width="11.42578125" style="2"/>
    <col min="258" max="258" width="13.7109375" style="2" customWidth="1"/>
    <col min="259" max="259" width="49.7109375" style="2" customWidth="1"/>
    <col min="260" max="260" width="38.42578125" style="2" customWidth="1"/>
    <col min="261" max="261" width="12.28515625" style="2" customWidth="1"/>
    <col min="262" max="262" width="83.42578125" style="2" customWidth="1"/>
    <col min="263" max="264" width="11.42578125" style="2"/>
    <col min="265" max="265" width="15.85546875" style="2" bestFit="1" customWidth="1"/>
    <col min="266" max="266" width="13.85546875" style="2" bestFit="1" customWidth="1"/>
    <col min="267" max="267" width="18.85546875" style="2" customWidth="1"/>
    <col min="268" max="268" width="15.5703125" style="2" customWidth="1"/>
    <col min="269" max="513" width="11.42578125" style="2"/>
    <col min="514" max="514" width="13.7109375" style="2" customWidth="1"/>
    <col min="515" max="515" width="49.7109375" style="2" customWidth="1"/>
    <col min="516" max="516" width="38.42578125" style="2" customWidth="1"/>
    <col min="517" max="517" width="12.28515625" style="2" customWidth="1"/>
    <col min="518" max="518" width="83.42578125" style="2" customWidth="1"/>
    <col min="519" max="520" width="11.42578125" style="2"/>
    <col min="521" max="521" width="15.85546875" style="2" bestFit="1" customWidth="1"/>
    <col min="522" max="522" width="13.85546875" style="2" bestFit="1" customWidth="1"/>
    <col min="523" max="523" width="18.85546875" style="2" customWidth="1"/>
    <col min="524" max="524" width="15.5703125" style="2" customWidth="1"/>
    <col min="525" max="769" width="11.42578125" style="2"/>
    <col min="770" max="770" width="13.7109375" style="2" customWidth="1"/>
    <col min="771" max="771" width="49.7109375" style="2" customWidth="1"/>
    <col min="772" max="772" width="38.42578125" style="2" customWidth="1"/>
    <col min="773" max="773" width="12.28515625" style="2" customWidth="1"/>
    <col min="774" max="774" width="83.42578125" style="2" customWidth="1"/>
    <col min="775" max="776" width="11.42578125" style="2"/>
    <col min="777" max="777" width="15.85546875" style="2" bestFit="1" customWidth="1"/>
    <col min="778" max="778" width="13.85546875" style="2" bestFit="1" customWidth="1"/>
    <col min="779" max="779" width="18.85546875" style="2" customWidth="1"/>
    <col min="780" max="780" width="15.5703125" style="2" customWidth="1"/>
    <col min="781" max="1025" width="11.42578125" style="2"/>
    <col min="1026" max="1026" width="13.7109375" style="2" customWidth="1"/>
    <col min="1027" max="1027" width="49.7109375" style="2" customWidth="1"/>
    <col min="1028" max="1028" width="38.42578125" style="2" customWidth="1"/>
    <col min="1029" max="1029" width="12.28515625" style="2" customWidth="1"/>
    <col min="1030" max="1030" width="83.42578125" style="2" customWidth="1"/>
    <col min="1031" max="1032" width="11.42578125" style="2"/>
    <col min="1033" max="1033" width="15.85546875" style="2" bestFit="1" customWidth="1"/>
    <col min="1034" max="1034" width="13.85546875" style="2" bestFit="1" customWidth="1"/>
    <col min="1035" max="1035" width="18.85546875" style="2" customWidth="1"/>
    <col min="1036" max="1036" width="15.5703125" style="2" customWidth="1"/>
    <col min="1037" max="1281" width="11.42578125" style="2"/>
    <col min="1282" max="1282" width="13.7109375" style="2" customWidth="1"/>
    <col min="1283" max="1283" width="49.7109375" style="2" customWidth="1"/>
    <col min="1284" max="1284" width="38.42578125" style="2" customWidth="1"/>
    <col min="1285" max="1285" width="12.28515625" style="2" customWidth="1"/>
    <col min="1286" max="1286" width="83.42578125" style="2" customWidth="1"/>
    <col min="1287" max="1288" width="11.42578125" style="2"/>
    <col min="1289" max="1289" width="15.85546875" style="2" bestFit="1" customWidth="1"/>
    <col min="1290" max="1290" width="13.85546875" style="2" bestFit="1" customWidth="1"/>
    <col min="1291" max="1291" width="18.85546875" style="2" customWidth="1"/>
    <col min="1292" max="1292" width="15.5703125" style="2" customWidth="1"/>
    <col min="1293" max="1537" width="11.42578125" style="2"/>
    <col min="1538" max="1538" width="13.7109375" style="2" customWidth="1"/>
    <col min="1539" max="1539" width="49.7109375" style="2" customWidth="1"/>
    <col min="1540" max="1540" width="38.42578125" style="2" customWidth="1"/>
    <col min="1541" max="1541" width="12.28515625" style="2" customWidth="1"/>
    <col min="1542" max="1542" width="83.42578125" style="2" customWidth="1"/>
    <col min="1543" max="1544" width="11.42578125" style="2"/>
    <col min="1545" max="1545" width="15.85546875" style="2" bestFit="1" customWidth="1"/>
    <col min="1546" max="1546" width="13.85546875" style="2" bestFit="1" customWidth="1"/>
    <col min="1547" max="1547" width="18.85546875" style="2" customWidth="1"/>
    <col min="1548" max="1548" width="15.5703125" style="2" customWidth="1"/>
    <col min="1549" max="1793" width="11.42578125" style="2"/>
    <col min="1794" max="1794" width="13.7109375" style="2" customWidth="1"/>
    <col min="1795" max="1795" width="49.7109375" style="2" customWidth="1"/>
    <col min="1796" max="1796" width="38.42578125" style="2" customWidth="1"/>
    <col min="1797" max="1797" width="12.28515625" style="2" customWidth="1"/>
    <col min="1798" max="1798" width="83.42578125" style="2" customWidth="1"/>
    <col min="1799" max="1800" width="11.42578125" style="2"/>
    <col min="1801" max="1801" width="15.85546875" style="2" bestFit="1" customWidth="1"/>
    <col min="1802" max="1802" width="13.85546875" style="2" bestFit="1" customWidth="1"/>
    <col min="1803" max="1803" width="18.85546875" style="2" customWidth="1"/>
    <col min="1804" max="1804" width="15.5703125" style="2" customWidth="1"/>
    <col min="1805" max="2049" width="11.42578125" style="2"/>
    <col min="2050" max="2050" width="13.7109375" style="2" customWidth="1"/>
    <col min="2051" max="2051" width="49.7109375" style="2" customWidth="1"/>
    <col min="2052" max="2052" width="38.42578125" style="2" customWidth="1"/>
    <col min="2053" max="2053" width="12.28515625" style="2" customWidth="1"/>
    <col min="2054" max="2054" width="83.42578125" style="2" customWidth="1"/>
    <col min="2055" max="2056" width="11.42578125" style="2"/>
    <col min="2057" max="2057" width="15.85546875" style="2" bestFit="1" customWidth="1"/>
    <col min="2058" max="2058" width="13.85546875" style="2" bestFit="1" customWidth="1"/>
    <col min="2059" max="2059" width="18.85546875" style="2" customWidth="1"/>
    <col min="2060" max="2060" width="15.5703125" style="2" customWidth="1"/>
    <col min="2061" max="2305" width="11.42578125" style="2"/>
    <col min="2306" max="2306" width="13.7109375" style="2" customWidth="1"/>
    <col min="2307" max="2307" width="49.7109375" style="2" customWidth="1"/>
    <col min="2308" max="2308" width="38.42578125" style="2" customWidth="1"/>
    <col min="2309" max="2309" width="12.28515625" style="2" customWidth="1"/>
    <col min="2310" max="2310" width="83.42578125" style="2" customWidth="1"/>
    <col min="2311" max="2312" width="11.42578125" style="2"/>
    <col min="2313" max="2313" width="15.85546875" style="2" bestFit="1" customWidth="1"/>
    <col min="2314" max="2314" width="13.85546875" style="2" bestFit="1" customWidth="1"/>
    <col min="2315" max="2315" width="18.85546875" style="2" customWidth="1"/>
    <col min="2316" max="2316" width="15.5703125" style="2" customWidth="1"/>
    <col min="2317" max="2561" width="11.42578125" style="2"/>
    <col min="2562" max="2562" width="13.7109375" style="2" customWidth="1"/>
    <col min="2563" max="2563" width="49.7109375" style="2" customWidth="1"/>
    <col min="2564" max="2564" width="38.42578125" style="2" customWidth="1"/>
    <col min="2565" max="2565" width="12.28515625" style="2" customWidth="1"/>
    <col min="2566" max="2566" width="83.42578125" style="2" customWidth="1"/>
    <col min="2567" max="2568" width="11.42578125" style="2"/>
    <col min="2569" max="2569" width="15.85546875" style="2" bestFit="1" customWidth="1"/>
    <col min="2570" max="2570" width="13.85546875" style="2" bestFit="1" customWidth="1"/>
    <col min="2571" max="2571" width="18.85546875" style="2" customWidth="1"/>
    <col min="2572" max="2572" width="15.5703125" style="2" customWidth="1"/>
    <col min="2573" max="2817" width="11.42578125" style="2"/>
    <col min="2818" max="2818" width="13.7109375" style="2" customWidth="1"/>
    <col min="2819" max="2819" width="49.7109375" style="2" customWidth="1"/>
    <col min="2820" max="2820" width="38.42578125" style="2" customWidth="1"/>
    <col min="2821" max="2821" width="12.28515625" style="2" customWidth="1"/>
    <col min="2822" max="2822" width="83.42578125" style="2" customWidth="1"/>
    <col min="2823" max="2824" width="11.42578125" style="2"/>
    <col min="2825" max="2825" width="15.85546875" style="2" bestFit="1" customWidth="1"/>
    <col min="2826" max="2826" width="13.85546875" style="2" bestFit="1" customWidth="1"/>
    <col min="2827" max="2827" width="18.85546875" style="2" customWidth="1"/>
    <col min="2828" max="2828" width="15.5703125" style="2" customWidth="1"/>
    <col min="2829" max="3073" width="11.42578125" style="2"/>
    <col min="3074" max="3074" width="13.7109375" style="2" customWidth="1"/>
    <col min="3075" max="3075" width="49.7109375" style="2" customWidth="1"/>
    <col min="3076" max="3076" width="38.42578125" style="2" customWidth="1"/>
    <col min="3077" max="3077" width="12.28515625" style="2" customWidth="1"/>
    <col min="3078" max="3078" width="83.42578125" style="2" customWidth="1"/>
    <col min="3079" max="3080" width="11.42578125" style="2"/>
    <col min="3081" max="3081" width="15.85546875" style="2" bestFit="1" customWidth="1"/>
    <col min="3082" max="3082" width="13.85546875" style="2" bestFit="1" customWidth="1"/>
    <col min="3083" max="3083" width="18.85546875" style="2" customWidth="1"/>
    <col min="3084" max="3084" width="15.5703125" style="2" customWidth="1"/>
    <col min="3085" max="3329" width="11.42578125" style="2"/>
    <col min="3330" max="3330" width="13.7109375" style="2" customWidth="1"/>
    <col min="3331" max="3331" width="49.7109375" style="2" customWidth="1"/>
    <col min="3332" max="3332" width="38.42578125" style="2" customWidth="1"/>
    <col min="3333" max="3333" width="12.28515625" style="2" customWidth="1"/>
    <col min="3334" max="3334" width="83.42578125" style="2" customWidth="1"/>
    <col min="3335" max="3336" width="11.42578125" style="2"/>
    <col min="3337" max="3337" width="15.85546875" style="2" bestFit="1" customWidth="1"/>
    <col min="3338" max="3338" width="13.85546875" style="2" bestFit="1" customWidth="1"/>
    <col min="3339" max="3339" width="18.85546875" style="2" customWidth="1"/>
    <col min="3340" max="3340" width="15.5703125" style="2" customWidth="1"/>
    <col min="3341" max="3585" width="11.42578125" style="2"/>
    <col min="3586" max="3586" width="13.7109375" style="2" customWidth="1"/>
    <col min="3587" max="3587" width="49.7109375" style="2" customWidth="1"/>
    <col min="3588" max="3588" width="38.42578125" style="2" customWidth="1"/>
    <col min="3589" max="3589" width="12.28515625" style="2" customWidth="1"/>
    <col min="3590" max="3590" width="83.42578125" style="2" customWidth="1"/>
    <col min="3591" max="3592" width="11.42578125" style="2"/>
    <col min="3593" max="3593" width="15.85546875" style="2" bestFit="1" customWidth="1"/>
    <col min="3594" max="3594" width="13.85546875" style="2" bestFit="1" customWidth="1"/>
    <col min="3595" max="3595" width="18.85546875" style="2" customWidth="1"/>
    <col min="3596" max="3596" width="15.5703125" style="2" customWidth="1"/>
    <col min="3597" max="3841" width="11.42578125" style="2"/>
    <col min="3842" max="3842" width="13.7109375" style="2" customWidth="1"/>
    <col min="3843" max="3843" width="49.7109375" style="2" customWidth="1"/>
    <col min="3844" max="3844" width="38.42578125" style="2" customWidth="1"/>
    <col min="3845" max="3845" width="12.28515625" style="2" customWidth="1"/>
    <col min="3846" max="3846" width="83.42578125" style="2" customWidth="1"/>
    <col min="3847" max="3848" width="11.42578125" style="2"/>
    <col min="3849" max="3849" width="15.85546875" style="2" bestFit="1" customWidth="1"/>
    <col min="3850" max="3850" width="13.85546875" style="2" bestFit="1" customWidth="1"/>
    <col min="3851" max="3851" width="18.85546875" style="2" customWidth="1"/>
    <col min="3852" max="3852" width="15.5703125" style="2" customWidth="1"/>
    <col min="3853" max="4097" width="11.42578125" style="2"/>
    <col min="4098" max="4098" width="13.7109375" style="2" customWidth="1"/>
    <col min="4099" max="4099" width="49.7109375" style="2" customWidth="1"/>
    <col min="4100" max="4100" width="38.42578125" style="2" customWidth="1"/>
    <col min="4101" max="4101" width="12.28515625" style="2" customWidth="1"/>
    <col min="4102" max="4102" width="83.42578125" style="2" customWidth="1"/>
    <col min="4103" max="4104" width="11.42578125" style="2"/>
    <col min="4105" max="4105" width="15.85546875" style="2" bestFit="1" customWidth="1"/>
    <col min="4106" max="4106" width="13.85546875" style="2" bestFit="1" customWidth="1"/>
    <col min="4107" max="4107" width="18.85546875" style="2" customWidth="1"/>
    <col min="4108" max="4108" width="15.5703125" style="2" customWidth="1"/>
    <col min="4109" max="4353" width="11.42578125" style="2"/>
    <col min="4354" max="4354" width="13.7109375" style="2" customWidth="1"/>
    <col min="4355" max="4355" width="49.7109375" style="2" customWidth="1"/>
    <col min="4356" max="4356" width="38.42578125" style="2" customWidth="1"/>
    <col min="4357" max="4357" width="12.28515625" style="2" customWidth="1"/>
    <col min="4358" max="4358" width="83.42578125" style="2" customWidth="1"/>
    <col min="4359" max="4360" width="11.42578125" style="2"/>
    <col min="4361" max="4361" width="15.85546875" style="2" bestFit="1" customWidth="1"/>
    <col min="4362" max="4362" width="13.85546875" style="2" bestFit="1" customWidth="1"/>
    <col min="4363" max="4363" width="18.85546875" style="2" customWidth="1"/>
    <col min="4364" max="4364" width="15.5703125" style="2" customWidth="1"/>
    <col min="4365" max="4609" width="11.42578125" style="2"/>
    <col min="4610" max="4610" width="13.7109375" style="2" customWidth="1"/>
    <col min="4611" max="4611" width="49.7109375" style="2" customWidth="1"/>
    <col min="4612" max="4612" width="38.42578125" style="2" customWidth="1"/>
    <col min="4613" max="4613" width="12.28515625" style="2" customWidth="1"/>
    <col min="4614" max="4614" width="83.42578125" style="2" customWidth="1"/>
    <col min="4615" max="4616" width="11.42578125" style="2"/>
    <col min="4617" max="4617" width="15.85546875" style="2" bestFit="1" customWidth="1"/>
    <col min="4618" max="4618" width="13.85546875" style="2" bestFit="1" customWidth="1"/>
    <col min="4619" max="4619" width="18.85546875" style="2" customWidth="1"/>
    <col min="4620" max="4620" width="15.5703125" style="2" customWidth="1"/>
    <col min="4621" max="4865" width="11.42578125" style="2"/>
    <col min="4866" max="4866" width="13.7109375" style="2" customWidth="1"/>
    <col min="4867" max="4867" width="49.7109375" style="2" customWidth="1"/>
    <col min="4868" max="4868" width="38.42578125" style="2" customWidth="1"/>
    <col min="4869" max="4869" width="12.28515625" style="2" customWidth="1"/>
    <col min="4870" max="4870" width="83.42578125" style="2" customWidth="1"/>
    <col min="4871" max="4872" width="11.42578125" style="2"/>
    <col min="4873" max="4873" width="15.85546875" style="2" bestFit="1" customWidth="1"/>
    <col min="4874" max="4874" width="13.85546875" style="2" bestFit="1" customWidth="1"/>
    <col min="4875" max="4875" width="18.85546875" style="2" customWidth="1"/>
    <col min="4876" max="4876" width="15.5703125" style="2" customWidth="1"/>
    <col min="4877" max="5121" width="11.42578125" style="2"/>
    <col min="5122" max="5122" width="13.7109375" style="2" customWidth="1"/>
    <col min="5123" max="5123" width="49.7109375" style="2" customWidth="1"/>
    <col min="5124" max="5124" width="38.42578125" style="2" customWidth="1"/>
    <col min="5125" max="5125" width="12.28515625" style="2" customWidth="1"/>
    <col min="5126" max="5126" width="83.42578125" style="2" customWidth="1"/>
    <col min="5127" max="5128" width="11.42578125" style="2"/>
    <col min="5129" max="5129" width="15.85546875" style="2" bestFit="1" customWidth="1"/>
    <col min="5130" max="5130" width="13.85546875" style="2" bestFit="1" customWidth="1"/>
    <col min="5131" max="5131" width="18.85546875" style="2" customWidth="1"/>
    <col min="5132" max="5132" width="15.5703125" style="2" customWidth="1"/>
    <col min="5133" max="5377" width="11.42578125" style="2"/>
    <col min="5378" max="5378" width="13.7109375" style="2" customWidth="1"/>
    <col min="5379" max="5379" width="49.7109375" style="2" customWidth="1"/>
    <col min="5380" max="5380" width="38.42578125" style="2" customWidth="1"/>
    <col min="5381" max="5381" width="12.28515625" style="2" customWidth="1"/>
    <col min="5382" max="5382" width="83.42578125" style="2" customWidth="1"/>
    <col min="5383" max="5384" width="11.42578125" style="2"/>
    <col min="5385" max="5385" width="15.85546875" style="2" bestFit="1" customWidth="1"/>
    <col min="5386" max="5386" width="13.85546875" style="2" bestFit="1" customWidth="1"/>
    <col min="5387" max="5387" width="18.85546875" style="2" customWidth="1"/>
    <col min="5388" max="5388" width="15.5703125" style="2" customWidth="1"/>
    <col min="5389" max="5633" width="11.42578125" style="2"/>
    <col min="5634" max="5634" width="13.7109375" style="2" customWidth="1"/>
    <col min="5635" max="5635" width="49.7109375" style="2" customWidth="1"/>
    <col min="5636" max="5636" width="38.42578125" style="2" customWidth="1"/>
    <col min="5637" max="5637" width="12.28515625" style="2" customWidth="1"/>
    <col min="5638" max="5638" width="83.42578125" style="2" customWidth="1"/>
    <col min="5639" max="5640" width="11.42578125" style="2"/>
    <col min="5641" max="5641" width="15.85546875" style="2" bestFit="1" customWidth="1"/>
    <col min="5642" max="5642" width="13.85546875" style="2" bestFit="1" customWidth="1"/>
    <col min="5643" max="5643" width="18.85546875" style="2" customWidth="1"/>
    <col min="5644" max="5644" width="15.5703125" style="2" customWidth="1"/>
    <col min="5645" max="5889" width="11.42578125" style="2"/>
    <col min="5890" max="5890" width="13.7109375" style="2" customWidth="1"/>
    <col min="5891" max="5891" width="49.7109375" style="2" customWidth="1"/>
    <col min="5892" max="5892" width="38.42578125" style="2" customWidth="1"/>
    <col min="5893" max="5893" width="12.28515625" style="2" customWidth="1"/>
    <col min="5894" max="5894" width="83.42578125" style="2" customWidth="1"/>
    <col min="5895" max="5896" width="11.42578125" style="2"/>
    <col min="5897" max="5897" width="15.85546875" style="2" bestFit="1" customWidth="1"/>
    <col min="5898" max="5898" width="13.85546875" style="2" bestFit="1" customWidth="1"/>
    <col min="5899" max="5899" width="18.85546875" style="2" customWidth="1"/>
    <col min="5900" max="5900" width="15.5703125" style="2" customWidth="1"/>
    <col min="5901" max="6145" width="11.42578125" style="2"/>
    <col min="6146" max="6146" width="13.7109375" style="2" customWidth="1"/>
    <col min="6147" max="6147" width="49.7109375" style="2" customWidth="1"/>
    <col min="6148" max="6148" width="38.42578125" style="2" customWidth="1"/>
    <col min="6149" max="6149" width="12.28515625" style="2" customWidth="1"/>
    <col min="6150" max="6150" width="83.42578125" style="2" customWidth="1"/>
    <col min="6151" max="6152" width="11.42578125" style="2"/>
    <col min="6153" max="6153" width="15.85546875" style="2" bestFit="1" customWidth="1"/>
    <col min="6154" max="6154" width="13.85546875" style="2" bestFit="1" customWidth="1"/>
    <col min="6155" max="6155" width="18.85546875" style="2" customWidth="1"/>
    <col min="6156" max="6156" width="15.5703125" style="2" customWidth="1"/>
    <col min="6157" max="6401" width="11.42578125" style="2"/>
    <col min="6402" max="6402" width="13.7109375" style="2" customWidth="1"/>
    <col min="6403" max="6403" width="49.7109375" style="2" customWidth="1"/>
    <col min="6404" max="6404" width="38.42578125" style="2" customWidth="1"/>
    <col min="6405" max="6405" width="12.28515625" style="2" customWidth="1"/>
    <col min="6406" max="6406" width="83.42578125" style="2" customWidth="1"/>
    <col min="6407" max="6408" width="11.42578125" style="2"/>
    <col min="6409" max="6409" width="15.85546875" style="2" bestFit="1" customWidth="1"/>
    <col min="6410" max="6410" width="13.85546875" style="2" bestFit="1" customWidth="1"/>
    <col min="6411" max="6411" width="18.85546875" style="2" customWidth="1"/>
    <col min="6412" max="6412" width="15.5703125" style="2" customWidth="1"/>
    <col min="6413" max="6657" width="11.42578125" style="2"/>
    <col min="6658" max="6658" width="13.7109375" style="2" customWidth="1"/>
    <col min="6659" max="6659" width="49.7109375" style="2" customWidth="1"/>
    <col min="6660" max="6660" width="38.42578125" style="2" customWidth="1"/>
    <col min="6661" max="6661" width="12.28515625" style="2" customWidth="1"/>
    <col min="6662" max="6662" width="83.42578125" style="2" customWidth="1"/>
    <col min="6663" max="6664" width="11.42578125" style="2"/>
    <col min="6665" max="6665" width="15.85546875" style="2" bestFit="1" customWidth="1"/>
    <col min="6666" max="6666" width="13.85546875" style="2" bestFit="1" customWidth="1"/>
    <col min="6667" max="6667" width="18.85546875" style="2" customWidth="1"/>
    <col min="6668" max="6668" width="15.5703125" style="2" customWidth="1"/>
    <col min="6669" max="6913" width="11.42578125" style="2"/>
    <col min="6914" max="6914" width="13.7109375" style="2" customWidth="1"/>
    <col min="6915" max="6915" width="49.7109375" style="2" customWidth="1"/>
    <col min="6916" max="6916" width="38.42578125" style="2" customWidth="1"/>
    <col min="6917" max="6917" width="12.28515625" style="2" customWidth="1"/>
    <col min="6918" max="6918" width="83.42578125" style="2" customWidth="1"/>
    <col min="6919" max="6920" width="11.42578125" style="2"/>
    <col min="6921" max="6921" width="15.85546875" style="2" bestFit="1" customWidth="1"/>
    <col min="6922" max="6922" width="13.85546875" style="2" bestFit="1" customWidth="1"/>
    <col min="6923" max="6923" width="18.85546875" style="2" customWidth="1"/>
    <col min="6924" max="6924" width="15.5703125" style="2" customWidth="1"/>
    <col min="6925" max="7169" width="11.42578125" style="2"/>
    <col min="7170" max="7170" width="13.7109375" style="2" customWidth="1"/>
    <col min="7171" max="7171" width="49.7109375" style="2" customWidth="1"/>
    <col min="7172" max="7172" width="38.42578125" style="2" customWidth="1"/>
    <col min="7173" max="7173" width="12.28515625" style="2" customWidth="1"/>
    <col min="7174" max="7174" width="83.42578125" style="2" customWidth="1"/>
    <col min="7175" max="7176" width="11.42578125" style="2"/>
    <col min="7177" max="7177" width="15.85546875" style="2" bestFit="1" customWidth="1"/>
    <col min="7178" max="7178" width="13.85546875" style="2" bestFit="1" customWidth="1"/>
    <col min="7179" max="7179" width="18.85546875" style="2" customWidth="1"/>
    <col min="7180" max="7180" width="15.5703125" style="2" customWidth="1"/>
    <col min="7181" max="7425" width="11.42578125" style="2"/>
    <col min="7426" max="7426" width="13.7109375" style="2" customWidth="1"/>
    <col min="7427" max="7427" width="49.7109375" style="2" customWidth="1"/>
    <col min="7428" max="7428" width="38.42578125" style="2" customWidth="1"/>
    <col min="7429" max="7429" width="12.28515625" style="2" customWidth="1"/>
    <col min="7430" max="7430" width="83.42578125" style="2" customWidth="1"/>
    <col min="7431" max="7432" width="11.42578125" style="2"/>
    <col min="7433" max="7433" width="15.85546875" style="2" bestFit="1" customWidth="1"/>
    <col min="7434" max="7434" width="13.85546875" style="2" bestFit="1" customWidth="1"/>
    <col min="7435" max="7435" width="18.85546875" style="2" customWidth="1"/>
    <col min="7436" max="7436" width="15.5703125" style="2" customWidth="1"/>
    <col min="7437" max="7681" width="11.42578125" style="2"/>
    <col min="7682" max="7682" width="13.7109375" style="2" customWidth="1"/>
    <col min="7683" max="7683" width="49.7109375" style="2" customWidth="1"/>
    <col min="7684" max="7684" width="38.42578125" style="2" customWidth="1"/>
    <col min="7685" max="7685" width="12.28515625" style="2" customWidth="1"/>
    <col min="7686" max="7686" width="83.42578125" style="2" customWidth="1"/>
    <col min="7687" max="7688" width="11.42578125" style="2"/>
    <col min="7689" max="7689" width="15.85546875" style="2" bestFit="1" customWidth="1"/>
    <col min="7690" max="7690" width="13.85546875" style="2" bestFit="1" customWidth="1"/>
    <col min="7691" max="7691" width="18.85546875" style="2" customWidth="1"/>
    <col min="7692" max="7692" width="15.5703125" style="2" customWidth="1"/>
    <col min="7693" max="7937" width="11.42578125" style="2"/>
    <col min="7938" max="7938" width="13.7109375" style="2" customWidth="1"/>
    <col min="7939" max="7939" width="49.7109375" style="2" customWidth="1"/>
    <col min="7940" max="7940" width="38.42578125" style="2" customWidth="1"/>
    <col min="7941" max="7941" width="12.28515625" style="2" customWidth="1"/>
    <col min="7942" max="7942" width="83.42578125" style="2" customWidth="1"/>
    <col min="7943" max="7944" width="11.42578125" style="2"/>
    <col min="7945" max="7945" width="15.85546875" style="2" bestFit="1" customWidth="1"/>
    <col min="7946" max="7946" width="13.85546875" style="2" bestFit="1" customWidth="1"/>
    <col min="7947" max="7947" width="18.85546875" style="2" customWidth="1"/>
    <col min="7948" max="7948" width="15.5703125" style="2" customWidth="1"/>
    <col min="7949" max="8193" width="11.42578125" style="2"/>
    <col min="8194" max="8194" width="13.7109375" style="2" customWidth="1"/>
    <col min="8195" max="8195" width="49.7109375" style="2" customWidth="1"/>
    <col min="8196" max="8196" width="38.42578125" style="2" customWidth="1"/>
    <col min="8197" max="8197" width="12.28515625" style="2" customWidth="1"/>
    <col min="8198" max="8198" width="83.42578125" style="2" customWidth="1"/>
    <col min="8199" max="8200" width="11.42578125" style="2"/>
    <col min="8201" max="8201" width="15.85546875" style="2" bestFit="1" customWidth="1"/>
    <col min="8202" max="8202" width="13.85546875" style="2" bestFit="1" customWidth="1"/>
    <col min="8203" max="8203" width="18.85546875" style="2" customWidth="1"/>
    <col min="8204" max="8204" width="15.5703125" style="2" customWidth="1"/>
    <col min="8205" max="8449" width="11.42578125" style="2"/>
    <col min="8450" max="8450" width="13.7109375" style="2" customWidth="1"/>
    <col min="8451" max="8451" width="49.7109375" style="2" customWidth="1"/>
    <col min="8452" max="8452" width="38.42578125" style="2" customWidth="1"/>
    <col min="8453" max="8453" width="12.28515625" style="2" customWidth="1"/>
    <col min="8454" max="8454" width="83.42578125" style="2" customWidth="1"/>
    <col min="8455" max="8456" width="11.42578125" style="2"/>
    <col min="8457" max="8457" width="15.85546875" style="2" bestFit="1" customWidth="1"/>
    <col min="8458" max="8458" width="13.85546875" style="2" bestFit="1" customWidth="1"/>
    <col min="8459" max="8459" width="18.85546875" style="2" customWidth="1"/>
    <col min="8460" max="8460" width="15.5703125" style="2" customWidth="1"/>
    <col min="8461" max="8705" width="11.42578125" style="2"/>
    <col min="8706" max="8706" width="13.7109375" style="2" customWidth="1"/>
    <col min="8707" max="8707" width="49.7109375" style="2" customWidth="1"/>
    <col min="8708" max="8708" width="38.42578125" style="2" customWidth="1"/>
    <col min="8709" max="8709" width="12.28515625" style="2" customWidth="1"/>
    <col min="8710" max="8710" width="83.42578125" style="2" customWidth="1"/>
    <col min="8711" max="8712" width="11.42578125" style="2"/>
    <col min="8713" max="8713" width="15.85546875" style="2" bestFit="1" customWidth="1"/>
    <col min="8714" max="8714" width="13.85546875" style="2" bestFit="1" customWidth="1"/>
    <col min="8715" max="8715" width="18.85546875" style="2" customWidth="1"/>
    <col min="8716" max="8716" width="15.5703125" style="2" customWidth="1"/>
    <col min="8717" max="8961" width="11.42578125" style="2"/>
    <col min="8962" max="8962" width="13.7109375" style="2" customWidth="1"/>
    <col min="8963" max="8963" width="49.7109375" style="2" customWidth="1"/>
    <col min="8964" max="8964" width="38.42578125" style="2" customWidth="1"/>
    <col min="8965" max="8965" width="12.28515625" style="2" customWidth="1"/>
    <col min="8966" max="8966" width="83.42578125" style="2" customWidth="1"/>
    <col min="8967" max="8968" width="11.42578125" style="2"/>
    <col min="8969" max="8969" width="15.85546875" style="2" bestFit="1" customWidth="1"/>
    <col min="8970" max="8970" width="13.85546875" style="2" bestFit="1" customWidth="1"/>
    <col min="8971" max="8971" width="18.85546875" style="2" customWidth="1"/>
    <col min="8972" max="8972" width="15.5703125" style="2" customWidth="1"/>
    <col min="8973" max="9217" width="11.42578125" style="2"/>
    <col min="9218" max="9218" width="13.7109375" style="2" customWidth="1"/>
    <col min="9219" max="9219" width="49.7109375" style="2" customWidth="1"/>
    <col min="9220" max="9220" width="38.42578125" style="2" customWidth="1"/>
    <col min="9221" max="9221" width="12.28515625" style="2" customWidth="1"/>
    <col min="9222" max="9222" width="83.42578125" style="2" customWidth="1"/>
    <col min="9223" max="9224" width="11.42578125" style="2"/>
    <col min="9225" max="9225" width="15.85546875" style="2" bestFit="1" customWidth="1"/>
    <col min="9226" max="9226" width="13.85546875" style="2" bestFit="1" customWidth="1"/>
    <col min="9227" max="9227" width="18.85546875" style="2" customWidth="1"/>
    <col min="9228" max="9228" width="15.5703125" style="2" customWidth="1"/>
    <col min="9229" max="9473" width="11.42578125" style="2"/>
    <col min="9474" max="9474" width="13.7109375" style="2" customWidth="1"/>
    <col min="9475" max="9475" width="49.7109375" style="2" customWidth="1"/>
    <col min="9476" max="9476" width="38.42578125" style="2" customWidth="1"/>
    <col min="9477" max="9477" width="12.28515625" style="2" customWidth="1"/>
    <col min="9478" max="9478" width="83.42578125" style="2" customWidth="1"/>
    <col min="9479" max="9480" width="11.42578125" style="2"/>
    <col min="9481" max="9481" width="15.85546875" style="2" bestFit="1" customWidth="1"/>
    <col min="9482" max="9482" width="13.85546875" style="2" bestFit="1" customWidth="1"/>
    <col min="9483" max="9483" width="18.85546875" style="2" customWidth="1"/>
    <col min="9484" max="9484" width="15.5703125" style="2" customWidth="1"/>
    <col min="9485" max="9729" width="11.42578125" style="2"/>
    <col min="9730" max="9730" width="13.7109375" style="2" customWidth="1"/>
    <col min="9731" max="9731" width="49.7109375" style="2" customWidth="1"/>
    <col min="9732" max="9732" width="38.42578125" style="2" customWidth="1"/>
    <col min="9733" max="9733" width="12.28515625" style="2" customWidth="1"/>
    <col min="9734" max="9734" width="83.42578125" style="2" customWidth="1"/>
    <col min="9735" max="9736" width="11.42578125" style="2"/>
    <col min="9737" max="9737" width="15.85546875" style="2" bestFit="1" customWidth="1"/>
    <col min="9738" max="9738" width="13.85546875" style="2" bestFit="1" customWidth="1"/>
    <col min="9739" max="9739" width="18.85546875" style="2" customWidth="1"/>
    <col min="9740" max="9740" width="15.5703125" style="2" customWidth="1"/>
    <col min="9741" max="9985" width="11.42578125" style="2"/>
    <col min="9986" max="9986" width="13.7109375" style="2" customWidth="1"/>
    <col min="9987" max="9987" width="49.7109375" style="2" customWidth="1"/>
    <col min="9988" max="9988" width="38.42578125" style="2" customWidth="1"/>
    <col min="9989" max="9989" width="12.28515625" style="2" customWidth="1"/>
    <col min="9990" max="9990" width="83.42578125" style="2" customWidth="1"/>
    <col min="9991" max="9992" width="11.42578125" style="2"/>
    <col min="9993" max="9993" width="15.85546875" style="2" bestFit="1" customWidth="1"/>
    <col min="9994" max="9994" width="13.85546875" style="2" bestFit="1" customWidth="1"/>
    <col min="9995" max="9995" width="18.85546875" style="2" customWidth="1"/>
    <col min="9996" max="9996" width="15.5703125" style="2" customWidth="1"/>
    <col min="9997" max="10241" width="11.42578125" style="2"/>
    <col min="10242" max="10242" width="13.7109375" style="2" customWidth="1"/>
    <col min="10243" max="10243" width="49.7109375" style="2" customWidth="1"/>
    <col min="10244" max="10244" width="38.42578125" style="2" customWidth="1"/>
    <col min="10245" max="10245" width="12.28515625" style="2" customWidth="1"/>
    <col min="10246" max="10246" width="83.42578125" style="2" customWidth="1"/>
    <col min="10247" max="10248" width="11.42578125" style="2"/>
    <col min="10249" max="10249" width="15.85546875" style="2" bestFit="1" customWidth="1"/>
    <col min="10250" max="10250" width="13.85546875" style="2" bestFit="1" customWidth="1"/>
    <col min="10251" max="10251" width="18.85546875" style="2" customWidth="1"/>
    <col min="10252" max="10252" width="15.5703125" style="2" customWidth="1"/>
    <col min="10253" max="10497" width="11.42578125" style="2"/>
    <col min="10498" max="10498" width="13.7109375" style="2" customWidth="1"/>
    <col min="10499" max="10499" width="49.7109375" style="2" customWidth="1"/>
    <col min="10500" max="10500" width="38.42578125" style="2" customWidth="1"/>
    <col min="10501" max="10501" width="12.28515625" style="2" customWidth="1"/>
    <col min="10502" max="10502" width="83.42578125" style="2" customWidth="1"/>
    <col min="10503" max="10504" width="11.42578125" style="2"/>
    <col min="10505" max="10505" width="15.85546875" style="2" bestFit="1" customWidth="1"/>
    <col min="10506" max="10506" width="13.85546875" style="2" bestFit="1" customWidth="1"/>
    <col min="10507" max="10507" width="18.85546875" style="2" customWidth="1"/>
    <col min="10508" max="10508" width="15.5703125" style="2" customWidth="1"/>
    <col min="10509" max="10753" width="11.42578125" style="2"/>
    <col min="10754" max="10754" width="13.7109375" style="2" customWidth="1"/>
    <col min="10755" max="10755" width="49.7109375" style="2" customWidth="1"/>
    <col min="10756" max="10756" width="38.42578125" style="2" customWidth="1"/>
    <col min="10757" max="10757" width="12.28515625" style="2" customWidth="1"/>
    <col min="10758" max="10758" width="83.42578125" style="2" customWidth="1"/>
    <col min="10759" max="10760" width="11.42578125" style="2"/>
    <col min="10761" max="10761" width="15.85546875" style="2" bestFit="1" customWidth="1"/>
    <col min="10762" max="10762" width="13.85546875" style="2" bestFit="1" customWidth="1"/>
    <col min="10763" max="10763" width="18.85546875" style="2" customWidth="1"/>
    <col min="10764" max="10764" width="15.5703125" style="2" customWidth="1"/>
    <col min="10765" max="11009" width="11.42578125" style="2"/>
    <col min="11010" max="11010" width="13.7109375" style="2" customWidth="1"/>
    <col min="11011" max="11011" width="49.7109375" style="2" customWidth="1"/>
    <col min="11012" max="11012" width="38.42578125" style="2" customWidth="1"/>
    <col min="11013" max="11013" width="12.28515625" style="2" customWidth="1"/>
    <col min="11014" max="11014" width="83.42578125" style="2" customWidth="1"/>
    <col min="11015" max="11016" width="11.42578125" style="2"/>
    <col min="11017" max="11017" width="15.85546875" style="2" bestFit="1" customWidth="1"/>
    <col min="11018" max="11018" width="13.85546875" style="2" bestFit="1" customWidth="1"/>
    <col min="11019" max="11019" width="18.85546875" style="2" customWidth="1"/>
    <col min="11020" max="11020" width="15.5703125" style="2" customWidth="1"/>
    <col min="11021" max="11265" width="11.42578125" style="2"/>
    <col min="11266" max="11266" width="13.7109375" style="2" customWidth="1"/>
    <col min="11267" max="11267" width="49.7109375" style="2" customWidth="1"/>
    <col min="11268" max="11268" width="38.42578125" style="2" customWidth="1"/>
    <col min="11269" max="11269" width="12.28515625" style="2" customWidth="1"/>
    <col min="11270" max="11270" width="83.42578125" style="2" customWidth="1"/>
    <col min="11271" max="11272" width="11.42578125" style="2"/>
    <col min="11273" max="11273" width="15.85546875" style="2" bestFit="1" customWidth="1"/>
    <col min="11274" max="11274" width="13.85546875" style="2" bestFit="1" customWidth="1"/>
    <col min="11275" max="11275" width="18.85546875" style="2" customWidth="1"/>
    <col min="11276" max="11276" width="15.5703125" style="2" customWidth="1"/>
    <col min="11277" max="11521" width="11.42578125" style="2"/>
    <col min="11522" max="11522" width="13.7109375" style="2" customWidth="1"/>
    <col min="11523" max="11523" width="49.7109375" style="2" customWidth="1"/>
    <col min="11524" max="11524" width="38.42578125" style="2" customWidth="1"/>
    <col min="11525" max="11525" width="12.28515625" style="2" customWidth="1"/>
    <col min="11526" max="11526" width="83.42578125" style="2" customWidth="1"/>
    <col min="11527" max="11528" width="11.42578125" style="2"/>
    <col min="11529" max="11529" width="15.85546875" style="2" bestFit="1" customWidth="1"/>
    <col min="11530" max="11530" width="13.85546875" style="2" bestFit="1" customWidth="1"/>
    <col min="11531" max="11531" width="18.85546875" style="2" customWidth="1"/>
    <col min="11532" max="11532" width="15.5703125" style="2" customWidth="1"/>
    <col min="11533" max="11777" width="11.42578125" style="2"/>
    <col min="11778" max="11778" width="13.7109375" style="2" customWidth="1"/>
    <col min="11779" max="11779" width="49.7109375" style="2" customWidth="1"/>
    <col min="11780" max="11780" width="38.42578125" style="2" customWidth="1"/>
    <col min="11781" max="11781" width="12.28515625" style="2" customWidth="1"/>
    <col min="11782" max="11782" width="83.42578125" style="2" customWidth="1"/>
    <col min="11783" max="11784" width="11.42578125" style="2"/>
    <col min="11785" max="11785" width="15.85546875" style="2" bestFit="1" customWidth="1"/>
    <col min="11786" max="11786" width="13.85546875" style="2" bestFit="1" customWidth="1"/>
    <col min="11787" max="11787" width="18.85546875" style="2" customWidth="1"/>
    <col min="11788" max="11788" width="15.5703125" style="2" customWidth="1"/>
    <col min="11789" max="12033" width="11.42578125" style="2"/>
    <col min="12034" max="12034" width="13.7109375" style="2" customWidth="1"/>
    <col min="12035" max="12035" width="49.7109375" style="2" customWidth="1"/>
    <col min="12036" max="12036" width="38.42578125" style="2" customWidth="1"/>
    <col min="12037" max="12037" width="12.28515625" style="2" customWidth="1"/>
    <col min="12038" max="12038" width="83.42578125" style="2" customWidth="1"/>
    <col min="12039" max="12040" width="11.42578125" style="2"/>
    <col min="12041" max="12041" width="15.85546875" style="2" bestFit="1" customWidth="1"/>
    <col min="12042" max="12042" width="13.85546875" style="2" bestFit="1" customWidth="1"/>
    <col min="12043" max="12043" width="18.85546875" style="2" customWidth="1"/>
    <col min="12044" max="12044" width="15.5703125" style="2" customWidth="1"/>
    <col min="12045" max="12289" width="11.42578125" style="2"/>
    <col min="12290" max="12290" width="13.7109375" style="2" customWidth="1"/>
    <col min="12291" max="12291" width="49.7109375" style="2" customWidth="1"/>
    <col min="12292" max="12292" width="38.42578125" style="2" customWidth="1"/>
    <col min="12293" max="12293" width="12.28515625" style="2" customWidth="1"/>
    <col min="12294" max="12294" width="83.42578125" style="2" customWidth="1"/>
    <col min="12295" max="12296" width="11.42578125" style="2"/>
    <col min="12297" max="12297" width="15.85546875" style="2" bestFit="1" customWidth="1"/>
    <col min="12298" max="12298" width="13.85546875" style="2" bestFit="1" customWidth="1"/>
    <col min="12299" max="12299" width="18.85546875" style="2" customWidth="1"/>
    <col min="12300" max="12300" width="15.5703125" style="2" customWidth="1"/>
    <col min="12301" max="12545" width="11.42578125" style="2"/>
    <col min="12546" max="12546" width="13.7109375" style="2" customWidth="1"/>
    <col min="12547" max="12547" width="49.7109375" style="2" customWidth="1"/>
    <col min="12548" max="12548" width="38.42578125" style="2" customWidth="1"/>
    <col min="12549" max="12549" width="12.28515625" style="2" customWidth="1"/>
    <col min="12550" max="12550" width="83.42578125" style="2" customWidth="1"/>
    <col min="12551" max="12552" width="11.42578125" style="2"/>
    <col min="12553" max="12553" width="15.85546875" style="2" bestFit="1" customWidth="1"/>
    <col min="12554" max="12554" width="13.85546875" style="2" bestFit="1" customWidth="1"/>
    <col min="12555" max="12555" width="18.85546875" style="2" customWidth="1"/>
    <col min="12556" max="12556" width="15.5703125" style="2" customWidth="1"/>
    <col min="12557" max="12801" width="11.42578125" style="2"/>
    <col min="12802" max="12802" width="13.7109375" style="2" customWidth="1"/>
    <col min="12803" max="12803" width="49.7109375" style="2" customWidth="1"/>
    <col min="12804" max="12804" width="38.42578125" style="2" customWidth="1"/>
    <col min="12805" max="12805" width="12.28515625" style="2" customWidth="1"/>
    <col min="12806" max="12806" width="83.42578125" style="2" customWidth="1"/>
    <col min="12807" max="12808" width="11.42578125" style="2"/>
    <col min="12809" max="12809" width="15.85546875" style="2" bestFit="1" customWidth="1"/>
    <col min="12810" max="12810" width="13.85546875" style="2" bestFit="1" customWidth="1"/>
    <col min="12811" max="12811" width="18.85546875" style="2" customWidth="1"/>
    <col min="12812" max="12812" width="15.5703125" style="2" customWidth="1"/>
    <col min="12813" max="13057" width="11.42578125" style="2"/>
    <col min="13058" max="13058" width="13.7109375" style="2" customWidth="1"/>
    <col min="13059" max="13059" width="49.7109375" style="2" customWidth="1"/>
    <col min="13060" max="13060" width="38.42578125" style="2" customWidth="1"/>
    <col min="13061" max="13061" width="12.28515625" style="2" customWidth="1"/>
    <col min="13062" max="13062" width="83.42578125" style="2" customWidth="1"/>
    <col min="13063" max="13064" width="11.42578125" style="2"/>
    <col min="13065" max="13065" width="15.85546875" style="2" bestFit="1" customWidth="1"/>
    <col min="13066" max="13066" width="13.85546875" style="2" bestFit="1" customWidth="1"/>
    <col min="13067" max="13067" width="18.85546875" style="2" customWidth="1"/>
    <col min="13068" max="13068" width="15.5703125" style="2" customWidth="1"/>
    <col min="13069" max="13313" width="11.42578125" style="2"/>
    <col min="13314" max="13314" width="13.7109375" style="2" customWidth="1"/>
    <col min="13315" max="13315" width="49.7109375" style="2" customWidth="1"/>
    <col min="13316" max="13316" width="38.42578125" style="2" customWidth="1"/>
    <col min="13317" max="13317" width="12.28515625" style="2" customWidth="1"/>
    <col min="13318" max="13318" width="83.42578125" style="2" customWidth="1"/>
    <col min="13319" max="13320" width="11.42578125" style="2"/>
    <col min="13321" max="13321" width="15.85546875" style="2" bestFit="1" customWidth="1"/>
    <col min="13322" max="13322" width="13.85546875" style="2" bestFit="1" customWidth="1"/>
    <col min="13323" max="13323" width="18.85546875" style="2" customWidth="1"/>
    <col min="13324" max="13324" width="15.5703125" style="2" customWidth="1"/>
    <col min="13325" max="13569" width="11.42578125" style="2"/>
    <col min="13570" max="13570" width="13.7109375" style="2" customWidth="1"/>
    <col min="13571" max="13571" width="49.7109375" style="2" customWidth="1"/>
    <col min="13572" max="13572" width="38.42578125" style="2" customWidth="1"/>
    <col min="13573" max="13573" width="12.28515625" style="2" customWidth="1"/>
    <col min="13574" max="13574" width="83.42578125" style="2" customWidth="1"/>
    <col min="13575" max="13576" width="11.42578125" style="2"/>
    <col min="13577" max="13577" width="15.85546875" style="2" bestFit="1" customWidth="1"/>
    <col min="13578" max="13578" width="13.85546875" style="2" bestFit="1" customWidth="1"/>
    <col min="13579" max="13579" width="18.85546875" style="2" customWidth="1"/>
    <col min="13580" max="13580" width="15.5703125" style="2" customWidth="1"/>
    <col min="13581" max="13825" width="11.42578125" style="2"/>
    <col min="13826" max="13826" width="13.7109375" style="2" customWidth="1"/>
    <col min="13827" max="13827" width="49.7109375" style="2" customWidth="1"/>
    <col min="13828" max="13828" width="38.42578125" style="2" customWidth="1"/>
    <col min="13829" max="13829" width="12.28515625" style="2" customWidth="1"/>
    <col min="13830" max="13830" width="83.42578125" style="2" customWidth="1"/>
    <col min="13831" max="13832" width="11.42578125" style="2"/>
    <col min="13833" max="13833" width="15.85546875" style="2" bestFit="1" customWidth="1"/>
    <col min="13834" max="13834" width="13.85546875" style="2" bestFit="1" customWidth="1"/>
    <col min="13835" max="13835" width="18.85546875" style="2" customWidth="1"/>
    <col min="13836" max="13836" width="15.5703125" style="2" customWidth="1"/>
    <col min="13837" max="14081" width="11.42578125" style="2"/>
    <col min="14082" max="14082" width="13.7109375" style="2" customWidth="1"/>
    <col min="14083" max="14083" width="49.7109375" style="2" customWidth="1"/>
    <col min="14084" max="14084" width="38.42578125" style="2" customWidth="1"/>
    <col min="14085" max="14085" width="12.28515625" style="2" customWidth="1"/>
    <col min="14086" max="14086" width="83.42578125" style="2" customWidth="1"/>
    <col min="14087" max="14088" width="11.42578125" style="2"/>
    <col min="14089" max="14089" width="15.85546875" style="2" bestFit="1" customWidth="1"/>
    <col min="14090" max="14090" width="13.85546875" style="2" bestFit="1" customWidth="1"/>
    <col min="14091" max="14091" width="18.85546875" style="2" customWidth="1"/>
    <col min="14092" max="14092" width="15.5703125" style="2" customWidth="1"/>
    <col min="14093" max="14337" width="11.42578125" style="2"/>
    <col min="14338" max="14338" width="13.7109375" style="2" customWidth="1"/>
    <col min="14339" max="14339" width="49.7109375" style="2" customWidth="1"/>
    <col min="14340" max="14340" width="38.42578125" style="2" customWidth="1"/>
    <col min="14341" max="14341" width="12.28515625" style="2" customWidth="1"/>
    <col min="14342" max="14342" width="83.42578125" style="2" customWidth="1"/>
    <col min="14343" max="14344" width="11.42578125" style="2"/>
    <col min="14345" max="14345" width="15.85546875" style="2" bestFit="1" customWidth="1"/>
    <col min="14346" max="14346" width="13.85546875" style="2" bestFit="1" customWidth="1"/>
    <col min="14347" max="14347" width="18.85546875" style="2" customWidth="1"/>
    <col min="14348" max="14348" width="15.5703125" style="2" customWidth="1"/>
    <col min="14349" max="14593" width="11.42578125" style="2"/>
    <col min="14594" max="14594" width="13.7109375" style="2" customWidth="1"/>
    <col min="14595" max="14595" width="49.7109375" style="2" customWidth="1"/>
    <col min="14596" max="14596" width="38.42578125" style="2" customWidth="1"/>
    <col min="14597" max="14597" width="12.28515625" style="2" customWidth="1"/>
    <col min="14598" max="14598" width="83.42578125" style="2" customWidth="1"/>
    <col min="14599" max="14600" width="11.42578125" style="2"/>
    <col min="14601" max="14601" width="15.85546875" style="2" bestFit="1" customWidth="1"/>
    <col min="14602" max="14602" width="13.85546875" style="2" bestFit="1" customWidth="1"/>
    <col min="14603" max="14603" width="18.85546875" style="2" customWidth="1"/>
    <col min="14604" max="14604" width="15.5703125" style="2" customWidth="1"/>
    <col min="14605" max="14849" width="11.42578125" style="2"/>
    <col min="14850" max="14850" width="13.7109375" style="2" customWidth="1"/>
    <col min="14851" max="14851" width="49.7109375" style="2" customWidth="1"/>
    <col min="14852" max="14852" width="38.42578125" style="2" customWidth="1"/>
    <col min="14853" max="14853" width="12.28515625" style="2" customWidth="1"/>
    <col min="14854" max="14854" width="83.42578125" style="2" customWidth="1"/>
    <col min="14855" max="14856" width="11.42578125" style="2"/>
    <col min="14857" max="14857" width="15.85546875" style="2" bestFit="1" customWidth="1"/>
    <col min="14858" max="14858" width="13.85546875" style="2" bestFit="1" customWidth="1"/>
    <col min="14859" max="14859" width="18.85546875" style="2" customWidth="1"/>
    <col min="14860" max="14860" width="15.5703125" style="2" customWidth="1"/>
    <col min="14861" max="15105" width="11.42578125" style="2"/>
    <col min="15106" max="15106" width="13.7109375" style="2" customWidth="1"/>
    <col min="15107" max="15107" width="49.7109375" style="2" customWidth="1"/>
    <col min="15108" max="15108" width="38.42578125" style="2" customWidth="1"/>
    <col min="15109" max="15109" width="12.28515625" style="2" customWidth="1"/>
    <col min="15110" max="15110" width="83.42578125" style="2" customWidth="1"/>
    <col min="15111" max="15112" width="11.42578125" style="2"/>
    <col min="15113" max="15113" width="15.85546875" style="2" bestFit="1" customWidth="1"/>
    <col min="15114" max="15114" width="13.85546875" style="2" bestFit="1" customWidth="1"/>
    <col min="15115" max="15115" width="18.85546875" style="2" customWidth="1"/>
    <col min="15116" max="15116" width="15.5703125" style="2" customWidth="1"/>
    <col min="15117" max="15361" width="11.42578125" style="2"/>
    <col min="15362" max="15362" width="13.7109375" style="2" customWidth="1"/>
    <col min="15363" max="15363" width="49.7109375" style="2" customWidth="1"/>
    <col min="15364" max="15364" width="38.42578125" style="2" customWidth="1"/>
    <col min="15365" max="15365" width="12.28515625" style="2" customWidth="1"/>
    <col min="15366" max="15366" width="83.42578125" style="2" customWidth="1"/>
    <col min="15367" max="15368" width="11.42578125" style="2"/>
    <col min="15369" max="15369" width="15.85546875" style="2" bestFit="1" customWidth="1"/>
    <col min="15370" max="15370" width="13.85546875" style="2" bestFit="1" customWidth="1"/>
    <col min="15371" max="15371" width="18.85546875" style="2" customWidth="1"/>
    <col min="15372" max="15372" width="15.5703125" style="2" customWidth="1"/>
    <col min="15373" max="15617" width="11.42578125" style="2"/>
    <col min="15618" max="15618" width="13.7109375" style="2" customWidth="1"/>
    <col min="15619" max="15619" width="49.7109375" style="2" customWidth="1"/>
    <col min="15620" max="15620" width="38.42578125" style="2" customWidth="1"/>
    <col min="15621" max="15621" width="12.28515625" style="2" customWidth="1"/>
    <col min="15622" max="15622" width="83.42578125" style="2" customWidth="1"/>
    <col min="15623" max="15624" width="11.42578125" style="2"/>
    <col min="15625" max="15625" width="15.85546875" style="2" bestFit="1" customWidth="1"/>
    <col min="15626" max="15626" width="13.85546875" style="2" bestFit="1" customWidth="1"/>
    <col min="15627" max="15627" width="18.85546875" style="2" customWidth="1"/>
    <col min="15628" max="15628" width="15.5703125" style="2" customWidth="1"/>
    <col min="15629" max="15873" width="11.42578125" style="2"/>
    <col min="15874" max="15874" width="13.7109375" style="2" customWidth="1"/>
    <col min="15875" max="15875" width="49.7109375" style="2" customWidth="1"/>
    <col min="15876" max="15876" width="38.42578125" style="2" customWidth="1"/>
    <col min="15877" max="15877" width="12.28515625" style="2" customWidth="1"/>
    <col min="15878" max="15878" width="83.42578125" style="2" customWidth="1"/>
    <col min="15879" max="15880" width="11.42578125" style="2"/>
    <col min="15881" max="15881" width="15.85546875" style="2" bestFit="1" customWidth="1"/>
    <col min="15882" max="15882" width="13.85546875" style="2" bestFit="1" customWidth="1"/>
    <col min="15883" max="15883" width="18.85546875" style="2" customWidth="1"/>
    <col min="15884" max="15884" width="15.5703125" style="2" customWidth="1"/>
    <col min="15885" max="16129" width="11.42578125" style="2"/>
    <col min="16130" max="16130" width="13.7109375" style="2" customWidth="1"/>
    <col min="16131" max="16131" width="49.7109375" style="2" customWidth="1"/>
    <col min="16132" max="16132" width="38.42578125" style="2" customWidth="1"/>
    <col min="16133" max="16133" width="12.28515625" style="2" customWidth="1"/>
    <col min="16134" max="16134" width="83.42578125" style="2" customWidth="1"/>
    <col min="16135" max="16136" width="11.42578125" style="2"/>
    <col min="16137" max="16137" width="15.85546875" style="2" bestFit="1" customWidth="1"/>
    <col min="16138" max="16138" width="13.85546875" style="2" bestFit="1" customWidth="1"/>
    <col min="16139" max="16139" width="18.85546875" style="2" customWidth="1"/>
    <col min="16140" max="16140" width="15.5703125" style="2" customWidth="1"/>
    <col min="16141" max="16384" width="11.42578125" style="2"/>
  </cols>
  <sheetData>
    <row r="1" spans="1:12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1" customFormat="1" ht="13.5" customHeight="1" x14ac:dyDescent="0.25">
      <c r="A2" s="3">
        <v>222222222222</v>
      </c>
      <c r="B2" s="3"/>
      <c r="C2" s="3" t="s">
        <v>12</v>
      </c>
      <c r="D2" s="4" t="s">
        <v>13</v>
      </c>
      <c r="E2" s="5">
        <v>3142188779</v>
      </c>
      <c r="F2" s="6" t="s">
        <v>14</v>
      </c>
      <c r="G2" s="7" t="s">
        <v>15</v>
      </c>
      <c r="H2" s="8">
        <v>305</v>
      </c>
      <c r="I2" s="9">
        <f>980288643-1035322+8346726-3+6308223+11018234+2529928+15630993</f>
        <v>1023087422</v>
      </c>
      <c r="J2" s="9">
        <f>82415376+881560+137186+8611+1251202</f>
        <v>84693935</v>
      </c>
      <c r="K2" s="8">
        <v>0</v>
      </c>
      <c r="L2" s="10">
        <f>7219545.45725+67191+43685+87592+10166+10131+115757-0.087783116847</f>
        <v>7554067.3694668831</v>
      </c>
    </row>
    <row r="3" spans="1:12" x14ac:dyDescent="0.25">
      <c r="A3" s="12">
        <v>22375653</v>
      </c>
      <c r="B3" s="12"/>
      <c r="C3" s="12" t="s">
        <v>16</v>
      </c>
      <c r="D3" s="4" t="s">
        <v>17</v>
      </c>
      <c r="E3" s="13">
        <v>3153583520</v>
      </c>
      <c r="F3" s="4" t="s">
        <v>18</v>
      </c>
      <c r="G3" s="7">
        <v>11001</v>
      </c>
      <c r="H3" s="12">
        <v>305</v>
      </c>
      <c r="I3" s="14">
        <v>941598.08</v>
      </c>
      <c r="J3" s="14">
        <v>69740.73599999999</v>
      </c>
      <c r="K3" s="3">
        <v>0</v>
      </c>
      <c r="L3" s="15">
        <v>7018.4516191999992</v>
      </c>
    </row>
    <row r="4" spans="1:12" x14ac:dyDescent="0.25">
      <c r="A4" s="12">
        <v>79429754</v>
      </c>
      <c r="B4" s="12"/>
      <c r="C4" s="12" t="s">
        <v>19</v>
      </c>
      <c r="D4" s="4" t="s">
        <v>20</v>
      </c>
      <c r="E4" s="13">
        <v>3104731808</v>
      </c>
      <c r="F4" s="4" t="s">
        <v>21</v>
      </c>
      <c r="G4" s="7">
        <v>11001</v>
      </c>
      <c r="H4" s="12">
        <v>305</v>
      </c>
      <c r="I4" s="14">
        <v>943211</v>
      </c>
      <c r="J4" s="14">
        <v>126094</v>
      </c>
      <c r="K4" s="3">
        <v>0</v>
      </c>
      <c r="L4" s="15">
        <v>6577.7918500000005</v>
      </c>
    </row>
    <row r="5" spans="1:12" x14ac:dyDescent="0.25">
      <c r="A5" s="12">
        <v>84084358</v>
      </c>
      <c r="B5" s="12"/>
      <c r="C5" s="12" t="s">
        <v>22</v>
      </c>
      <c r="D5" s="4" t="s">
        <v>23</v>
      </c>
      <c r="E5" s="13">
        <v>3203411213</v>
      </c>
      <c r="F5" s="4" t="s">
        <v>24</v>
      </c>
      <c r="G5" s="7">
        <v>11001</v>
      </c>
      <c r="H5" s="12">
        <v>305</v>
      </c>
      <c r="I5" s="14">
        <v>945461.75000000023</v>
      </c>
      <c r="J5" s="14">
        <v>183546.13200000007</v>
      </c>
      <c r="K5" s="3">
        <v>0</v>
      </c>
      <c r="L5" s="15">
        <v>6133.420724900001</v>
      </c>
    </row>
    <row r="6" spans="1:12" x14ac:dyDescent="0.25">
      <c r="A6" s="12">
        <v>1067875140</v>
      </c>
      <c r="B6" s="12"/>
      <c r="C6" s="12" t="s">
        <v>25</v>
      </c>
      <c r="D6" s="4" t="s">
        <v>26</v>
      </c>
      <c r="E6" s="13">
        <v>3578809</v>
      </c>
      <c r="F6" s="4" t="s">
        <v>27</v>
      </c>
      <c r="G6" s="7">
        <v>11001</v>
      </c>
      <c r="H6" s="12">
        <v>305</v>
      </c>
      <c r="I6" s="14">
        <v>945718.23999999987</v>
      </c>
      <c r="J6" s="14">
        <v>87438.94200000001</v>
      </c>
      <c r="K6" s="3">
        <v>0</v>
      </c>
      <c r="L6" s="15">
        <v>6909.1483488999984</v>
      </c>
    </row>
    <row r="7" spans="1:12" x14ac:dyDescent="0.25">
      <c r="A7" s="12">
        <v>901043284</v>
      </c>
      <c r="B7" s="12">
        <v>8</v>
      </c>
      <c r="C7" s="12" t="s">
        <v>28</v>
      </c>
      <c r="D7" s="4" t="s">
        <v>29</v>
      </c>
      <c r="E7" s="13">
        <v>3114476880</v>
      </c>
      <c r="F7" s="4" t="s">
        <v>30</v>
      </c>
      <c r="G7" s="7">
        <v>11001</v>
      </c>
      <c r="H7" s="12">
        <v>305</v>
      </c>
      <c r="I7" s="14">
        <v>947100</v>
      </c>
      <c r="J7" s="14">
        <v>0.15</v>
      </c>
      <c r="K7" s="3">
        <v>0</v>
      </c>
      <c r="L7" s="15">
        <v>7624.1537925000002</v>
      </c>
    </row>
    <row r="8" spans="1:12" x14ac:dyDescent="0.25">
      <c r="A8" s="12">
        <v>1047378523</v>
      </c>
      <c r="B8" s="12"/>
      <c r="C8" s="12" t="s">
        <v>31</v>
      </c>
      <c r="D8" s="4" t="s">
        <v>32</v>
      </c>
      <c r="E8" s="13">
        <v>3148211318</v>
      </c>
      <c r="F8" s="4" t="s">
        <v>33</v>
      </c>
      <c r="G8" s="7">
        <v>11001</v>
      </c>
      <c r="H8" s="12">
        <v>305</v>
      </c>
      <c r="I8" s="14">
        <v>948994.98</v>
      </c>
      <c r="J8" s="14">
        <v>129166.726</v>
      </c>
      <c r="K8" s="3">
        <v>0</v>
      </c>
      <c r="L8" s="15">
        <v>6599.6174447000003</v>
      </c>
    </row>
    <row r="9" spans="1:12" x14ac:dyDescent="0.25">
      <c r="A9" s="12">
        <v>2937311</v>
      </c>
      <c r="B9" s="12"/>
      <c r="C9" s="12" t="s">
        <v>34</v>
      </c>
      <c r="D9" s="4" t="s">
        <v>35</v>
      </c>
      <c r="E9" s="13">
        <v>6016564288</v>
      </c>
      <c r="F9" s="4" t="s">
        <v>36</v>
      </c>
      <c r="G9" s="7">
        <v>11001</v>
      </c>
      <c r="H9" s="12">
        <v>305</v>
      </c>
      <c r="I9" s="14">
        <v>951766.64</v>
      </c>
      <c r="J9" s="14">
        <v>23648.116000000002</v>
      </c>
      <c r="K9" s="3">
        <v>0</v>
      </c>
      <c r="L9" s="15">
        <v>7471.3541182000008</v>
      </c>
    </row>
    <row r="10" spans="1:12" x14ac:dyDescent="0.25">
      <c r="A10" s="12">
        <v>41549747</v>
      </c>
      <c r="B10" s="12"/>
      <c r="C10" s="12" t="s">
        <v>37</v>
      </c>
      <c r="D10" s="4" t="s">
        <v>38</v>
      </c>
      <c r="E10" s="13">
        <v>6696380</v>
      </c>
      <c r="F10" s="4" t="s">
        <v>39</v>
      </c>
      <c r="G10" s="7">
        <v>11001</v>
      </c>
      <c r="H10" s="12">
        <v>305</v>
      </c>
      <c r="I10" s="14">
        <v>953776.05</v>
      </c>
      <c r="J10" s="14">
        <v>67846.47000000003</v>
      </c>
      <c r="K10" s="3">
        <v>0</v>
      </c>
      <c r="L10" s="15">
        <v>7131.7331190000004</v>
      </c>
    </row>
    <row r="11" spans="1:12" x14ac:dyDescent="0.25">
      <c r="A11" s="12">
        <v>79242076</v>
      </c>
      <c r="B11" s="12"/>
      <c r="C11" s="12" t="s">
        <v>40</v>
      </c>
      <c r="D11" s="4" t="s">
        <v>41</v>
      </c>
      <c r="E11" s="13">
        <v>3103200940</v>
      </c>
      <c r="F11" s="4" t="s">
        <v>42</v>
      </c>
      <c r="G11" s="7">
        <v>11001</v>
      </c>
      <c r="H11" s="12">
        <v>305</v>
      </c>
      <c r="I11" s="14">
        <v>954045.48</v>
      </c>
      <c r="J11" s="14">
        <v>101536.826</v>
      </c>
      <c r="K11" s="3">
        <v>0</v>
      </c>
      <c r="L11" s="15">
        <v>6862.6946646999995</v>
      </c>
    </row>
    <row r="12" spans="1:12" x14ac:dyDescent="0.25">
      <c r="A12" s="12">
        <v>1032411286</v>
      </c>
      <c r="B12" s="12"/>
      <c r="C12" s="12" t="s">
        <v>43</v>
      </c>
      <c r="D12" s="4" t="s">
        <v>44</v>
      </c>
      <c r="E12" s="13">
        <v>3102794115</v>
      </c>
      <c r="F12" s="4" t="s">
        <v>45</v>
      </c>
      <c r="G12" s="7">
        <v>11001</v>
      </c>
      <c r="H12" s="12">
        <v>305</v>
      </c>
      <c r="I12" s="14">
        <v>954232.56</v>
      </c>
      <c r="J12" s="14">
        <v>34291.050000000017</v>
      </c>
      <c r="K12" s="3">
        <v>0</v>
      </c>
      <c r="L12" s="15">
        <v>7405.5291555000003</v>
      </c>
    </row>
    <row r="13" spans="1:12" x14ac:dyDescent="0.25">
      <c r="A13" s="12">
        <v>1015401799</v>
      </c>
      <c r="B13" s="12"/>
      <c r="C13" s="12" t="s">
        <v>46</v>
      </c>
      <c r="D13" s="4" t="s">
        <v>47</v>
      </c>
      <c r="E13" s="13">
        <v>3126202715</v>
      </c>
      <c r="F13" s="4" t="s">
        <v>48</v>
      </c>
      <c r="G13" s="7">
        <v>11001</v>
      </c>
      <c r="H13" s="12">
        <v>305</v>
      </c>
      <c r="I13" s="14">
        <v>954310.57000000018</v>
      </c>
      <c r="J13" s="14">
        <v>101231.97000000003</v>
      </c>
      <c r="K13" s="3">
        <v>0</v>
      </c>
      <c r="L13" s="15">
        <v>6867.2827300000008</v>
      </c>
    </row>
    <row r="14" spans="1:12" x14ac:dyDescent="0.25">
      <c r="A14" s="12">
        <v>94383690</v>
      </c>
      <c r="B14" s="12"/>
      <c r="C14" s="12" t="s">
        <v>49</v>
      </c>
      <c r="D14" s="4" t="s">
        <v>50</v>
      </c>
      <c r="E14" s="13">
        <v>3136833624</v>
      </c>
      <c r="F14" s="4" t="s">
        <v>51</v>
      </c>
      <c r="G14" s="7">
        <v>11001</v>
      </c>
      <c r="H14" s="12">
        <v>305</v>
      </c>
      <c r="I14" s="14">
        <v>959357.05</v>
      </c>
      <c r="J14" s="14">
        <v>98309.05799999999</v>
      </c>
      <c r="K14" s="3">
        <v>0</v>
      </c>
      <c r="L14" s="15">
        <v>6931.4363356000003</v>
      </c>
    </row>
    <row r="15" spans="1:12" x14ac:dyDescent="0.25">
      <c r="A15" s="12">
        <v>1049618564</v>
      </c>
      <c r="B15" s="12"/>
      <c r="C15" s="12" t="s">
        <v>52</v>
      </c>
      <c r="D15" s="4" t="s">
        <v>53</v>
      </c>
      <c r="E15" s="13">
        <v>3138225515</v>
      </c>
      <c r="F15" s="4" t="s">
        <v>54</v>
      </c>
      <c r="G15" s="7">
        <v>11001</v>
      </c>
      <c r="H15" s="12">
        <v>305</v>
      </c>
      <c r="I15" s="14">
        <v>959413.59</v>
      </c>
      <c r="J15" s="14">
        <v>183563.39</v>
      </c>
      <c r="K15" s="3">
        <v>0</v>
      </c>
      <c r="L15" s="15">
        <v>6245.59411</v>
      </c>
    </row>
    <row r="16" spans="1:12" x14ac:dyDescent="0.25">
      <c r="A16" s="12">
        <v>1018414094</v>
      </c>
      <c r="B16" s="12"/>
      <c r="C16" s="12" t="s">
        <v>55</v>
      </c>
      <c r="D16" s="4" t="s">
        <v>56</v>
      </c>
      <c r="E16" s="13">
        <v>3192564741</v>
      </c>
      <c r="F16" s="4" t="s">
        <v>57</v>
      </c>
      <c r="G16" s="7">
        <v>11001</v>
      </c>
      <c r="H16" s="12">
        <v>305</v>
      </c>
      <c r="I16" s="14">
        <v>960800</v>
      </c>
      <c r="J16" s="14">
        <v>0.15</v>
      </c>
      <c r="K16" s="3">
        <v>0</v>
      </c>
      <c r="L16" s="15">
        <v>7734.4387924999992</v>
      </c>
    </row>
    <row r="17" spans="1:12" x14ac:dyDescent="0.25">
      <c r="A17" s="12">
        <v>19311203</v>
      </c>
      <c r="B17" s="12"/>
      <c r="C17" s="12" t="s">
        <v>58</v>
      </c>
      <c r="D17" s="4" t="s">
        <v>59</v>
      </c>
      <c r="E17" s="13">
        <v>3209392744</v>
      </c>
      <c r="F17" s="4" t="s">
        <v>60</v>
      </c>
      <c r="G17" s="7">
        <v>11001</v>
      </c>
      <c r="H17" s="12">
        <v>305</v>
      </c>
      <c r="I17" s="14">
        <v>961205.99999999988</v>
      </c>
      <c r="J17" s="14">
        <v>24481.585999999996</v>
      </c>
      <c r="K17" s="3">
        <v>0</v>
      </c>
      <c r="L17" s="15">
        <v>7540.6315326999993</v>
      </c>
    </row>
    <row r="18" spans="1:12" x14ac:dyDescent="0.25">
      <c r="A18" s="12">
        <v>80041293</v>
      </c>
      <c r="B18" s="12"/>
      <c r="C18" s="12" t="s">
        <v>61</v>
      </c>
      <c r="D18" s="4" t="s">
        <v>62</v>
      </c>
      <c r="E18" s="13">
        <v>9063739</v>
      </c>
      <c r="F18" s="4" t="s">
        <v>63</v>
      </c>
      <c r="G18" s="7">
        <v>11001</v>
      </c>
      <c r="H18" s="12">
        <v>305</v>
      </c>
      <c r="I18" s="14">
        <v>961912.86999999988</v>
      </c>
      <c r="J18" s="14">
        <v>76982.573999999964</v>
      </c>
      <c r="K18" s="3">
        <v>0</v>
      </c>
      <c r="L18" s="15">
        <v>7123.6888827999992</v>
      </c>
    </row>
    <row r="19" spans="1:12" x14ac:dyDescent="0.25">
      <c r="A19" s="12">
        <v>13706180</v>
      </c>
      <c r="B19" s="12"/>
      <c r="C19" s="12" t="s">
        <v>64</v>
      </c>
      <c r="D19" s="4" t="s">
        <v>65</v>
      </c>
      <c r="E19" s="13">
        <v>3102513650</v>
      </c>
      <c r="F19" s="4" t="s">
        <v>66</v>
      </c>
      <c r="G19" s="7">
        <v>11001</v>
      </c>
      <c r="H19" s="12">
        <v>305</v>
      </c>
      <c r="I19" s="14">
        <v>963220</v>
      </c>
      <c r="J19" s="14">
        <v>115444</v>
      </c>
      <c r="K19" s="3">
        <v>0</v>
      </c>
      <c r="L19" s="15">
        <v>6824.5967999999993</v>
      </c>
    </row>
    <row r="20" spans="1:12" x14ac:dyDescent="0.25">
      <c r="A20" s="12">
        <v>19349676</v>
      </c>
      <c r="B20" s="12"/>
      <c r="C20" s="12" t="s">
        <v>67</v>
      </c>
      <c r="D20" s="4" t="s">
        <v>68</v>
      </c>
      <c r="E20" s="13">
        <v>5209176</v>
      </c>
      <c r="F20" s="4" t="s">
        <v>69</v>
      </c>
      <c r="G20" s="7">
        <v>11001</v>
      </c>
      <c r="H20" s="12">
        <v>305</v>
      </c>
      <c r="I20" s="14">
        <v>963264</v>
      </c>
      <c r="J20" s="14">
        <v>83277.799999999988</v>
      </c>
      <c r="K20" s="3">
        <v>0</v>
      </c>
      <c r="L20" s="15">
        <v>7083.8889100000006</v>
      </c>
    </row>
    <row r="21" spans="1:12" x14ac:dyDescent="0.25">
      <c r="A21" s="12">
        <v>79784384</v>
      </c>
      <c r="B21" s="12"/>
      <c r="C21" s="12" t="s">
        <v>70</v>
      </c>
      <c r="D21" s="4" t="s">
        <v>71</v>
      </c>
      <c r="E21" s="13">
        <v>3223110333</v>
      </c>
      <c r="F21" s="4" t="s">
        <v>72</v>
      </c>
      <c r="G21" s="7">
        <v>11001</v>
      </c>
      <c r="H21" s="12">
        <v>305</v>
      </c>
      <c r="I21" s="14">
        <v>963886.91999999993</v>
      </c>
      <c r="J21" s="14">
        <v>192777.38399999999</v>
      </c>
      <c r="K21" s="3">
        <v>0</v>
      </c>
      <c r="L21" s="15">
        <v>6207.4317647999997</v>
      </c>
    </row>
    <row r="22" spans="1:12" x14ac:dyDescent="0.25">
      <c r="A22" s="12">
        <v>79359440</v>
      </c>
      <c r="B22" s="12"/>
      <c r="C22" s="12" t="s">
        <v>73</v>
      </c>
      <c r="D22" s="4" t="s">
        <v>74</v>
      </c>
      <c r="E22" s="13">
        <v>3003404187</v>
      </c>
      <c r="F22" s="4" t="s">
        <v>75</v>
      </c>
      <c r="G22" s="7">
        <v>11001</v>
      </c>
      <c r="H22" s="12">
        <v>305</v>
      </c>
      <c r="I22" s="14">
        <v>965027</v>
      </c>
      <c r="J22" s="14">
        <v>83611</v>
      </c>
      <c r="K22" s="3">
        <v>0</v>
      </c>
      <c r="L22" s="15">
        <v>7095.3988000000008</v>
      </c>
    </row>
    <row r="23" spans="1:12" x14ac:dyDescent="0.25">
      <c r="A23" s="12">
        <v>55161942</v>
      </c>
      <c r="B23" s="12"/>
      <c r="C23" s="12" t="s">
        <v>76</v>
      </c>
      <c r="D23" s="4" t="s">
        <v>77</v>
      </c>
      <c r="E23" s="13">
        <v>3124327050</v>
      </c>
      <c r="F23" s="4" t="s">
        <v>78</v>
      </c>
      <c r="G23" s="7">
        <v>11001</v>
      </c>
      <c r="H23" s="12">
        <v>305</v>
      </c>
      <c r="I23" s="14">
        <v>966598.97</v>
      </c>
      <c r="J23" s="14">
        <v>29352.072</v>
      </c>
      <c r="K23" s="3">
        <v>0</v>
      </c>
      <c r="L23" s="15">
        <v>7544.8375288999996</v>
      </c>
    </row>
    <row r="24" spans="1:12" x14ac:dyDescent="0.25">
      <c r="A24" s="12">
        <v>20280772</v>
      </c>
      <c r="B24" s="12"/>
      <c r="C24" s="12" t="s">
        <v>79</v>
      </c>
      <c r="D24" s="4" t="s">
        <v>80</v>
      </c>
      <c r="E24" s="13">
        <v>3014055163</v>
      </c>
      <c r="F24" s="4" t="s">
        <v>81</v>
      </c>
      <c r="G24" s="7">
        <v>11001</v>
      </c>
      <c r="H24" s="12">
        <v>305</v>
      </c>
      <c r="I24" s="14">
        <v>966996.86999999988</v>
      </c>
      <c r="J24" s="14">
        <v>50759.373999999974</v>
      </c>
      <c r="K24" s="3">
        <v>0</v>
      </c>
      <c r="L24" s="15">
        <v>7375.7118428000003</v>
      </c>
    </row>
    <row r="25" spans="1:12" x14ac:dyDescent="0.25">
      <c r="A25" s="12">
        <v>79280145</v>
      </c>
      <c r="B25" s="12"/>
      <c r="C25" s="12" t="s">
        <v>82</v>
      </c>
      <c r="D25" s="4" t="s">
        <v>83</v>
      </c>
      <c r="E25" s="13">
        <v>5592618</v>
      </c>
      <c r="F25" s="4" t="s">
        <v>84</v>
      </c>
      <c r="G25" s="7" t="s">
        <v>85</v>
      </c>
      <c r="H25" s="12">
        <v>305</v>
      </c>
      <c r="I25" s="14">
        <v>967126.94000000029</v>
      </c>
      <c r="J25" s="14">
        <v>157765.38800000006</v>
      </c>
      <c r="K25" s="3">
        <v>0</v>
      </c>
      <c r="L25" s="15">
        <v>6515.3604936000029</v>
      </c>
    </row>
    <row r="26" spans="1:12" x14ac:dyDescent="0.25">
      <c r="A26" s="12">
        <v>13873675</v>
      </c>
      <c r="B26" s="12"/>
      <c r="C26" s="12" t="s">
        <v>86</v>
      </c>
      <c r="D26" s="4" t="s">
        <v>87</v>
      </c>
      <c r="E26" s="13">
        <v>3173344468</v>
      </c>
      <c r="F26" s="4" t="s">
        <v>88</v>
      </c>
      <c r="G26" s="7">
        <v>11001</v>
      </c>
      <c r="H26" s="12">
        <v>305</v>
      </c>
      <c r="I26" s="14">
        <v>968519</v>
      </c>
      <c r="J26" s="14">
        <v>53703.8</v>
      </c>
      <c r="K26" s="3">
        <v>0</v>
      </c>
      <c r="L26" s="15">
        <v>7364.2623599999997</v>
      </c>
    </row>
    <row r="27" spans="1:12" x14ac:dyDescent="0.25">
      <c r="A27" s="12">
        <v>18511241</v>
      </c>
      <c r="B27" s="12"/>
      <c r="C27" s="12" t="s">
        <v>89</v>
      </c>
      <c r="D27" s="4" t="s">
        <v>90</v>
      </c>
      <c r="E27" s="13">
        <v>3105676795</v>
      </c>
      <c r="F27" s="4" t="s">
        <v>91</v>
      </c>
      <c r="G27" s="7">
        <v>11001</v>
      </c>
      <c r="H27" s="12">
        <v>305</v>
      </c>
      <c r="I27" s="14">
        <v>969431</v>
      </c>
      <c r="J27" s="14">
        <v>99686.2</v>
      </c>
      <c r="K27" s="3">
        <v>0</v>
      </c>
      <c r="L27" s="15">
        <v>7001.4456399999999</v>
      </c>
    </row>
    <row r="28" spans="1:12" x14ac:dyDescent="0.25">
      <c r="A28" s="12">
        <v>16626069</v>
      </c>
      <c r="B28" s="12"/>
      <c r="C28" s="12" t="s">
        <v>92</v>
      </c>
      <c r="D28" s="4" t="s">
        <v>93</v>
      </c>
      <c r="E28" s="13">
        <v>3104802716</v>
      </c>
      <c r="F28" s="4" t="s">
        <v>94</v>
      </c>
      <c r="G28" s="7">
        <v>11001</v>
      </c>
      <c r="H28" s="12">
        <v>305</v>
      </c>
      <c r="I28" s="14">
        <v>969484.22</v>
      </c>
      <c r="J28" s="14">
        <v>42352.137999999999</v>
      </c>
      <c r="K28" s="3">
        <v>0</v>
      </c>
      <c r="L28" s="15">
        <v>7463.4132600999992</v>
      </c>
    </row>
    <row r="29" spans="1:12" x14ac:dyDescent="0.25">
      <c r="A29" s="12">
        <v>52071440</v>
      </c>
      <c r="B29" s="12"/>
      <c r="C29" s="12" t="s">
        <v>95</v>
      </c>
      <c r="D29" s="4" t="s">
        <v>96</v>
      </c>
      <c r="E29" s="13">
        <v>3102779389</v>
      </c>
      <c r="F29" s="4" t="s">
        <v>97</v>
      </c>
      <c r="G29" s="7" t="s">
        <v>98</v>
      </c>
      <c r="H29" s="12">
        <v>305</v>
      </c>
      <c r="I29" s="14">
        <v>969679.98999999987</v>
      </c>
      <c r="J29" s="14">
        <v>0.15</v>
      </c>
      <c r="K29" s="3">
        <v>0</v>
      </c>
      <c r="L29" s="15">
        <v>7805.9227119999996</v>
      </c>
    </row>
    <row r="30" spans="1:12" x14ac:dyDescent="0.25">
      <c r="A30" s="12">
        <v>19468999</v>
      </c>
      <c r="B30" s="12"/>
      <c r="C30" s="12" t="s">
        <v>99</v>
      </c>
      <c r="D30" s="4" t="s">
        <v>100</v>
      </c>
      <c r="E30" s="13">
        <v>3204492273</v>
      </c>
      <c r="F30" s="4" t="s">
        <v>101</v>
      </c>
      <c r="G30" s="7">
        <v>11001</v>
      </c>
      <c r="H30" s="12">
        <v>305</v>
      </c>
      <c r="I30" s="14">
        <v>970035</v>
      </c>
      <c r="J30" s="14">
        <v>44407</v>
      </c>
      <c r="K30" s="3">
        <v>0</v>
      </c>
      <c r="L30" s="15">
        <v>7451.3053999999993</v>
      </c>
    </row>
    <row r="31" spans="1:12" x14ac:dyDescent="0.25">
      <c r="A31" s="12">
        <v>1018453391</v>
      </c>
      <c r="B31" s="12"/>
      <c r="C31" s="12" t="s">
        <v>102</v>
      </c>
      <c r="D31" s="4" t="s">
        <v>103</v>
      </c>
      <c r="E31" s="13">
        <v>3125355656</v>
      </c>
      <c r="F31" s="4" t="s">
        <v>104</v>
      </c>
      <c r="G31" s="7">
        <v>11001</v>
      </c>
      <c r="H31" s="12">
        <v>305</v>
      </c>
      <c r="I31" s="14">
        <v>970804.96</v>
      </c>
      <c r="J31" s="14">
        <v>4740.9920000000011</v>
      </c>
      <c r="K31" s="3">
        <v>0</v>
      </c>
      <c r="L31" s="15">
        <v>7776.8149424000003</v>
      </c>
    </row>
    <row r="32" spans="1:12" x14ac:dyDescent="0.25">
      <c r="A32" s="12">
        <v>79343211</v>
      </c>
      <c r="B32" s="12"/>
      <c r="C32" s="12" t="s">
        <v>105</v>
      </c>
      <c r="D32" s="4" t="s">
        <v>106</v>
      </c>
      <c r="E32" s="13">
        <v>7894966</v>
      </c>
      <c r="F32" s="4" t="s">
        <v>107</v>
      </c>
      <c r="G32" s="7">
        <v>11001</v>
      </c>
      <c r="H32" s="12">
        <v>305</v>
      </c>
      <c r="I32" s="14">
        <v>971778.30999999994</v>
      </c>
      <c r="J32" s="14">
        <v>46204.14</v>
      </c>
      <c r="K32" s="3">
        <v>0</v>
      </c>
      <c r="L32" s="15">
        <v>7450.8720684999998</v>
      </c>
    </row>
    <row r="33" spans="1:12" x14ac:dyDescent="0.25">
      <c r="A33" s="12">
        <v>51872622</v>
      </c>
      <c r="B33" s="12"/>
      <c r="C33" s="12" t="s">
        <v>108</v>
      </c>
      <c r="D33" s="4" t="s">
        <v>109</v>
      </c>
      <c r="E33" s="13">
        <v>3212027002</v>
      </c>
      <c r="F33" s="4" t="s">
        <v>110</v>
      </c>
      <c r="G33" s="7">
        <v>11001</v>
      </c>
      <c r="H33" s="12">
        <v>305</v>
      </c>
      <c r="I33" s="14">
        <v>972066</v>
      </c>
      <c r="J33" s="14">
        <v>126013.2</v>
      </c>
      <c r="K33" s="3">
        <v>0</v>
      </c>
      <c r="L33" s="15">
        <v>6810.7250400000012</v>
      </c>
    </row>
    <row r="34" spans="1:12" x14ac:dyDescent="0.25">
      <c r="A34" s="12">
        <v>14956356</v>
      </c>
      <c r="B34" s="12"/>
      <c r="C34" s="12" t="s">
        <v>111</v>
      </c>
      <c r="D34" s="4" t="s">
        <v>112</v>
      </c>
      <c r="E34" s="13">
        <v>6208607</v>
      </c>
      <c r="F34" s="4" t="s">
        <v>113</v>
      </c>
      <c r="G34" s="7">
        <v>11001</v>
      </c>
      <c r="H34" s="12">
        <v>305</v>
      </c>
      <c r="I34" s="14">
        <v>975725.65</v>
      </c>
      <c r="J34" s="14">
        <v>137445.13</v>
      </c>
      <c r="K34" s="3">
        <v>0</v>
      </c>
      <c r="L34" s="15">
        <v>6748.1581859999997</v>
      </c>
    </row>
    <row r="35" spans="1:12" x14ac:dyDescent="0.25">
      <c r="A35" s="12">
        <v>17115480</v>
      </c>
      <c r="B35" s="12"/>
      <c r="C35" s="12" t="s">
        <v>114</v>
      </c>
      <c r="D35" s="4" t="s">
        <v>115</v>
      </c>
      <c r="E35" s="13">
        <v>6264112</v>
      </c>
      <c r="F35" s="4" t="s">
        <v>116</v>
      </c>
      <c r="G35" s="7">
        <v>11001</v>
      </c>
      <c r="H35" s="12">
        <v>305</v>
      </c>
      <c r="I35" s="14">
        <v>975924.56</v>
      </c>
      <c r="J35" s="14">
        <v>52444.912000000004</v>
      </c>
      <c r="K35" s="3">
        <v>0</v>
      </c>
      <c r="L35" s="15">
        <v>7434.0111664000005</v>
      </c>
    </row>
    <row r="36" spans="1:12" x14ac:dyDescent="0.25">
      <c r="A36" s="12">
        <v>1030602920</v>
      </c>
      <c r="B36" s="12"/>
      <c r="C36" s="12" t="s">
        <v>117</v>
      </c>
      <c r="D36" s="4" t="s">
        <v>118</v>
      </c>
      <c r="E36" s="13">
        <v>3112734721</v>
      </c>
      <c r="F36" s="4" t="s">
        <v>119</v>
      </c>
      <c r="G36" s="7">
        <v>11001</v>
      </c>
      <c r="H36" s="12">
        <v>305</v>
      </c>
      <c r="I36" s="14">
        <v>977496.02000000014</v>
      </c>
      <c r="J36" s="14">
        <v>88519.204000000027</v>
      </c>
      <c r="K36" s="3">
        <v>0</v>
      </c>
      <c r="L36" s="15">
        <v>7156.2633688000005</v>
      </c>
    </row>
    <row r="37" spans="1:12" x14ac:dyDescent="0.25">
      <c r="A37" s="12">
        <v>93398050</v>
      </c>
      <c r="B37" s="12"/>
      <c r="C37" s="12" t="s">
        <v>120</v>
      </c>
      <c r="D37" s="4" t="s">
        <v>121</v>
      </c>
      <c r="E37" s="13">
        <v>3212232449</v>
      </c>
      <c r="F37" s="4" t="s">
        <v>122</v>
      </c>
      <c r="G37" s="7">
        <v>11001</v>
      </c>
      <c r="H37" s="12">
        <v>305</v>
      </c>
      <c r="I37" s="14">
        <v>977651.1</v>
      </c>
      <c r="J37" s="14">
        <v>144055.432</v>
      </c>
      <c r="K37" s="3">
        <v>0</v>
      </c>
      <c r="L37" s="15">
        <v>6710.4451273999994</v>
      </c>
    </row>
    <row r="38" spans="1:12" x14ac:dyDescent="0.25">
      <c r="A38" s="12">
        <v>79416492</v>
      </c>
      <c r="B38" s="12"/>
      <c r="C38" s="12" t="s">
        <v>123</v>
      </c>
      <c r="D38" s="4" t="s">
        <v>124</v>
      </c>
      <c r="E38" s="13">
        <v>3137433273</v>
      </c>
      <c r="F38" s="4" t="s">
        <v>125</v>
      </c>
      <c r="G38" s="7">
        <v>11001</v>
      </c>
      <c r="H38" s="12">
        <v>305</v>
      </c>
      <c r="I38" s="14">
        <v>979936.16</v>
      </c>
      <c r="J38" s="14">
        <v>0.15</v>
      </c>
      <c r="K38" s="3">
        <v>0</v>
      </c>
      <c r="L38" s="15">
        <v>7888.4848805000001</v>
      </c>
    </row>
    <row r="39" spans="1:12" x14ac:dyDescent="0.25">
      <c r="A39" s="12">
        <v>17110506</v>
      </c>
      <c r="B39" s="12"/>
      <c r="C39" s="12" t="s">
        <v>126</v>
      </c>
      <c r="D39" s="4" t="s">
        <v>127</v>
      </c>
      <c r="E39" s="13">
        <v>6297964</v>
      </c>
      <c r="F39" s="4" t="s">
        <v>128</v>
      </c>
      <c r="G39" s="7">
        <v>11001</v>
      </c>
      <c r="H39" s="12">
        <v>305</v>
      </c>
      <c r="I39" s="14">
        <v>980686.11</v>
      </c>
      <c r="J39" s="14">
        <v>23037.222000000005</v>
      </c>
      <c r="K39" s="3">
        <v>0</v>
      </c>
      <c r="L39" s="15">
        <v>7709.0735484000006</v>
      </c>
    </row>
    <row r="40" spans="1:12" x14ac:dyDescent="0.25">
      <c r="A40" s="12">
        <v>1010105458</v>
      </c>
      <c r="B40" s="12"/>
      <c r="C40" s="12" t="s">
        <v>129</v>
      </c>
      <c r="D40" s="4" t="s">
        <v>130</v>
      </c>
      <c r="E40" s="13">
        <v>3508434616</v>
      </c>
      <c r="F40" s="4" t="s">
        <v>131</v>
      </c>
      <c r="G40" s="7">
        <v>11001</v>
      </c>
      <c r="H40" s="12">
        <v>305</v>
      </c>
      <c r="I40" s="14">
        <v>981080.04</v>
      </c>
      <c r="J40" s="14">
        <v>6796.0080000000007</v>
      </c>
      <c r="K40" s="3">
        <v>0</v>
      </c>
      <c r="L40" s="15">
        <v>7842.9864576000009</v>
      </c>
    </row>
    <row r="41" spans="1:12" x14ac:dyDescent="0.25">
      <c r="A41" s="12">
        <v>92547264</v>
      </c>
      <c r="B41" s="12"/>
      <c r="C41" s="12" t="s">
        <v>132</v>
      </c>
      <c r="D41" s="4" t="s">
        <v>133</v>
      </c>
      <c r="E41" s="13">
        <v>3205409814</v>
      </c>
      <c r="F41" s="4" t="s">
        <v>134</v>
      </c>
      <c r="G41" s="7">
        <v>11001</v>
      </c>
      <c r="H41" s="12">
        <v>305</v>
      </c>
      <c r="I41" s="14">
        <v>981879</v>
      </c>
      <c r="J41" s="14">
        <v>133575.79999999999</v>
      </c>
      <c r="K41" s="3">
        <v>0</v>
      </c>
      <c r="L41" s="15">
        <v>6828.84076</v>
      </c>
    </row>
    <row r="42" spans="1:12" x14ac:dyDescent="0.25">
      <c r="A42" s="12">
        <v>79487796</v>
      </c>
      <c r="B42" s="12"/>
      <c r="C42" s="12" t="s">
        <v>135</v>
      </c>
      <c r="D42" s="4" t="s">
        <v>136</v>
      </c>
      <c r="E42" s="13">
        <v>3156771541</v>
      </c>
      <c r="F42" s="4" t="s">
        <v>137</v>
      </c>
      <c r="G42" s="7">
        <v>11001</v>
      </c>
      <c r="H42" s="12">
        <v>305</v>
      </c>
      <c r="I42" s="14">
        <v>983971</v>
      </c>
      <c r="J42" s="14">
        <v>104814.2</v>
      </c>
      <c r="K42" s="3">
        <v>0</v>
      </c>
      <c r="L42" s="15">
        <v>7077.2122399999998</v>
      </c>
    </row>
    <row r="43" spans="1:12" x14ac:dyDescent="0.25">
      <c r="A43" s="12">
        <v>860021967</v>
      </c>
      <c r="B43" s="12">
        <v>7</v>
      </c>
      <c r="C43" s="12" t="s">
        <v>138</v>
      </c>
      <c r="D43" s="4" t="s">
        <v>139</v>
      </c>
      <c r="E43" s="13">
        <v>2207236</v>
      </c>
      <c r="F43" s="4" t="s">
        <v>140</v>
      </c>
      <c r="G43" s="7">
        <v>11001</v>
      </c>
      <c r="H43" s="12">
        <v>305</v>
      </c>
      <c r="I43" s="14">
        <v>984177.82000000007</v>
      </c>
      <c r="J43" s="14">
        <v>0.15</v>
      </c>
      <c r="K43" s="3">
        <v>0</v>
      </c>
      <c r="L43" s="15">
        <v>7922.6302434999998</v>
      </c>
    </row>
    <row r="44" spans="1:12" x14ac:dyDescent="0.25">
      <c r="A44" s="12">
        <v>1026254888</v>
      </c>
      <c r="B44" s="12"/>
      <c r="C44" s="12" t="s">
        <v>141</v>
      </c>
      <c r="D44" s="4" t="s">
        <v>142</v>
      </c>
      <c r="E44" s="13">
        <v>3103041562</v>
      </c>
      <c r="F44" s="4" t="s">
        <v>143</v>
      </c>
      <c r="G44" s="7" t="s">
        <v>144</v>
      </c>
      <c r="H44" s="12">
        <v>305</v>
      </c>
      <c r="I44" s="14">
        <v>985225.34</v>
      </c>
      <c r="J44" s="14">
        <v>147065.068</v>
      </c>
      <c r="K44" s="3">
        <v>0</v>
      </c>
      <c r="L44" s="15">
        <v>6747.1901896000008</v>
      </c>
    </row>
    <row r="45" spans="1:12" x14ac:dyDescent="0.25">
      <c r="A45" s="12">
        <v>80031656</v>
      </c>
      <c r="B45" s="12"/>
      <c r="C45" s="12" t="s">
        <v>145</v>
      </c>
      <c r="D45" s="4" t="s">
        <v>146</v>
      </c>
      <c r="E45" s="13">
        <v>3102553136</v>
      </c>
      <c r="F45" s="4" t="s">
        <v>147</v>
      </c>
      <c r="G45" s="7">
        <v>11001</v>
      </c>
      <c r="H45" s="12">
        <v>305</v>
      </c>
      <c r="I45" s="14">
        <v>985828.81</v>
      </c>
      <c r="J45" s="14">
        <v>90185.762000000032</v>
      </c>
      <c r="K45" s="3">
        <v>0</v>
      </c>
      <c r="L45" s="15">
        <v>7209.9265364000003</v>
      </c>
    </row>
    <row r="46" spans="1:12" x14ac:dyDescent="0.25">
      <c r="A46" s="12">
        <v>73188562</v>
      </c>
      <c r="B46" s="12"/>
      <c r="C46" s="12" t="s">
        <v>148</v>
      </c>
      <c r="D46" s="4" t="s">
        <v>149</v>
      </c>
      <c r="E46" s="13">
        <v>3137168962</v>
      </c>
      <c r="F46" s="4" t="s">
        <v>150</v>
      </c>
      <c r="G46" s="7">
        <v>11001</v>
      </c>
      <c r="H46" s="12">
        <v>305</v>
      </c>
      <c r="I46" s="14">
        <v>986561</v>
      </c>
      <c r="J46" s="14">
        <v>71031.600000000006</v>
      </c>
      <c r="K46" s="3">
        <v>0</v>
      </c>
      <c r="L46" s="15">
        <v>7370.0116700000008</v>
      </c>
    </row>
    <row r="47" spans="1:12" x14ac:dyDescent="0.25">
      <c r="A47" s="12">
        <v>19320307</v>
      </c>
      <c r="B47" s="12"/>
      <c r="C47" s="12" t="s">
        <v>151</v>
      </c>
      <c r="D47" s="4" t="s">
        <v>152</v>
      </c>
      <c r="E47" s="13">
        <v>6120873</v>
      </c>
      <c r="F47" s="4" t="s">
        <v>153</v>
      </c>
      <c r="G47" s="7">
        <v>11001</v>
      </c>
      <c r="H47" s="12">
        <v>305</v>
      </c>
      <c r="I47" s="14">
        <v>987912.87999999989</v>
      </c>
      <c r="J47" s="14">
        <v>102328.45999999998</v>
      </c>
      <c r="K47" s="3">
        <v>0</v>
      </c>
      <c r="L47" s="15">
        <v>7128.954581</v>
      </c>
    </row>
    <row r="48" spans="1:12" x14ac:dyDescent="0.25">
      <c r="A48" s="12">
        <v>900418770</v>
      </c>
      <c r="B48" s="12">
        <v>3</v>
      </c>
      <c r="C48" s="12" t="s">
        <v>154</v>
      </c>
      <c r="D48" s="4" t="s">
        <v>155</v>
      </c>
      <c r="E48" s="13">
        <v>6217714</v>
      </c>
      <c r="F48" s="4" t="s">
        <v>156</v>
      </c>
      <c r="G48" s="7">
        <v>11001</v>
      </c>
      <c r="H48" s="12">
        <v>305</v>
      </c>
      <c r="I48" s="14">
        <v>988000</v>
      </c>
      <c r="J48" s="14">
        <v>0.15</v>
      </c>
      <c r="K48" s="3">
        <v>0</v>
      </c>
      <c r="L48" s="15">
        <v>7953.3987925000001</v>
      </c>
    </row>
    <row r="49" spans="1:12" x14ac:dyDescent="0.25">
      <c r="A49" s="12">
        <v>1031122351</v>
      </c>
      <c r="B49" s="12"/>
      <c r="C49" s="12" t="s">
        <v>157</v>
      </c>
      <c r="D49" s="4" t="s">
        <v>158</v>
      </c>
      <c r="E49" s="13">
        <v>3163553257</v>
      </c>
      <c r="F49" s="4" t="s">
        <v>159</v>
      </c>
      <c r="G49" s="7">
        <v>11001</v>
      </c>
      <c r="H49" s="12">
        <v>305</v>
      </c>
      <c r="I49" s="14">
        <v>988207</v>
      </c>
      <c r="J49" s="14">
        <v>88963.753999999986</v>
      </c>
      <c r="K49" s="3">
        <v>0</v>
      </c>
      <c r="L49" s="15">
        <v>7238.9081303000003</v>
      </c>
    </row>
    <row r="50" spans="1:12" x14ac:dyDescent="0.25">
      <c r="A50" s="12">
        <v>81717236</v>
      </c>
      <c r="B50" s="12"/>
      <c r="C50" s="12" t="s">
        <v>160</v>
      </c>
      <c r="D50" s="4" t="s">
        <v>161</v>
      </c>
      <c r="E50" s="13">
        <v>3143307081</v>
      </c>
      <c r="F50" s="4" t="s">
        <v>162</v>
      </c>
      <c r="G50" s="7">
        <v>11001</v>
      </c>
      <c r="H50" s="12">
        <v>305</v>
      </c>
      <c r="I50" s="14">
        <v>989367.30999999982</v>
      </c>
      <c r="J50" s="14">
        <v>131577.32399999999</v>
      </c>
      <c r="K50" s="3">
        <v>0</v>
      </c>
      <c r="L50" s="15">
        <v>6905.2093872999985</v>
      </c>
    </row>
    <row r="51" spans="1:12" x14ac:dyDescent="0.25">
      <c r="A51" s="12">
        <v>1014189691</v>
      </c>
      <c r="B51" s="12"/>
      <c r="C51" s="12" t="s">
        <v>163</v>
      </c>
      <c r="D51" s="4" t="s">
        <v>164</v>
      </c>
      <c r="E51" s="13">
        <v>3147970398</v>
      </c>
      <c r="F51" s="4" t="s">
        <v>165</v>
      </c>
      <c r="G51" s="7">
        <v>11001</v>
      </c>
      <c r="H51" s="12">
        <v>305</v>
      </c>
      <c r="I51" s="14">
        <v>989892.21000000043</v>
      </c>
      <c r="J51" s="14">
        <v>195759.95400000006</v>
      </c>
      <c r="K51" s="3">
        <v>0</v>
      </c>
      <c r="L51" s="15">
        <v>6392.7646608000032</v>
      </c>
    </row>
    <row r="52" spans="1:12" x14ac:dyDescent="0.25">
      <c r="A52" s="12">
        <v>9078611</v>
      </c>
      <c r="B52" s="12"/>
      <c r="C52" s="12" t="s">
        <v>166</v>
      </c>
      <c r="D52" s="4" t="s">
        <v>167</v>
      </c>
      <c r="E52" s="13">
        <v>3173671520</v>
      </c>
      <c r="F52" s="4" t="s">
        <v>168</v>
      </c>
      <c r="G52" s="7">
        <v>11001</v>
      </c>
      <c r="H52" s="12">
        <v>305</v>
      </c>
      <c r="I52" s="14">
        <v>990543.49</v>
      </c>
      <c r="J52" s="14">
        <v>129648.698</v>
      </c>
      <c r="K52" s="3">
        <v>0</v>
      </c>
      <c r="L52" s="15">
        <v>6930.2030756000004</v>
      </c>
    </row>
    <row r="53" spans="1:12" x14ac:dyDescent="0.25">
      <c r="A53" s="12">
        <v>79854600</v>
      </c>
      <c r="B53" s="12"/>
      <c r="C53" s="12" t="s">
        <v>169</v>
      </c>
      <c r="D53" s="4" t="s">
        <v>170</v>
      </c>
      <c r="E53" s="13">
        <v>3103499682</v>
      </c>
      <c r="F53" s="4" t="s">
        <v>171</v>
      </c>
      <c r="G53" s="7" t="s">
        <v>172</v>
      </c>
      <c r="H53" s="12">
        <v>305</v>
      </c>
      <c r="I53" s="14">
        <v>991434.62999999977</v>
      </c>
      <c r="J53" s="14">
        <v>105019.19399999994</v>
      </c>
      <c r="K53" s="3">
        <v>0</v>
      </c>
      <c r="L53" s="15">
        <v>7135.6442597999985</v>
      </c>
    </row>
    <row r="54" spans="1:12" x14ac:dyDescent="0.25">
      <c r="A54" s="12">
        <v>79519959</v>
      </c>
      <c r="B54" s="12"/>
      <c r="C54" s="12" t="s">
        <v>173</v>
      </c>
      <c r="D54" s="4" t="s">
        <v>174</v>
      </c>
      <c r="E54" s="13">
        <v>3232298208</v>
      </c>
      <c r="F54" s="4" t="s">
        <v>175</v>
      </c>
      <c r="G54" s="7">
        <v>11001</v>
      </c>
      <c r="H54" s="12">
        <v>305</v>
      </c>
      <c r="I54" s="14">
        <v>992626.89000000025</v>
      </c>
      <c r="J54" s="14">
        <v>168545.37800000006</v>
      </c>
      <c r="K54" s="3">
        <v>0</v>
      </c>
      <c r="L54" s="15">
        <v>6633.8561716000022</v>
      </c>
    </row>
    <row r="55" spans="1:12" x14ac:dyDescent="0.25">
      <c r="A55" s="12">
        <v>1098636898</v>
      </c>
      <c r="B55" s="12"/>
      <c r="C55" s="12" t="s">
        <v>176</v>
      </c>
      <c r="D55" s="4" t="s">
        <v>177</v>
      </c>
      <c r="E55" s="13">
        <v>3132622240</v>
      </c>
      <c r="F55" s="4" t="s">
        <v>178</v>
      </c>
      <c r="G55" s="7">
        <v>11001</v>
      </c>
      <c r="H55" s="12">
        <v>305</v>
      </c>
      <c r="I55" s="14">
        <v>992891.94000000006</v>
      </c>
      <c r="J55" s="14">
        <v>55684.744000000021</v>
      </c>
      <c r="K55" s="3">
        <v>0</v>
      </c>
      <c r="L55" s="15">
        <v>7544.5179278000005</v>
      </c>
    </row>
    <row r="56" spans="1:12" x14ac:dyDescent="0.25">
      <c r="A56" s="12">
        <v>13746212</v>
      </c>
      <c r="B56" s="12"/>
      <c r="C56" s="12" t="s">
        <v>179</v>
      </c>
      <c r="D56" s="4" t="s">
        <v>180</v>
      </c>
      <c r="E56" s="13">
        <v>3144140503</v>
      </c>
      <c r="F56" s="4" t="s">
        <v>181</v>
      </c>
      <c r="G56" s="7">
        <v>11001</v>
      </c>
      <c r="H56" s="12">
        <v>305</v>
      </c>
      <c r="I56" s="14">
        <v>993118.79999999981</v>
      </c>
      <c r="J56" s="14">
        <v>78703.759999999966</v>
      </c>
      <c r="K56" s="3">
        <v>0</v>
      </c>
      <c r="L56" s="15">
        <v>7361.0410719999991</v>
      </c>
    </row>
    <row r="57" spans="1:12" x14ac:dyDescent="0.25">
      <c r="A57" s="12">
        <v>19208872</v>
      </c>
      <c r="B57" s="12"/>
      <c r="C57" s="12" t="s">
        <v>182</v>
      </c>
      <c r="D57" s="4" t="s">
        <v>183</v>
      </c>
      <c r="E57" s="13">
        <v>3219926631</v>
      </c>
      <c r="F57" s="4" t="s">
        <v>184</v>
      </c>
      <c r="G57" s="7">
        <v>11001</v>
      </c>
      <c r="H57" s="12">
        <v>305</v>
      </c>
      <c r="I57" s="14">
        <v>993545.52</v>
      </c>
      <c r="J57" s="14">
        <v>79981.371999999988</v>
      </c>
      <c r="K57" s="3">
        <v>0</v>
      </c>
      <c r="L57" s="15">
        <v>7354.1913914000006</v>
      </c>
    </row>
    <row r="58" spans="1:12" x14ac:dyDescent="0.25">
      <c r="A58" s="12">
        <v>1140877634</v>
      </c>
      <c r="B58" s="12"/>
      <c r="C58" s="12" t="s">
        <v>185</v>
      </c>
      <c r="D58" s="4" t="s">
        <v>186</v>
      </c>
      <c r="E58" s="13">
        <v>3007474354</v>
      </c>
      <c r="F58" s="4" t="s">
        <v>187</v>
      </c>
      <c r="G58" s="7">
        <v>11001</v>
      </c>
      <c r="H58" s="12">
        <v>305</v>
      </c>
      <c r="I58" s="14">
        <v>996157.28</v>
      </c>
      <c r="J58" s="14">
        <v>81351.455999999991</v>
      </c>
      <c r="K58" s="3">
        <v>0</v>
      </c>
      <c r="L58" s="15">
        <v>7364.1868832</v>
      </c>
    </row>
    <row r="59" spans="1:12" x14ac:dyDescent="0.25">
      <c r="A59" s="12">
        <v>17024562</v>
      </c>
      <c r="B59" s="12"/>
      <c r="C59" s="12" t="s">
        <v>188</v>
      </c>
      <c r="D59" s="4" t="s">
        <v>189</v>
      </c>
      <c r="E59" s="13">
        <v>3158661496</v>
      </c>
      <c r="F59" s="4" t="s">
        <v>190</v>
      </c>
      <c r="G59" s="7">
        <v>11001</v>
      </c>
      <c r="H59" s="12">
        <v>305</v>
      </c>
      <c r="I59" s="14">
        <v>997214.19000000006</v>
      </c>
      <c r="J59" s="14">
        <v>98574.818000000014</v>
      </c>
      <c r="K59" s="3">
        <v>0</v>
      </c>
      <c r="L59" s="15">
        <v>7234.0469446000016</v>
      </c>
    </row>
    <row r="60" spans="1:12" x14ac:dyDescent="0.25">
      <c r="A60" s="12">
        <v>19209269</v>
      </c>
      <c r="B60" s="12"/>
      <c r="C60" s="12" t="s">
        <v>191</v>
      </c>
      <c r="D60" s="4" t="s">
        <v>192</v>
      </c>
      <c r="E60" s="13">
        <v>7575470</v>
      </c>
      <c r="F60" s="4" t="s">
        <v>193</v>
      </c>
      <c r="G60" s="7">
        <v>11001</v>
      </c>
      <c r="H60" s="12">
        <v>305</v>
      </c>
      <c r="I60" s="14">
        <v>997503.2300000001</v>
      </c>
      <c r="J60" s="14">
        <v>125407.53600000002</v>
      </c>
      <c r="K60" s="3">
        <v>0</v>
      </c>
      <c r="L60" s="15">
        <v>7020.3703367000016</v>
      </c>
    </row>
    <row r="61" spans="1:12" x14ac:dyDescent="0.25">
      <c r="A61" s="12">
        <v>80063022</v>
      </c>
      <c r="B61" s="12"/>
      <c r="C61" s="12" t="s">
        <v>194</v>
      </c>
      <c r="D61" s="4" t="s">
        <v>195</v>
      </c>
      <c r="E61" s="13">
        <v>3203331118</v>
      </c>
      <c r="F61" s="4" t="s">
        <v>196</v>
      </c>
      <c r="G61" s="7">
        <v>11001</v>
      </c>
      <c r="H61" s="12">
        <v>305</v>
      </c>
      <c r="I61" s="14">
        <v>997542.27</v>
      </c>
      <c r="J61" s="14">
        <v>94883.745999999999</v>
      </c>
      <c r="K61" s="3">
        <v>0</v>
      </c>
      <c r="L61" s="15">
        <v>7266.4011182000004</v>
      </c>
    </row>
    <row r="62" spans="1:12" x14ac:dyDescent="0.25">
      <c r="A62" s="12">
        <v>17015457</v>
      </c>
      <c r="B62" s="12"/>
      <c r="C62" s="12" t="s">
        <v>197</v>
      </c>
      <c r="D62" s="4" t="s">
        <v>198</v>
      </c>
      <c r="E62" s="13">
        <v>2222604</v>
      </c>
      <c r="F62" s="4" t="s">
        <v>199</v>
      </c>
      <c r="G62" s="7">
        <v>11001</v>
      </c>
      <c r="H62" s="12">
        <v>305</v>
      </c>
      <c r="I62" s="14">
        <v>997647.2300000001</v>
      </c>
      <c r="J62" s="14">
        <v>74796.838000000003</v>
      </c>
      <c r="K62" s="3">
        <v>0</v>
      </c>
      <c r="L62" s="15">
        <v>7428.9456556000014</v>
      </c>
    </row>
    <row r="63" spans="1:12" x14ac:dyDescent="0.25">
      <c r="A63" s="12">
        <v>19329875</v>
      </c>
      <c r="B63" s="12"/>
      <c r="C63" s="12" t="s">
        <v>200</v>
      </c>
      <c r="D63" s="4" t="s">
        <v>201</v>
      </c>
      <c r="E63" s="13">
        <v>6299561</v>
      </c>
      <c r="F63" s="4" t="s">
        <v>202</v>
      </c>
      <c r="G63" s="7">
        <v>11001</v>
      </c>
      <c r="H63" s="12">
        <v>305</v>
      </c>
      <c r="I63" s="14">
        <v>997716.66999999993</v>
      </c>
      <c r="J63" s="14">
        <v>119278.79399999998</v>
      </c>
      <c r="K63" s="3">
        <v>0</v>
      </c>
      <c r="L63" s="15">
        <v>7071.4249017999991</v>
      </c>
    </row>
    <row r="64" spans="1:12" x14ac:dyDescent="0.25">
      <c r="A64" s="12">
        <v>7165970</v>
      </c>
      <c r="B64" s="12"/>
      <c r="C64" s="12" t="s">
        <v>203</v>
      </c>
      <c r="D64" s="4" t="s">
        <v>204</v>
      </c>
      <c r="E64" s="13">
        <v>3006565856</v>
      </c>
      <c r="F64" s="4" t="s">
        <v>205</v>
      </c>
      <c r="G64" s="7">
        <v>11001</v>
      </c>
      <c r="H64" s="12">
        <v>305</v>
      </c>
      <c r="I64" s="14">
        <v>997777.27</v>
      </c>
      <c r="J64" s="14">
        <v>199555.454</v>
      </c>
      <c r="K64" s="3">
        <v>0</v>
      </c>
      <c r="L64" s="15">
        <v>6425.6856187999992</v>
      </c>
    </row>
    <row r="65" spans="1:12" x14ac:dyDescent="0.25">
      <c r="A65" s="12">
        <v>1015419380</v>
      </c>
      <c r="B65" s="12"/>
      <c r="C65" s="12" t="s">
        <v>206</v>
      </c>
      <c r="D65" s="4" t="s">
        <v>207</v>
      </c>
      <c r="E65" s="13">
        <v>3122132481</v>
      </c>
      <c r="F65" s="4" t="s">
        <v>208</v>
      </c>
      <c r="G65" s="7">
        <v>11001</v>
      </c>
      <c r="H65" s="12">
        <v>305</v>
      </c>
      <c r="I65" s="14">
        <v>998912.79000000015</v>
      </c>
      <c r="J65" s="14">
        <v>128462.55800000002</v>
      </c>
      <c r="K65" s="3">
        <v>0</v>
      </c>
      <c r="L65" s="15">
        <v>7007.1243676000013</v>
      </c>
    </row>
    <row r="66" spans="1:12" x14ac:dyDescent="0.25">
      <c r="A66" s="12">
        <v>80268650</v>
      </c>
      <c r="B66" s="12"/>
      <c r="C66" s="12" t="s">
        <v>209</v>
      </c>
      <c r="D66" s="4" t="s">
        <v>210</v>
      </c>
      <c r="E66" s="13">
        <v>3114523526</v>
      </c>
      <c r="F66" s="4" t="s">
        <v>211</v>
      </c>
      <c r="G66" s="7">
        <v>11001</v>
      </c>
      <c r="H66" s="12">
        <v>305</v>
      </c>
      <c r="I66" s="14">
        <v>1000529.0000000003</v>
      </c>
      <c r="J66" s="14">
        <v>125825.80000000008</v>
      </c>
      <c r="K66" s="3">
        <v>0</v>
      </c>
      <c r="L66" s="15">
        <v>7041.3607600000023</v>
      </c>
    </row>
    <row r="67" spans="1:12" x14ac:dyDescent="0.25">
      <c r="A67" s="12">
        <v>1085247839</v>
      </c>
      <c r="B67" s="12"/>
      <c r="C67" s="12" t="s">
        <v>212</v>
      </c>
      <c r="D67" s="4" t="s">
        <v>213</v>
      </c>
      <c r="E67" s="13">
        <v>3208333399</v>
      </c>
      <c r="F67" s="4" t="s">
        <v>214</v>
      </c>
      <c r="G67" s="7">
        <v>44650</v>
      </c>
      <c r="H67" s="12">
        <v>305</v>
      </c>
      <c r="I67" s="14">
        <v>1000747.72</v>
      </c>
      <c r="J67" s="14">
        <v>200149.54399999999</v>
      </c>
      <c r="K67" s="3">
        <v>0</v>
      </c>
      <c r="L67" s="15">
        <v>6444.8153168000008</v>
      </c>
    </row>
    <row r="68" spans="1:12" x14ac:dyDescent="0.25">
      <c r="A68" s="12">
        <v>11187711</v>
      </c>
      <c r="B68" s="12"/>
      <c r="C68" s="12" t="s">
        <v>215</v>
      </c>
      <c r="D68" s="4" t="s">
        <v>216</v>
      </c>
      <c r="E68" s="13">
        <v>3229476564</v>
      </c>
      <c r="F68" s="4" t="s">
        <v>217</v>
      </c>
      <c r="G68" s="7">
        <v>11001</v>
      </c>
      <c r="H68" s="12">
        <v>305</v>
      </c>
      <c r="I68" s="14">
        <v>1000966.2100000003</v>
      </c>
      <c r="J68" s="14">
        <v>69927.014000000054</v>
      </c>
      <c r="K68" s="3">
        <v>0</v>
      </c>
      <c r="L68" s="15">
        <v>7494.8655278000024</v>
      </c>
    </row>
    <row r="69" spans="1:12" x14ac:dyDescent="0.25">
      <c r="A69" s="12">
        <v>79852319</v>
      </c>
      <c r="B69" s="12"/>
      <c r="C69" s="12" t="s">
        <v>218</v>
      </c>
      <c r="D69" s="4" t="s">
        <v>219</v>
      </c>
      <c r="E69" s="13">
        <v>3006728668</v>
      </c>
      <c r="F69" s="4" t="s">
        <v>220</v>
      </c>
      <c r="G69" s="7" t="s">
        <v>221</v>
      </c>
      <c r="H69" s="12">
        <v>305</v>
      </c>
      <c r="I69" s="14">
        <v>1001498.2499999999</v>
      </c>
      <c r="J69" s="14">
        <v>69124.521999999983</v>
      </c>
      <c r="K69" s="3">
        <v>0</v>
      </c>
      <c r="L69" s="15">
        <v>7505.6085103999994</v>
      </c>
    </row>
    <row r="70" spans="1:12" x14ac:dyDescent="0.25">
      <c r="A70" s="12">
        <v>30016790</v>
      </c>
      <c r="B70" s="12"/>
      <c r="C70" s="12" t="s">
        <v>222</v>
      </c>
      <c r="D70" s="4" t="s">
        <v>223</v>
      </c>
      <c r="E70" s="13">
        <v>3168760739</v>
      </c>
      <c r="F70" s="4" t="s">
        <v>224</v>
      </c>
      <c r="G70" s="7">
        <v>50001</v>
      </c>
      <c r="H70" s="12">
        <v>305</v>
      </c>
      <c r="I70" s="14">
        <v>1002285.04</v>
      </c>
      <c r="J70" s="14">
        <v>34203.562000000005</v>
      </c>
      <c r="K70" s="3">
        <v>0</v>
      </c>
      <c r="L70" s="15">
        <v>7793.0558979000007</v>
      </c>
    </row>
    <row r="71" spans="1:12" x14ac:dyDescent="0.25">
      <c r="A71" s="12">
        <v>80251133</v>
      </c>
      <c r="B71" s="12"/>
      <c r="C71" s="12" t="s">
        <v>225</v>
      </c>
      <c r="D71" s="4" t="s">
        <v>226</v>
      </c>
      <c r="E71" s="13">
        <v>3145864127</v>
      </c>
      <c r="F71" s="4" t="s">
        <v>227</v>
      </c>
      <c r="G71" s="7">
        <v>11001</v>
      </c>
      <c r="H71" s="12">
        <v>305</v>
      </c>
      <c r="I71" s="14">
        <v>1002855.9900000002</v>
      </c>
      <c r="J71" s="14">
        <v>126531.19800000005</v>
      </c>
      <c r="K71" s="3">
        <v>0</v>
      </c>
      <c r="L71" s="15">
        <v>7054.4145756000016</v>
      </c>
    </row>
    <row r="72" spans="1:12" x14ac:dyDescent="0.25">
      <c r="A72" s="12">
        <v>3181686</v>
      </c>
      <c r="B72" s="12"/>
      <c r="C72" s="12" t="s">
        <v>228</v>
      </c>
      <c r="D72" s="4" t="s">
        <v>229</v>
      </c>
      <c r="E72" s="13">
        <v>3102995382</v>
      </c>
      <c r="F72" s="4" t="s">
        <v>230</v>
      </c>
      <c r="G72" s="7">
        <v>11001</v>
      </c>
      <c r="H72" s="12">
        <v>305</v>
      </c>
      <c r="I72" s="14">
        <v>1005035.6599999999</v>
      </c>
      <c r="J72" s="14">
        <v>52927.131999999991</v>
      </c>
      <c r="K72" s="3">
        <v>0</v>
      </c>
      <c r="L72" s="15">
        <v>7664.4736504000002</v>
      </c>
    </row>
    <row r="73" spans="1:12" x14ac:dyDescent="0.25">
      <c r="A73" s="12">
        <v>94379905</v>
      </c>
      <c r="B73" s="12"/>
      <c r="C73" s="12" t="s">
        <v>231</v>
      </c>
      <c r="D73" s="4" t="s">
        <v>232</v>
      </c>
      <c r="E73" s="13">
        <v>3118103303</v>
      </c>
      <c r="F73" s="4" t="s">
        <v>233</v>
      </c>
      <c r="G73" s="7">
        <v>11001</v>
      </c>
      <c r="H73" s="12">
        <v>305</v>
      </c>
      <c r="I73" s="14">
        <v>1008816</v>
      </c>
      <c r="J73" s="14">
        <v>59123.199999999997</v>
      </c>
      <c r="K73" s="3">
        <v>0</v>
      </c>
      <c r="L73" s="15">
        <v>7645.0270400000009</v>
      </c>
    </row>
    <row r="74" spans="1:12" x14ac:dyDescent="0.25">
      <c r="A74" s="12">
        <v>1032440683</v>
      </c>
      <c r="B74" s="12"/>
      <c r="C74" s="12" t="s">
        <v>234</v>
      </c>
      <c r="D74" s="4" t="s">
        <v>235</v>
      </c>
      <c r="E74" s="13">
        <v>3107698298</v>
      </c>
      <c r="F74" s="4" t="s">
        <v>236</v>
      </c>
      <c r="G74" s="7">
        <v>11001</v>
      </c>
      <c r="H74" s="12">
        <v>305</v>
      </c>
      <c r="I74" s="14">
        <v>1012516.7800000001</v>
      </c>
      <c r="J74" s="14">
        <v>101203.23600000002</v>
      </c>
      <c r="K74" s="3">
        <v>0</v>
      </c>
      <c r="L74" s="15">
        <v>7336.074029200001</v>
      </c>
    </row>
    <row r="75" spans="1:12" x14ac:dyDescent="0.25">
      <c r="A75" s="12">
        <v>16756892</v>
      </c>
      <c r="B75" s="12"/>
      <c r="C75" s="12" t="s">
        <v>237</v>
      </c>
      <c r="D75" s="4" t="s">
        <v>238</v>
      </c>
      <c r="E75" s="13">
        <v>3112017674</v>
      </c>
      <c r="F75" s="4" t="s">
        <v>239</v>
      </c>
      <c r="G75" s="7">
        <v>11001</v>
      </c>
      <c r="H75" s="12">
        <v>305</v>
      </c>
      <c r="I75" s="14">
        <v>1012867.17</v>
      </c>
      <c r="J75" s="14">
        <v>86329.063999999984</v>
      </c>
      <c r="K75" s="3">
        <v>0</v>
      </c>
      <c r="L75" s="15">
        <v>7458.631753300001</v>
      </c>
    </row>
    <row r="76" spans="1:12" x14ac:dyDescent="0.25">
      <c r="A76" s="12">
        <v>80871288</v>
      </c>
      <c r="B76" s="12"/>
      <c r="C76" s="12" t="s">
        <v>240</v>
      </c>
      <c r="D76" s="4" t="s">
        <v>241</v>
      </c>
      <c r="E76" s="13">
        <v>3013812895</v>
      </c>
      <c r="F76" s="4" t="s">
        <v>242</v>
      </c>
      <c r="G76" s="7">
        <v>11001</v>
      </c>
      <c r="H76" s="12">
        <v>305</v>
      </c>
      <c r="I76" s="14">
        <v>1012922.8900000001</v>
      </c>
      <c r="J76" s="14">
        <v>159643.40000000002</v>
      </c>
      <c r="K76" s="3">
        <v>0</v>
      </c>
      <c r="L76" s="15">
        <v>6868.8998945000012</v>
      </c>
    </row>
    <row r="77" spans="1:12" x14ac:dyDescent="0.25">
      <c r="A77" s="12">
        <v>79962342</v>
      </c>
      <c r="B77" s="12"/>
      <c r="C77" s="12" t="s">
        <v>243</v>
      </c>
      <c r="D77" s="4" t="s">
        <v>244</v>
      </c>
      <c r="E77" s="13">
        <v>3229501568</v>
      </c>
      <c r="F77" s="4" t="s">
        <v>245</v>
      </c>
      <c r="G77" s="7">
        <v>11001</v>
      </c>
      <c r="H77" s="12">
        <v>305</v>
      </c>
      <c r="I77" s="14">
        <v>1014566.5099999999</v>
      </c>
      <c r="J77" s="14">
        <v>28037.43</v>
      </c>
      <c r="K77" s="3">
        <v>0</v>
      </c>
      <c r="L77" s="15">
        <v>7941.5590939999984</v>
      </c>
    </row>
    <row r="78" spans="1:12" x14ac:dyDescent="0.25">
      <c r="A78" s="12">
        <v>20049539</v>
      </c>
      <c r="B78" s="12"/>
      <c r="C78" s="12" t="s">
        <v>246</v>
      </c>
      <c r="D78" s="4" t="s">
        <v>247</v>
      </c>
      <c r="E78" s="13">
        <v>4762831</v>
      </c>
      <c r="F78" s="4" t="s">
        <v>248</v>
      </c>
      <c r="G78" s="7">
        <v>11001</v>
      </c>
      <c r="H78" s="12">
        <v>305</v>
      </c>
      <c r="I78" s="14">
        <v>1016000</v>
      </c>
      <c r="J78" s="14">
        <v>0.15</v>
      </c>
      <c r="K78" s="3">
        <v>0</v>
      </c>
      <c r="L78" s="15">
        <v>8178.7987924999998</v>
      </c>
    </row>
    <row r="79" spans="1:12" x14ac:dyDescent="0.25">
      <c r="A79" s="12">
        <v>1018462825</v>
      </c>
      <c r="B79" s="12"/>
      <c r="C79" s="12" t="s">
        <v>249</v>
      </c>
      <c r="D79" s="4" t="s">
        <v>250</v>
      </c>
      <c r="E79" s="13">
        <v>3165206700</v>
      </c>
      <c r="F79" s="4" t="s">
        <v>251</v>
      </c>
      <c r="G79" s="7">
        <v>11001</v>
      </c>
      <c r="H79" s="12">
        <v>305</v>
      </c>
      <c r="I79" s="14">
        <v>1016261</v>
      </c>
      <c r="J79" s="14">
        <v>14852.2</v>
      </c>
      <c r="K79" s="3">
        <v>0</v>
      </c>
      <c r="L79" s="15">
        <v>8061.3408399999998</v>
      </c>
    </row>
    <row r="80" spans="1:12" x14ac:dyDescent="0.25">
      <c r="A80" s="12">
        <v>17062154</v>
      </c>
      <c r="B80" s="12"/>
      <c r="C80" s="12" t="s">
        <v>252</v>
      </c>
      <c r="D80" s="4" t="s">
        <v>253</v>
      </c>
      <c r="E80" s="13">
        <v>6147816</v>
      </c>
      <c r="F80" s="4" t="s">
        <v>254</v>
      </c>
      <c r="G80" s="7">
        <v>11001</v>
      </c>
      <c r="H80" s="12">
        <v>305</v>
      </c>
      <c r="I80" s="14">
        <v>1016779</v>
      </c>
      <c r="J80" s="14">
        <v>102035.8</v>
      </c>
      <c r="K80" s="3">
        <v>0</v>
      </c>
      <c r="L80" s="15">
        <v>7363.6827599999997</v>
      </c>
    </row>
    <row r="81" spans="1:12" x14ac:dyDescent="0.25">
      <c r="A81" s="12">
        <v>80009200</v>
      </c>
      <c r="B81" s="12"/>
      <c r="C81" s="12" t="s">
        <v>255</v>
      </c>
      <c r="D81" s="4" t="s">
        <v>256</v>
      </c>
      <c r="E81" s="13">
        <v>3012387828</v>
      </c>
      <c r="F81" s="4" t="s">
        <v>257</v>
      </c>
      <c r="G81" s="7">
        <v>11001</v>
      </c>
      <c r="H81" s="12">
        <v>305</v>
      </c>
      <c r="I81" s="14">
        <v>1017222</v>
      </c>
      <c r="J81" s="14">
        <v>3444.2</v>
      </c>
      <c r="K81" s="3">
        <v>0</v>
      </c>
      <c r="L81" s="15">
        <v>8160.9112900000009</v>
      </c>
    </row>
    <row r="82" spans="1:12" x14ac:dyDescent="0.25">
      <c r="A82" s="12">
        <v>19218659</v>
      </c>
      <c r="B82" s="12"/>
      <c r="C82" s="12" t="s">
        <v>258</v>
      </c>
      <c r="D82" s="4" t="s">
        <v>259</v>
      </c>
      <c r="E82" s="13">
        <v>3105690214</v>
      </c>
      <c r="F82" s="4" t="s">
        <v>260</v>
      </c>
      <c r="G82" s="7">
        <v>11001</v>
      </c>
      <c r="H82" s="12">
        <v>305</v>
      </c>
      <c r="I82" s="14">
        <v>1017674.93</v>
      </c>
      <c r="J82" s="14">
        <v>96554.986000000019</v>
      </c>
      <c r="K82" s="3">
        <v>0</v>
      </c>
      <c r="L82" s="15">
        <v>7415.0155492000004</v>
      </c>
    </row>
    <row r="83" spans="1:12" x14ac:dyDescent="0.25">
      <c r="A83" s="12">
        <v>80731403</v>
      </c>
      <c r="B83" s="12"/>
      <c r="C83" s="12" t="s">
        <v>261</v>
      </c>
      <c r="D83" s="4" t="s">
        <v>262</v>
      </c>
      <c r="E83" s="13">
        <v>3108030336</v>
      </c>
      <c r="F83" s="4" t="s">
        <v>263</v>
      </c>
      <c r="G83" s="7" t="s">
        <v>264</v>
      </c>
      <c r="H83" s="12">
        <v>305</v>
      </c>
      <c r="I83" s="14">
        <v>1021004.1200000001</v>
      </c>
      <c r="J83" s="14">
        <v>127814.82400000002</v>
      </c>
      <c r="K83" s="3">
        <v>0</v>
      </c>
      <c r="L83" s="15">
        <v>7190.173832800001</v>
      </c>
    </row>
    <row r="84" spans="1:12" x14ac:dyDescent="0.25">
      <c r="A84" s="12">
        <v>14950980</v>
      </c>
      <c r="B84" s="12"/>
      <c r="C84" s="12" t="s">
        <v>265</v>
      </c>
      <c r="D84" s="4" t="s">
        <v>266</v>
      </c>
      <c r="E84" s="13">
        <v>3128437721</v>
      </c>
      <c r="F84" s="4" t="s">
        <v>267</v>
      </c>
      <c r="G84" s="7">
        <v>11001</v>
      </c>
      <c r="H84" s="12">
        <v>305</v>
      </c>
      <c r="I84" s="14">
        <v>1022877.1799999995</v>
      </c>
      <c r="J84" s="14">
        <v>135481.31999999992</v>
      </c>
      <c r="K84" s="3">
        <v>0</v>
      </c>
      <c r="L84" s="15">
        <v>7143.536672999996</v>
      </c>
    </row>
    <row r="85" spans="1:12" x14ac:dyDescent="0.25">
      <c r="A85" s="12">
        <v>74373170</v>
      </c>
      <c r="B85" s="12"/>
      <c r="C85" s="12" t="s">
        <v>268</v>
      </c>
      <c r="D85" s="4" t="s">
        <v>269</v>
      </c>
      <c r="E85" s="13">
        <v>3102141311</v>
      </c>
      <c r="F85" s="4" t="s">
        <v>270</v>
      </c>
      <c r="G85" s="7">
        <v>11001</v>
      </c>
      <c r="H85" s="12">
        <v>305</v>
      </c>
      <c r="I85" s="14">
        <v>1024097.06</v>
      </c>
      <c r="J85" s="14">
        <v>130480.75600000001</v>
      </c>
      <c r="K85" s="3">
        <v>0</v>
      </c>
      <c r="L85" s="15">
        <v>7193.6112472000004</v>
      </c>
    </row>
    <row r="86" spans="1:12" x14ac:dyDescent="0.25">
      <c r="A86" s="12">
        <v>1032496943</v>
      </c>
      <c r="B86" s="12"/>
      <c r="C86" s="12" t="s">
        <v>271</v>
      </c>
      <c r="D86" s="4" t="s">
        <v>272</v>
      </c>
      <c r="E86" s="13">
        <v>3014391370</v>
      </c>
      <c r="F86" s="4" t="s">
        <v>273</v>
      </c>
      <c r="G86" s="7" t="s">
        <v>274</v>
      </c>
      <c r="H86" s="12">
        <v>305</v>
      </c>
      <c r="I86" s="14">
        <v>1028674.07</v>
      </c>
      <c r="J86" s="14">
        <v>20870.107999999993</v>
      </c>
      <c r="K86" s="3">
        <v>0</v>
      </c>
      <c r="L86" s="15">
        <v>8112.8218940999996</v>
      </c>
    </row>
    <row r="87" spans="1:12" x14ac:dyDescent="0.25">
      <c r="A87" s="12">
        <v>91271630</v>
      </c>
      <c r="B87" s="12"/>
      <c r="C87" s="12" t="s">
        <v>275</v>
      </c>
      <c r="D87" s="4" t="s">
        <v>276</v>
      </c>
      <c r="E87" s="13">
        <v>3133495930</v>
      </c>
      <c r="F87" s="4" t="s">
        <v>277</v>
      </c>
      <c r="G87" s="7">
        <v>11001</v>
      </c>
      <c r="H87" s="12">
        <v>305</v>
      </c>
      <c r="I87" s="14">
        <v>1028723.44</v>
      </c>
      <c r="J87" s="14">
        <v>134424.68799999999</v>
      </c>
      <c r="K87" s="3">
        <v>0</v>
      </c>
      <c r="L87" s="15">
        <v>7199.1049535999991</v>
      </c>
    </row>
    <row r="88" spans="1:12" x14ac:dyDescent="0.25">
      <c r="A88" s="12">
        <v>51816457</v>
      </c>
      <c r="B88" s="12"/>
      <c r="C88" s="12" t="s">
        <v>278</v>
      </c>
      <c r="D88" s="4" t="s">
        <v>279</v>
      </c>
      <c r="E88" s="13">
        <v>3173074518</v>
      </c>
      <c r="F88" s="4" t="s">
        <v>280</v>
      </c>
      <c r="G88" s="7">
        <v>11001</v>
      </c>
      <c r="H88" s="12">
        <v>305</v>
      </c>
      <c r="I88" s="14">
        <v>1029000</v>
      </c>
      <c r="J88" s="14">
        <v>0.15</v>
      </c>
      <c r="K88" s="3">
        <v>0</v>
      </c>
      <c r="L88" s="15">
        <v>8283.4487924999994</v>
      </c>
    </row>
    <row r="89" spans="1:12" x14ac:dyDescent="0.25">
      <c r="A89" s="12">
        <v>19252771</v>
      </c>
      <c r="B89" s="12"/>
      <c r="C89" s="12" t="s">
        <v>281</v>
      </c>
      <c r="D89" s="4" t="s">
        <v>282</v>
      </c>
      <c r="E89" s="13">
        <v>6910619</v>
      </c>
      <c r="F89" s="4" t="s">
        <v>283</v>
      </c>
      <c r="G89" s="7">
        <v>11001</v>
      </c>
      <c r="H89" s="12">
        <v>305</v>
      </c>
      <c r="I89" s="14">
        <v>1029107.9199999998</v>
      </c>
      <c r="J89" s="14">
        <v>92740.743999999962</v>
      </c>
      <c r="K89" s="3">
        <v>0</v>
      </c>
      <c r="L89" s="15">
        <v>7537.755766799999</v>
      </c>
    </row>
    <row r="90" spans="1:12" x14ac:dyDescent="0.25">
      <c r="A90" s="12">
        <v>12122811</v>
      </c>
      <c r="B90" s="12"/>
      <c r="C90" s="12" t="s">
        <v>284</v>
      </c>
      <c r="D90" s="4" t="s">
        <v>285</v>
      </c>
      <c r="E90" s="13">
        <v>5284547</v>
      </c>
      <c r="F90" s="4" t="s">
        <v>286</v>
      </c>
      <c r="G90" s="7">
        <v>11001</v>
      </c>
      <c r="H90" s="12">
        <v>305</v>
      </c>
      <c r="I90" s="14">
        <v>1029242.6300000001</v>
      </c>
      <c r="J90" s="14">
        <v>115908.52600000001</v>
      </c>
      <c r="K90" s="3">
        <v>0</v>
      </c>
      <c r="L90" s="15">
        <v>7352.3395372000004</v>
      </c>
    </row>
    <row r="91" spans="1:12" x14ac:dyDescent="0.25">
      <c r="A91" s="12">
        <v>1075658442</v>
      </c>
      <c r="B91" s="12"/>
      <c r="C91" s="12" t="s">
        <v>287</v>
      </c>
      <c r="D91" s="4" t="s">
        <v>288</v>
      </c>
      <c r="E91" s="13">
        <v>3102952409</v>
      </c>
      <c r="F91" s="4" t="s">
        <v>289</v>
      </c>
      <c r="G91" s="7" t="s">
        <v>290</v>
      </c>
      <c r="H91" s="12">
        <v>305</v>
      </c>
      <c r="I91" s="14">
        <v>1029658.35</v>
      </c>
      <c r="J91" s="14">
        <v>116698.56</v>
      </c>
      <c r="K91" s="3">
        <v>0</v>
      </c>
      <c r="L91" s="15">
        <v>7349.3263095000002</v>
      </c>
    </row>
    <row r="92" spans="1:12" x14ac:dyDescent="0.25">
      <c r="A92" s="12">
        <v>79502266</v>
      </c>
      <c r="B92" s="12"/>
      <c r="C92" s="12" t="s">
        <v>291</v>
      </c>
      <c r="D92" s="4" t="s">
        <v>292</v>
      </c>
      <c r="E92" s="13">
        <v>3102200983</v>
      </c>
      <c r="F92" s="4" t="s">
        <v>293</v>
      </c>
      <c r="G92" s="7" t="s">
        <v>294</v>
      </c>
      <c r="H92" s="12">
        <v>305</v>
      </c>
      <c r="I92" s="14">
        <v>1029986.47</v>
      </c>
      <c r="J92" s="14">
        <v>107537.29399999998</v>
      </c>
      <c r="K92" s="3">
        <v>0</v>
      </c>
      <c r="L92" s="15">
        <v>7425.7158667999993</v>
      </c>
    </row>
    <row r="93" spans="1:12" x14ac:dyDescent="0.25">
      <c r="A93" s="12">
        <v>7695185</v>
      </c>
      <c r="B93" s="12"/>
      <c r="C93" s="12" t="s">
        <v>295</v>
      </c>
      <c r="D93" s="4" t="s">
        <v>296</v>
      </c>
      <c r="E93" s="13">
        <v>3108777549</v>
      </c>
      <c r="F93" s="4" t="s">
        <v>297</v>
      </c>
      <c r="G93" s="7">
        <v>11001</v>
      </c>
      <c r="H93" s="12">
        <v>305</v>
      </c>
      <c r="I93" s="14">
        <v>1031456.41</v>
      </c>
      <c r="J93" s="14">
        <v>194526.57800000001</v>
      </c>
      <c r="K93" s="3">
        <v>0</v>
      </c>
      <c r="L93" s="15">
        <v>6737.2851476000005</v>
      </c>
    </row>
    <row r="94" spans="1:12" x14ac:dyDescent="0.25">
      <c r="A94" s="12">
        <v>91422216</v>
      </c>
      <c r="B94" s="12"/>
      <c r="C94" s="12" t="s">
        <v>298</v>
      </c>
      <c r="D94" s="4" t="s">
        <v>299</v>
      </c>
      <c r="E94" s="13">
        <v>3124787011</v>
      </c>
      <c r="F94" s="4" t="s">
        <v>300</v>
      </c>
      <c r="G94" s="7" t="s">
        <v>301</v>
      </c>
      <c r="H94" s="12">
        <v>305</v>
      </c>
      <c r="I94" s="14">
        <v>1032327.08</v>
      </c>
      <c r="J94" s="14">
        <v>30593.296000000002</v>
      </c>
      <c r="K94" s="3">
        <v>0</v>
      </c>
      <c r="L94" s="15">
        <v>8063.9569611999996</v>
      </c>
    </row>
    <row r="95" spans="1:12" x14ac:dyDescent="0.25">
      <c r="A95" s="12">
        <v>31270462</v>
      </c>
      <c r="B95" s="12"/>
      <c r="C95" s="12" t="s">
        <v>302</v>
      </c>
      <c r="D95" s="4" t="s">
        <v>303</v>
      </c>
      <c r="E95" s="13">
        <v>3155568032</v>
      </c>
      <c r="F95" s="4" t="s">
        <v>304</v>
      </c>
      <c r="G95" s="7" t="s">
        <v>305</v>
      </c>
      <c r="H95" s="12">
        <v>305</v>
      </c>
      <c r="I95" s="14">
        <v>1033054</v>
      </c>
      <c r="J95" s="14">
        <v>23517.8</v>
      </c>
      <c r="K95" s="3">
        <v>0</v>
      </c>
      <c r="L95" s="15">
        <v>8126.7664099999993</v>
      </c>
    </row>
    <row r="96" spans="1:12" x14ac:dyDescent="0.25">
      <c r="A96" s="12">
        <v>41752175</v>
      </c>
      <c r="B96" s="12"/>
      <c r="C96" s="12" t="s">
        <v>306</v>
      </c>
      <c r="D96" s="4" t="s">
        <v>307</v>
      </c>
      <c r="E96" s="13">
        <v>3204940645</v>
      </c>
      <c r="F96" s="4" t="s">
        <v>308</v>
      </c>
      <c r="G96" s="7">
        <v>11001</v>
      </c>
      <c r="H96" s="12">
        <v>305</v>
      </c>
      <c r="I96" s="14">
        <v>1034662.16</v>
      </c>
      <c r="J96" s="14">
        <v>81130.080000000002</v>
      </c>
      <c r="K96" s="3">
        <v>0</v>
      </c>
      <c r="L96" s="15">
        <v>7675.9332440000007</v>
      </c>
    </row>
    <row r="97" spans="1:12" x14ac:dyDescent="0.25">
      <c r="A97" s="12">
        <v>17181662</v>
      </c>
      <c r="B97" s="12"/>
      <c r="C97" s="12" t="s">
        <v>309</v>
      </c>
      <c r="D97" s="4" t="s">
        <v>310</v>
      </c>
      <c r="E97" s="13">
        <v>3104486752</v>
      </c>
      <c r="F97" s="4" t="s">
        <v>311</v>
      </c>
      <c r="G97" s="7">
        <v>11001</v>
      </c>
      <c r="H97" s="12">
        <v>305</v>
      </c>
      <c r="I97" s="14">
        <v>1034836.9600000002</v>
      </c>
      <c r="J97" s="14">
        <v>72370.082000000024</v>
      </c>
      <c r="K97" s="3">
        <v>0</v>
      </c>
      <c r="L97" s="15">
        <v>7747.8583679000012</v>
      </c>
    </row>
    <row r="98" spans="1:12" x14ac:dyDescent="0.25">
      <c r="A98" s="12">
        <v>1047365441</v>
      </c>
      <c r="B98" s="12"/>
      <c r="C98" s="12" t="s">
        <v>312</v>
      </c>
      <c r="D98" s="4" t="s">
        <v>313</v>
      </c>
      <c r="E98" s="13">
        <v>3182582810</v>
      </c>
      <c r="F98" s="4" t="s">
        <v>314</v>
      </c>
      <c r="G98" s="7">
        <v>11001</v>
      </c>
      <c r="H98" s="12">
        <v>305</v>
      </c>
      <c r="I98" s="14">
        <v>1035380.7899999999</v>
      </c>
      <c r="J98" s="14">
        <v>104666.74400000001</v>
      </c>
      <c r="K98" s="3">
        <v>0</v>
      </c>
      <c r="L98" s="15">
        <v>7492.2480702999992</v>
      </c>
    </row>
    <row r="99" spans="1:12" x14ac:dyDescent="0.25">
      <c r="A99" s="12">
        <v>39629444</v>
      </c>
      <c r="B99" s="12"/>
      <c r="C99" s="12" t="s">
        <v>315</v>
      </c>
      <c r="D99" s="4" t="s">
        <v>316</v>
      </c>
      <c r="E99" s="13">
        <v>3114933041</v>
      </c>
      <c r="F99" s="4" t="s">
        <v>317</v>
      </c>
      <c r="G99" s="7">
        <v>11001</v>
      </c>
      <c r="H99" s="12">
        <v>305</v>
      </c>
      <c r="I99" s="14">
        <v>1037103.9999999998</v>
      </c>
      <c r="J99" s="14">
        <v>129685.31999999995</v>
      </c>
      <c r="K99" s="3">
        <v>0</v>
      </c>
      <c r="L99" s="15">
        <v>7304.7203739999986</v>
      </c>
    </row>
    <row r="100" spans="1:12" x14ac:dyDescent="0.25">
      <c r="A100" s="12">
        <v>51838561</v>
      </c>
      <c r="B100" s="12"/>
      <c r="C100" s="12" t="s">
        <v>318</v>
      </c>
      <c r="D100" s="4" t="s">
        <v>319</v>
      </c>
      <c r="E100" s="13">
        <v>3165209371</v>
      </c>
      <c r="F100" s="4" t="s">
        <v>320</v>
      </c>
      <c r="G100" s="7">
        <v>11001</v>
      </c>
      <c r="H100" s="12">
        <v>305</v>
      </c>
      <c r="I100" s="14">
        <v>1038040</v>
      </c>
      <c r="J100" s="14">
        <v>30963.128000000004</v>
      </c>
      <c r="K100" s="3">
        <v>0</v>
      </c>
      <c r="L100" s="15">
        <v>8106.9688196000006</v>
      </c>
    </row>
    <row r="101" spans="1:12" x14ac:dyDescent="0.25">
      <c r="A101" s="12">
        <v>17066822</v>
      </c>
      <c r="B101" s="12"/>
      <c r="C101" s="12" t="s">
        <v>321</v>
      </c>
      <c r="D101" s="4" t="s">
        <v>322</v>
      </c>
      <c r="E101" s="13">
        <v>2622946</v>
      </c>
      <c r="F101" s="4" t="s">
        <v>323</v>
      </c>
      <c r="G101" s="7">
        <v>11001</v>
      </c>
      <c r="H101" s="12">
        <v>305</v>
      </c>
      <c r="I101" s="14">
        <v>1038659</v>
      </c>
      <c r="J101" s="14">
        <v>47717</v>
      </c>
      <c r="K101" s="3">
        <v>0</v>
      </c>
      <c r="L101" s="15">
        <v>7977.0830999999998</v>
      </c>
    </row>
    <row r="102" spans="1:12" x14ac:dyDescent="0.25">
      <c r="A102" s="12">
        <v>80070837</v>
      </c>
      <c r="B102" s="12"/>
      <c r="C102" s="12" t="s">
        <v>324</v>
      </c>
      <c r="D102" s="4" t="s">
        <v>325</v>
      </c>
      <c r="E102" s="13">
        <v>3102562792</v>
      </c>
      <c r="F102" s="4" t="s">
        <v>326</v>
      </c>
      <c r="G102" s="7">
        <v>11001</v>
      </c>
      <c r="H102" s="12">
        <v>305</v>
      </c>
      <c r="I102" s="14">
        <v>1038729.4300000002</v>
      </c>
      <c r="J102" s="14">
        <v>91741.180000000022</v>
      </c>
      <c r="K102" s="3">
        <v>0</v>
      </c>
      <c r="L102" s="15">
        <v>7623.2554125000006</v>
      </c>
    </row>
    <row r="103" spans="1:12" x14ac:dyDescent="0.25">
      <c r="A103" s="12">
        <v>79912586</v>
      </c>
      <c r="B103" s="12"/>
      <c r="C103" s="12" t="s">
        <v>327</v>
      </c>
      <c r="D103" s="4" t="s">
        <v>328</v>
      </c>
      <c r="E103" s="13">
        <v>3204337263</v>
      </c>
      <c r="F103" s="4" t="s">
        <v>329</v>
      </c>
      <c r="G103" s="7">
        <v>11001</v>
      </c>
      <c r="H103" s="12">
        <v>305</v>
      </c>
      <c r="I103" s="14">
        <v>1039604.9899999999</v>
      </c>
      <c r="J103" s="14">
        <v>61611.081999999995</v>
      </c>
      <c r="K103" s="3">
        <v>0</v>
      </c>
      <c r="L103" s="15">
        <v>7872.8509593999988</v>
      </c>
    </row>
    <row r="104" spans="1:12" x14ac:dyDescent="0.25">
      <c r="A104" s="12">
        <v>91540684</v>
      </c>
      <c r="B104" s="12"/>
      <c r="C104" s="12" t="s">
        <v>330</v>
      </c>
      <c r="D104" s="4" t="s">
        <v>331</v>
      </c>
      <c r="E104" s="13">
        <v>3168727884</v>
      </c>
      <c r="F104" s="4" t="s">
        <v>332</v>
      </c>
      <c r="G104" s="7" t="s">
        <v>333</v>
      </c>
      <c r="H104" s="12">
        <v>305</v>
      </c>
      <c r="I104" s="14">
        <v>1043039.24</v>
      </c>
      <c r="J104" s="14">
        <v>95920.95600000002</v>
      </c>
      <c r="K104" s="3">
        <v>0</v>
      </c>
      <c r="L104" s="15">
        <v>7624.3021861999996</v>
      </c>
    </row>
    <row r="105" spans="1:12" x14ac:dyDescent="0.25">
      <c r="A105" s="12">
        <v>1015460325</v>
      </c>
      <c r="B105" s="12"/>
      <c r="C105" s="12" t="s">
        <v>334</v>
      </c>
      <c r="D105" s="4" t="s">
        <v>335</v>
      </c>
      <c r="E105" s="13">
        <v>3124663170</v>
      </c>
      <c r="F105" s="4" t="s">
        <v>336</v>
      </c>
      <c r="G105" s="7">
        <v>11001</v>
      </c>
      <c r="H105" s="12">
        <v>305</v>
      </c>
      <c r="I105" s="14">
        <v>1043111</v>
      </c>
      <c r="J105" s="14">
        <v>93222.2</v>
      </c>
      <c r="K105" s="3">
        <v>0</v>
      </c>
      <c r="L105" s="15">
        <v>7646.6048400000009</v>
      </c>
    </row>
    <row r="106" spans="1:12" x14ac:dyDescent="0.25">
      <c r="A106" s="12">
        <v>1110487321</v>
      </c>
      <c r="B106" s="12"/>
      <c r="C106" s="12" t="s">
        <v>337</v>
      </c>
      <c r="D106" s="4" t="s">
        <v>338</v>
      </c>
      <c r="E106" s="13">
        <v>3125157862</v>
      </c>
      <c r="F106" s="4" t="s">
        <v>339</v>
      </c>
      <c r="G106" s="7" t="s">
        <v>340</v>
      </c>
      <c r="H106" s="12">
        <v>305</v>
      </c>
      <c r="I106" s="14">
        <v>1043540.11</v>
      </c>
      <c r="J106" s="14">
        <v>97291.04800000001</v>
      </c>
      <c r="K106" s="3">
        <v>0</v>
      </c>
      <c r="L106" s="15">
        <v>7617.3049491000002</v>
      </c>
    </row>
    <row r="107" spans="1:12" x14ac:dyDescent="0.25">
      <c r="A107" s="12">
        <v>17019822</v>
      </c>
      <c r="B107" s="12"/>
      <c r="C107" s="12" t="s">
        <v>341</v>
      </c>
      <c r="D107" s="4" t="s">
        <v>342</v>
      </c>
      <c r="E107" s="13">
        <v>6956626</v>
      </c>
      <c r="F107" s="4" t="s">
        <v>343</v>
      </c>
      <c r="G107" s="7">
        <v>11001</v>
      </c>
      <c r="H107" s="12">
        <v>305</v>
      </c>
      <c r="I107" s="14">
        <v>1044195.23</v>
      </c>
      <c r="J107" s="14">
        <v>36259.046000000002</v>
      </c>
      <c r="K107" s="3">
        <v>0</v>
      </c>
      <c r="L107" s="15">
        <v>8113.8862812000007</v>
      </c>
    </row>
    <row r="108" spans="1:12" x14ac:dyDescent="0.25">
      <c r="A108" s="12">
        <v>52079948</v>
      </c>
      <c r="B108" s="12"/>
      <c r="C108" s="12" t="s">
        <v>344</v>
      </c>
      <c r="D108" s="4" t="s">
        <v>345</v>
      </c>
      <c r="E108" s="13">
        <v>3115216562</v>
      </c>
      <c r="F108" s="4" t="s">
        <v>346</v>
      </c>
      <c r="G108" s="7">
        <v>11001</v>
      </c>
      <c r="H108" s="12">
        <v>305</v>
      </c>
      <c r="I108" s="14">
        <v>1044218.52</v>
      </c>
      <c r="J108" s="14">
        <v>26203.703999999998</v>
      </c>
      <c r="K108" s="3">
        <v>0</v>
      </c>
      <c r="L108" s="15">
        <v>8195.0192688000006</v>
      </c>
    </row>
    <row r="109" spans="1:12" x14ac:dyDescent="0.25">
      <c r="A109" s="12">
        <v>41792048</v>
      </c>
      <c r="B109" s="12"/>
      <c r="C109" s="12" t="s">
        <v>347</v>
      </c>
      <c r="D109" s="4" t="s">
        <v>348</v>
      </c>
      <c r="E109" s="13">
        <v>3133177932</v>
      </c>
      <c r="F109" s="4" t="s">
        <v>349</v>
      </c>
      <c r="G109" s="7" t="s">
        <v>350</v>
      </c>
      <c r="H109" s="12">
        <v>305</v>
      </c>
      <c r="I109" s="14">
        <v>1045149.37</v>
      </c>
      <c r="J109" s="14">
        <v>207685.33400000003</v>
      </c>
      <c r="K109" s="3">
        <v>0</v>
      </c>
      <c r="L109" s="15">
        <v>6741.5854898000007</v>
      </c>
    </row>
    <row r="110" spans="1:12" x14ac:dyDescent="0.25">
      <c r="A110" s="12">
        <v>79590485</v>
      </c>
      <c r="B110" s="12"/>
      <c r="C110" s="12" t="s">
        <v>351</v>
      </c>
      <c r="D110" s="4" t="s">
        <v>352</v>
      </c>
      <c r="E110" s="13">
        <v>3016333026</v>
      </c>
      <c r="F110" s="4" t="s">
        <v>353</v>
      </c>
      <c r="G110" s="7">
        <v>11001</v>
      </c>
      <c r="H110" s="12">
        <v>305</v>
      </c>
      <c r="I110" s="14">
        <v>1046855</v>
      </c>
      <c r="J110" s="14">
        <v>55741.400000000009</v>
      </c>
      <c r="K110" s="3">
        <v>0</v>
      </c>
      <c r="L110" s="15">
        <v>7978.4644799999996</v>
      </c>
    </row>
    <row r="111" spans="1:12" x14ac:dyDescent="0.25">
      <c r="A111" s="12">
        <v>7687128</v>
      </c>
      <c r="B111" s="12"/>
      <c r="C111" s="12" t="s">
        <v>354</v>
      </c>
      <c r="D111" s="4" t="s">
        <v>355</v>
      </c>
      <c r="E111" s="13">
        <v>3232290257</v>
      </c>
      <c r="F111" s="4" t="s">
        <v>356</v>
      </c>
      <c r="G111" s="7">
        <v>11001</v>
      </c>
      <c r="H111" s="12">
        <v>305</v>
      </c>
      <c r="I111" s="14">
        <v>1047360</v>
      </c>
      <c r="J111" s="14">
        <v>39592</v>
      </c>
      <c r="K111" s="3">
        <v>0</v>
      </c>
      <c r="L111" s="15">
        <v>8112.5324000000001</v>
      </c>
    </row>
    <row r="112" spans="1:12" x14ac:dyDescent="0.25">
      <c r="A112" s="12">
        <v>14987365</v>
      </c>
      <c r="B112" s="12"/>
      <c r="C112" s="12" t="s">
        <v>357</v>
      </c>
      <c r="D112" s="4" t="s">
        <v>358</v>
      </c>
      <c r="E112" s="13">
        <v>3102563568</v>
      </c>
      <c r="F112" s="4" t="s">
        <v>359</v>
      </c>
      <c r="G112" s="7">
        <v>11001</v>
      </c>
      <c r="H112" s="12">
        <v>305</v>
      </c>
      <c r="I112" s="14">
        <v>1047500</v>
      </c>
      <c r="J112" s="14">
        <v>0.15</v>
      </c>
      <c r="K112" s="3">
        <v>0</v>
      </c>
      <c r="L112" s="15">
        <v>8432.3737925000005</v>
      </c>
    </row>
    <row r="113" spans="1:12" x14ac:dyDescent="0.25">
      <c r="A113" s="12">
        <v>74381983</v>
      </c>
      <c r="B113" s="12"/>
      <c r="C113" s="12" t="s">
        <v>360</v>
      </c>
      <c r="D113" s="4" t="s">
        <v>361</v>
      </c>
      <c r="E113" s="13">
        <v>3114631194</v>
      </c>
      <c r="F113" s="4" t="s">
        <v>362</v>
      </c>
      <c r="G113" s="7" t="s">
        <v>363</v>
      </c>
      <c r="H113" s="12">
        <v>305</v>
      </c>
      <c r="I113" s="14">
        <v>1049003.2499999998</v>
      </c>
      <c r="J113" s="14">
        <v>209800.64999999997</v>
      </c>
      <c r="K113" s="3">
        <v>0</v>
      </c>
      <c r="L113" s="15">
        <v>6755.5809299999992</v>
      </c>
    </row>
    <row r="114" spans="1:12" x14ac:dyDescent="0.25">
      <c r="A114" s="12">
        <v>74369795</v>
      </c>
      <c r="B114" s="12"/>
      <c r="C114" s="12" t="s">
        <v>364</v>
      </c>
      <c r="D114" s="4" t="s">
        <v>365</v>
      </c>
      <c r="E114" s="13">
        <v>3116200086</v>
      </c>
      <c r="F114" s="4" t="s">
        <v>366</v>
      </c>
      <c r="G114" s="7" t="s">
        <v>367</v>
      </c>
      <c r="H114" s="12">
        <v>305</v>
      </c>
      <c r="I114" s="14">
        <v>1049152.1499999999</v>
      </c>
      <c r="J114" s="14">
        <v>151148.07800000001</v>
      </c>
      <c r="K114" s="3">
        <v>0</v>
      </c>
      <c r="L114" s="15">
        <v>7228.9327795999998</v>
      </c>
    </row>
    <row r="115" spans="1:12" x14ac:dyDescent="0.25">
      <c r="A115" s="12">
        <v>52385721</v>
      </c>
      <c r="B115" s="12"/>
      <c r="C115" s="12" t="s">
        <v>368</v>
      </c>
      <c r="D115" s="4" t="s">
        <v>369</v>
      </c>
      <c r="E115" s="13">
        <v>6590811</v>
      </c>
      <c r="F115" s="4" t="s">
        <v>370</v>
      </c>
      <c r="G115" s="7">
        <v>11001</v>
      </c>
      <c r="H115" s="12">
        <v>305</v>
      </c>
      <c r="I115" s="14">
        <v>1049732.33</v>
      </c>
      <c r="J115" s="14">
        <v>95203.104000000007</v>
      </c>
      <c r="K115" s="3">
        <v>0</v>
      </c>
      <c r="L115" s="15">
        <v>7683.9602693000006</v>
      </c>
    </row>
    <row r="116" spans="1:12" x14ac:dyDescent="0.25">
      <c r="A116" s="12">
        <v>17199874</v>
      </c>
      <c r="B116" s="12"/>
      <c r="C116" s="12" t="s">
        <v>371</v>
      </c>
      <c r="D116" s="4" t="s">
        <v>372</v>
      </c>
      <c r="E116" s="13">
        <v>3008368948</v>
      </c>
      <c r="F116" s="4" t="s">
        <v>373</v>
      </c>
      <c r="G116" s="7">
        <v>11001</v>
      </c>
      <c r="H116" s="12">
        <v>305</v>
      </c>
      <c r="I116" s="14">
        <v>1049763.03</v>
      </c>
      <c r="J116" s="14">
        <v>107980.33600000001</v>
      </c>
      <c r="K116" s="3">
        <v>0</v>
      </c>
      <c r="L116" s="15">
        <v>7581.3506867000006</v>
      </c>
    </row>
    <row r="117" spans="1:12" x14ac:dyDescent="0.25">
      <c r="A117" s="12">
        <v>10024963</v>
      </c>
      <c r="B117" s="12"/>
      <c r="C117" s="12" t="s">
        <v>374</v>
      </c>
      <c r="D117" s="4" t="s">
        <v>375</v>
      </c>
      <c r="E117" s="13">
        <v>3123643586</v>
      </c>
      <c r="F117" s="4" t="s">
        <v>376</v>
      </c>
      <c r="G117" s="7">
        <v>11001</v>
      </c>
      <c r="H117" s="12">
        <v>305</v>
      </c>
      <c r="I117" s="14">
        <v>1050813.1100000001</v>
      </c>
      <c r="J117" s="14">
        <v>88018.421999999991</v>
      </c>
      <c r="K117" s="3">
        <v>0</v>
      </c>
      <c r="L117" s="15">
        <v>7750.4972384000002</v>
      </c>
    </row>
    <row r="118" spans="1:12" x14ac:dyDescent="0.25">
      <c r="A118" s="12">
        <v>51684526</v>
      </c>
      <c r="B118" s="12"/>
      <c r="C118" s="12" t="s">
        <v>377</v>
      </c>
      <c r="D118" s="4" t="s">
        <v>378</v>
      </c>
      <c r="E118" s="13">
        <v>3105598486</v>
      </c>
      <c r="F118" s="4" t="s">
        <v>379</v>
      </c>
      <c r="G118" s="7">
        <v>11001</v>
      </c>
      <c r="H118" s="12">
        <v>305</v>
      </c>
      <c r="I118" s="14">
        <v>1051733.98</v>
      </c>
      <c r="J118" s="14">
        <v>110944.10800000001</v>
      </c>
      <c r="K118" s="3">
        <v>0</v>
      </c>
      <c r="L118" s="15">
        <v>7573.3584695999998</v>
      </c>
    </row>
    <row r="119" spans="1:12" x14ac:dyDescent="0.25">
      <c r="A119" s="12">
        <v>19262094</v>
      </c>
      <c r="B119" s="12"/>
      <c r="C119" s="12" t="s">
        <v>380</v>
      </c>
      <c r="D119" s="4" t="s">
        <v>381</v>
      </c>
      <c r="E119" s="13">
        <v>6481486</v>
      </c>
      <c r="F119" s="4" t="s">
        <v>382</v>
      </c>
      <c r="G119" s="7">
        <v>11001</v>
      </c>
      <c r="H119" s="12">
        <v>305</v>
      </c>
      <c r="I119" s="14">
        <v>1051970.92</v>
      </c>
      <c r="J119" s="14">
        <v>109074.18400000001</v>
      </c>
      <c r="K119" s="3">
        <v>0</v>
      </c>
      <c r="L119" s="15">
        <v>7590.3187247999995</v>
      </c>
    </row>
    <row r="120" spans="1:12" x14ac:dyDescent="0.25">
      <c r="A120" s="12">
        <v>79042351</v>
      </c>
      <c r="B120" s="12"/>
      <c r="C120" s="12" t="s">
        <v>383</v>
      </c>
      <c r="D120" s="4" t="s">
        <v>384</v>
      </c>
      <c r="E120" s="13">
        <v>3133659261</v>
      </c>
      <c r="F120" s="4" t="s">
        <v>385</v>
      </c>
      <c r="G120" s="7">
        <v>11001</v>
      </c>
      <c r="H120" s="12">
        <v>305</v>
      </c>
      <c r="I120" s="14">
        <v>1053541.3099999998</v>
      </c>
      <c r="J120" s="14">
        <v>86647.923999999985</v>
      </c>
      <c r="K120" s="3">
        <v>0</v>
      </c>
      <c r="L120" s="15">
        <v>7783.4917572999984</v>
      </c>
    </row>
    <row r="121" spans="1:12" x14ac:dyDescent="0.25">
      <c r="A121" s="12">
        <v>19191550</v>
      </c>
      <c r="B121" s="12"/>
      <c r="C121" s="12" t="s">
        <v>386</v>
      </c>
      <c r="D121" s="4" t="s">
        <v>387</v>
      </c>
      <c r="E121" s="13">
        <v>3106984560</v>
      </c>
      <c r="F121" s="4" t="s">
        <v>387</v>
      </c>
      <c r="G121" s="7">
        <v>11001</v>
      </c>
      <c r="H121" s="12">
        <v>305</v>
      </c>
      <c r="I121" s="14">
        <v>1054520</v>
      </c>
      <c r="J121" s="14">
        <v>73778.2</v>
      </c>
      <c r="K121" s="3">
        <v>0</v>
      </c>
      <c r="L121" s="15">
        <v>7894.9714899999999</v>
      </c>
    </row>
    <row r="122" spans="1:12" x14ac:dyDescent="0.25">
      <c r="A122" s="12">
        <v>79274146</v>
      </c>
      <c r="B122" s="12"/>
      <c r="C122" s="12" t="s">
        <v>388</v>
      </c>
      <c r="D122" s="4" t="s">
        <v>389</v>
      </c>
      <c r="E122" s="13">
        <v>3158555503</v>
      </c>
      <c r="F122" s="4" t="s">
        <v>390</v>
      </c>
      <c r="G122" s="7">
        <v>11001</v>
      </c>
      <c r="H122" s="12">
        <v>305</v>
      </c>
      <c r="I122" s="14">
        <v>1056300</v>
      </c>
      <c r="J122" s="14">
        <v>0.15</v>
      </c>
      <c r="K122" s="3">
        <v>0</v>
      </c>
      <c r="L122" s="15">
        <v>8503.2137925000006</v>
      </c>
    </row>
    <row r="123" spans="1:12" x14ac:dyDescent="0.25">
      <c r="A123" s="12">
        <v>19483528</v>
      </c>
      <c r="B123" s="12"/>
      <c r="C123" s="12" t="s">
        <v>391</v>
      </c>
      <c r="D123" s="4" t="s">
        <v>392</v>
      </c>
      <c r="E123" s="13">
        <v>3115745848</v>
      </c>
      <c r="F123" s="4" t="s">
        <v>393</v>
      </c>
      <c r="G123" s="7">
        <v>11001</v>
      </c>
      <c r="H123" s="12">
        <v>305</v>
      </c>
      <c r="I123" s="14">
        <v>1057701.69</v>
      </c>
      <c r="J123" s="14">
        <v>0.15</v>
      </c>
      <c r="K123" s="3">
        <v>0</v>
      </c>
      <c r="L123" s="15">
        <v>8514.4973969999992</v>
      </c>
    </row>
    <row r="124" spans="1:12" x14ac:dyDescent="0.25">
      <c r="A124" s="12">
        <v>80151781</v>
      </c>
      <c r="B124" s="12"/>
      <c r="C124" s="12" t="s">
        <v>394</v>
      </c>
      <c r="D124" s="4" t="s">
        <v>395</v>
      </c>
      <c r="E124" s="13">
        <v>3146179545</v>
      </c>
      <c r="F124" s="4" t="s">
        <v>396</v>
      </c>
      <c r="G124" s="7">
        <v>11001</v>
      </c>
      <c r="H124" s="12">
        <v>305</v>
      </c>
      <c r="I124" s="14">
        <v>1058332.4999999998</v>
      </c>
      <c r="J124" s="14">
        <v>9814.6479999999992</v>
      </c>
      <c r="K124" s="3">
        <v>0</v>
      </c>
      <c r="L124" s="15">
        <v>8440.568708599998</v>
      </c>
    </row>
    <row r="125" spans="1:12" x14ac:dyDescent="0.25">
      <c r="A125" s="12">
        <v>52299241</v>
      </c>
      <c r="B125" s="12"/>
      <c r="C125" s="12" t="s">
        <v>397</v>
      </c>
      <c r="D125" s="4" t="s">
        <v>398</v>
      </c>
      <c r="E125" s="13">
        <v>3196888780</v>
      </c>
      <c r="F125" s="4" t="s">
        <v>399</v>
      </c>
      <c r="G125" s="7">
        <v>11001</v>
      </c>
      <c r="H125" s="12">
        <v>305</v>
      </c>
      <c r="I125" s="14">
        <v>1061546.7</v>
      </c>
      <c r="J125" s="14">
        <v>140989.34</v>
      </c>
      <c r="K125" s="3">
        <v>0</v>
      </c>
      <c r="L125" s="15">
        <v>7410.4867480000003</v>
      </c>
    </row>
    <row r="126" spans="1:12" x14ac:dyDescent="0.25">
      <c r="A126" s="12">
        <v>19088650</v>
      </c>
      <c r="B126" s="12"/>
      <c r="C126" s="12" t="s">
        <v>400</v>
      </c>
      <c r="D126" s="4" t="s">
        <v>401</v>
      </c>
      <c r="E126" s="13">
        <v>3114114291</v>
      </c>
      <c r="F126" s="4" t="s">
        <v>402</v>
      </c>
      <c r="G126" s="7" t="s">
        <v>403</v>
      </c>
      <c r="H126" s="12">
        <v>305</v>
      </c>
      <c r="I126" s="14">
        <v>1061676</v>
      </c>
      <c r="J126" s="14">
        <v>56951.80000000001</v>
      </c>
      <c r="K126" s="3">
        <v>0</v>
      </c>
      <c r="L126" s="15">
        <v>8088.0298099999991</v>
      </c>
    </row>
    <row r="127" spans="1:12" x14ac:dyDescent="0.25">
      <c r="A127" s="12">
        <v>19290553</v>
      </c>
      <c r="B127" s="12"/>
      <c r="C127" s="12" t="s">
        <v>404</v>
      </c>
      <c r="D127" s="4" t="s">
        <v>405</v>
      </c>
      <c r="E127" s="13">
        <v>7176786</v>
      </c>
      <c r="F127" s="4" t="s">
        <v>406</v>
      </c>
      <c r="G127" s="7">
        <v>11001</v>
      </c>
      <c r="H127" s="12">
        <v>305</v>
      </c>
      <c r="I127" s="14">
        <v>1061680.99</v>
      </c>
      <c r="J127" s="14">
        <v>110569.148</v>
      </c>
      <c r="K127" s="3">
        <v>0</v>
      </c>
      <c r="L127" s="15">
        <v>7656.4503280999998</v>
      </c>
    </row>
    <row r="128" spans="1:12" x14ac:dyDescent="0.25">
      <c r="A128" s="12">
        <v>43755246</v>
      </c>
      <c r="B128" s="12"/>
      <c r="C128" s="12" t="s">
        <v>407</v>
      </c>
      <c r="D128" s="4" t="s">
        <v>408</v>
      </c>
      <c r="E128" s="13">
        <v>3013529793</v>
      </c>
      <c r="F128" s="4" t="s">
        <v>409</v>
      </c>
      <c r="G128" s="7">
        <v>11001</v>
      </c>
      <c r="H128" s="12">
        <v>305</v>
      </c>
      <c r="I128" s="14">
        <v>1062770.5900000001</v>
      </c>
      <c r="J128" s="14">
        <v>0.15</v>
      </c>
      <c r="K128" s="3">
        <v>0</v>
      </c>
      <c r="L128" s="15">
        <v>8555.3020420000012</v>
      </c>
    </row>
    <row r="129" spans="1:12" x14ac:dyDescent="0.25">
      <c r="A129" s="12">
        <v>94428212</v>
      </c>
      <c r="B129" s="12"/>
      <c r="C129" s="12" t="s">
        <v>410</v>
      </c>
      <c r="D129" s="4" t="s">
        <v>411</v>
      </c>
      <c r="E129" s="13">
        <v>3202472658</v>
      </c>
      <c r="F129" s="4" t="s">
        <v>412</v>
      </c>
      <c r="G129" s="7">
        <v>11001</v>
      </c>
      <c r="H129" s="12">
        <v>305</v>
      </c>
      <c r="I129" s="14">
        <v>1064621</v>
      </c>
      <c r="J129" s="14">
        <v>82944.399999999994</v>
      </c>
      <c r="K129" s="3">
        <v>0</v>
      </c>
      <c r="L129" s="15">
        <v>7902.4966300000006</v>
      </c>
    </row>
    <row r="130" spans="1:12" x14ac:dyDescent="0.25">
      <c r="A130" s="12">
        <v>41521404</v>
      </c>
      <c r="B130" s="12"/>
      <c r="C130" s="12" t="s">
        <v>413</v>
      </c>
      <c r="D130" s="4" t="s">
        <v>414</v>
      </c>
      <c r="E130" s="13">
        <v>3053120230</v>
      </c>
      <c r="F130" s="4" t="s">
        <v>415</v>
      </c>
      <c r="G130" s="7">
        <v>11001</v>
      </c>
      <c r="H130" s="12">
        <v>305</v>
      </c>
      <c r="I130" s="14">
        <v>1069744</v>
      </c>
      <c r="J130" s="14">
        <v>102888.8</v>
      </c>
      <c r="K130" s="3">
        <v>0</v>
      </c>
      <c r="L130" s="15">
        <v>7783.1843599999993</v>
      </c>
    </row>
    <row r="131" spans="1:12" x14ac:dyDescent="0.25">
      <c r="A131" s="12">
        <v>79840591</v>
      </c>
      <c r="B131" s="12"/>
      <c r="C131" s="12" t="s">
        <v>416</v>
      </c>
      <c r="D131" s="4" t="s">
        <v>417</v>
      </c>
      <c r="E131" s="13">
        <v>3108642842</v>
      </c>
      <c r="F131" s="4" t="s">
        <v>418</v>
      </c>
      <c r="G131" s="7">
        <v>11001</v>
      </c>
      <c r="H131" s="12">
        <v>305</v>
      </c>
      <c r="I131" s="14">
        <v>1070047.8400000003</v>
      </c>
      <c r="J131" s="14">
        <v>126329.56800000004</v>
      </c>
      <c r="K131" s="3">
        <v>0</v>
      </c>
      <c r="L131" s="15">
        <v>7596.9320896000017</v>
      </c>
    </row>
    <row r="132" spans="1:12" x14ac:dyDescent="0.25">
      <c r="A132" s="12">
        <v>74379739</v>
      </c>
      <c r="B132" s="12"/>
      <c r="C132" s="12" t="s">
        <v>419</v>
      </c>
      <c r="D132" s="4" t="s">
        <v>420</v>
      </c>
      <c r="E132" s="13">
        <v>3107756183</v>
      </c>
      <c r="F132" s="4" t="s">
        <v>421</v>
      </c>
      <c r="G132" s="7" t="s">
        <v>422</v>
      </c>
      <c r="H132" s="12">
        <v>305</v>
      </c>
      <c r="I132" s="14">
        <v>1070375.9799999997</v>
      </c>
      <c r="J132" s="14">
        <v>214075.19599999994</v>
      </c>
      <c r="K132" s="3">
        <v>0</v>
      </c>
      <c r="L132" s="15">
        <v>6893.2213111999981</v>
      </c>
    </row>
    <row r="133" spans="1:12" x14ac:dyDescent="0.25">
      <c r="A133" s="12">
        <v>39611909</v>
      </c>
      <c r="B133" s="12"/>
      <c r="C133" s="12" t="s">
        <v>423</v>
      </c>
      <c r="D133" s="4" t="s">
        <v>424</v>
      </c>
      <c r="E133" s="13">
        <v>3138935857</v>
      </c>
      <c r="F133" s="4" t="s">
        <v>425</v>
      </c>
      <c r="G133" s="7">
        <v>11001</v>
      </c>
      <c r="H133" s="12">
        <v>305</v>
      </c>
      <c r="I133" s="14">
        <v>1071115.8400000001</v>
      </c>
      <c r="J133" s="14">
        <v>112259.97400000002</v>
      </c>
      <c r="K133" s="3">
        <v>0</v>
      </c>
      <c r="L133" s="15">
        <v>7718.7897212999997</v>
      </c>
    </row>
    <row r="134" spans="1:12" x14ac:dyDescent="0.25">
      <c r="A134" s="12">
        <v>45446362</v>
      </c>
      <c r="B134" s="12"/>
      <c r="C134" s="12" t="s">
        <v>426</v>
      </c>
      <c r="D134" s="4" t="s">
        <v>427</v>
      </c>
      <c r="E134" s="13">
        <v>2267899</v>
      </c>
      <c r="F134" s="4" t="s">
        <v>428</v>
      </c>
      <c r="G134" s="7">
        <v>11001</v>
      </c>
      <c r="H134" s="12">
        <v>305</v>
      </c>
      <c r="I134" s="14">
        <v>1071470.93</v>
      </c>
      <c r="J134" s="14">
        <v>214294.18599999999</v>
      </c>
      <c r="K134" s="3">
        <v>0</v>
      </c>
      <c r="L134" s="15">
        <v>6900.2727891999994</v>
      </c>
    </row>
    <row r="135" spans="1:12" x14ac:dyDescent="0.25">
      <c r="A135" s="12">
        <v>19327409</v>
      </c>
      <c r="B135" s="12"/>
      <c r="C135" s="12" t="s">
        <v>429</v>
      </c>
      <c r="D135" s="4" t="s">
        <v>430</v>
      </c>
      <c r="E135" s="13">
        <v>3158251</v>
      </c>
      <c r="F135" s="4" t="s">
        <v>431</v>
      </c>
      <c r="G135" s="7">
        <v>11001</v>
      </c>
      <c r="H135" s="12">
        <v>305</v>
      </c>
      <c r="I135" s="14">
        <v>1072888.8400000001</v>
      </c>
      <c r="J135" s="14">
        <v>188275.24600000001</v>
      </c>
      <c r="K135" s="3">
        <v>0</v>
      </c>
      <c r="L135" s="15">
        <v>7121.1394317000013</v>
      </c>
    </row>
    <row r="136" spans="1:12" x14ac:dyDescent="0.25">
      <c r="A136" s="12">
        <v>79054418</v>
      </c>
      <c r="B136" s="12"/>
      <c r="C136" s="12" t="s">
        <v>432</v>
      </c>
      <c r="D136" s="4" t="s">
        <v>433</v>
      </c>
      <c r="E136" s="13">
        <v>6057878</v>
      </c>
      <c r="F136" s="4" t="s">
        <v>434</v>
      </c>
      <c r="G136" s="7">
        <v>11001</v>
      </c>
      <c r="H136" s="12">
        <v>305</v>
      </c>
      <c r="I136" s="14">
        <v>1076139.78</v>
      </c>
      <c r="J136" s="14">
        <v>12092.880000000005</v>
      </c>
      <c r="K136" s="3">
        <v>0</v>
      </c>
      <c r="L136" s="15">
        <v>8565.5775450000001</v>
      </c>
    </row>
    <row r="137" spans="1:12" x14ac:dyDescent="0.25">
      <c r="A137" s="12">
        <v>71697620</v>
      </c>
      <c r="B137" s="12"/>
      <c r="C137" s="12" t="s">
        <v>435</v>
      </c>
      <c r="D137" s="4" t="s">
        <v>436</v>
      </c>
      <c r="E137" s="13">
        <v>3117089483</v>
      </c>
      <c r="F137" s="4" t="s">
        <v>437</v>
      </c>
      <c r="G137" s="7" t="s">
        <v>85</v>
      </c>
      <c r="H137" s="12">
        <v>305</v>
      </c>
      <c r="I137" s="14">
        <v>1076737.6399999999</v>
      </c>
      <c r="J137" s="14">
        <v>125407.52799999998</v>
      </c>
      <c r="K137" s="3">
        <v>0</v>
      </c>
      <c r="L137" s="15">
        <v>7658.2074016000006</v>
      </c>
    </row>
    <row r="138" spans="1:12" x14ac:dyDescent="0.25">
      <c r="A138" s="12">
        <v>19374365</v>
      </c>
      <c r="B138" s="12"/>
      <c r="C138" s="12" t="s">
        <v>438</v>
      </c>
      <c r="D138" s="4" t="s">
        <v>439</v>
      </c>
      <c r="E138" s="13">
        <v>3125845218</v>
      </c>
      <c r="F138" s="4" t="s">
        <v>440</v>
      </c>
      <c r="G138" s="7" t="s">
        <v>403</v>
      </c>
      <c r="H138" s="12">
        <v>305</v>
      </c>
      <c r="I138" s="14">
        <v>1077085</v>
      </c>
      <c r="J138" s="14">
        <v>39242.199999999997</v>
      </c>
      <c r="K138" s="3">
        <v>0</v>
      </c>
      <c r="L138" s="15">
        <v>8354.6345400000009</v>
      </c>
    </row>
    <row r="139" spans="1:12" x14ac:dyDescent="0.25">
      <c r="A139" s="12">
        <v>51913808</v>
      </c>
      <c r="B139" s="12"/>
      <c r="C139" s="12" t="s">
        <v>441</v>
      </c>
      <c r="D139" s="4" t="s">
        <v>442</v>
      </c>
      <c r="E139" s="13">
        <v>3213150256</v>
      </c>
      <c r="F139" s="4" t="s">
        <v>443</v>
      </c>
      <c r="G139" s="7">
        <v>11001</v>
      </c>
      <c r="H139" s="12">
        <v>305</v>
      </c>
      <c r="I139" s="14">
        <v>1077398.1599999999</v>
      </c>
      <c r="J139" s="14">
        <v>171499.552</v>
      </c>
      <c r="K139" s="3">
        <v>0</v>
      </c>
      <c r="L139" s="15">
        <v>7292.4837943999992</v>
      </c>
    </row>
    <row r="140" spans="1:12" x14ac:dyDescent="0.25">
      <c r="A140" s="12">
        <v>860062928</v>
      </c>
      <c r="B140" s="12">
        <v>5</v>
      </c>
      <c r="C140" s="12" t="s">
        <v>444</v>
      </c>
      <c r="D140" s="4" t="s">
        <v>445</v>
      </c>
      <c r="E140" s="13">
        <v>3102022787</v>
      </c>
      <c r="F140" s="4" t="s">
        <v>446</v>
      </c>
      <c r="G140" s="7">
        <v>11001</v>
      </c>
      <c r="H140" s="12">
        <v>305</v>
      </c>
      <c r="I140" s="14">
        <v>1077831</v>
      </c>
      <c r="J140" s="14">
        <v>0.15</v>
      </c>
      <c r="K140" s="3">
        <v>0</v>
      </c>
      <c r="L140" s="15">
        <v>8676.5383425000018</v>
      </c>
    </row>
    <row r="141" spans="1:12" x14ac:dyDescent="0.25">
      <c r="A141" s="12">
        <v>40045289</v>
      </c>
      <c r="B141" s="12"/>
      <c r="C141" s="12" t="s">
        <v>447</v>
      </c>
      <c r="D141" s="4" t="s">
        <v>448</v>
      </c>
      <c r="E141" s="13">
        <v>3134899671</v>
      </c>
      <c r="F141" s="4" t="s">
        <v>449</v>
      </c>
      <c r="G141" s="7" t="s">
        <v>15</v>
      </c>
      <c r="H141" s="12">
        <v>305</v>
      </c>
      <c r="I141" s="14">
        <v>1078878.9199999983</v>
      </c>
      <c r="J141" s="14">
        <v>0.15</v>
      </c>
      <c r="K141" s="3">
        <v>0</v>
      </c>
      <c r="L141" s="15">
        <v>8684.974098499988</v>
      </c>
    </row>
    <row r="142" spans="1:12" x14ac:dyDescent="0.25">
      <c r="A142" s="12">
        <v>41340588</v>
      </c>
      <c r="B142" s="12"/>
      <c r="C142" s="12" t="s">
        <v>450</v>
      </c>
      <c r="D142" s="4" t="s">
        <v>451</v>
      </c>
      <c r="E142" s="13">
        <v>315815477</v>
      </c>
      <c r="F142" s="4" t="s">
        <v>452</v>
      </c>
      <c r="G142" s="7">
        <v>11001</v>
      </c>
      <c r="H142" s="12">
        <v>305</v>
      </c>
      <c r="I142" s="14">
        <v>1080778.17</v>
      </c>
      <c r="J142" s="14">
        <v>109175.63399999999</v>
      </c>
      <c r="K142" s="3">
        <v>0</v>
      </c>
      <c r="L142" s="15">
        <v>7821.4004147999995</v>
      </c>
    </row>
    <row r="143" spans="1:12" x14ac:dyDescent="0.25">
      <c r="A143" s="12">
        <v>1015434411</v>
      </c>
      <c r="B143" s="12"/>
      <c r="C143" s="12" t="s">
        <v>453</v>
      </c>
      <c r="D143" s="4" t="s">
        <v>454</v>
      </c>
      <c r="E143" s="13">
        <v>3118571778</v>
      </c>
      <c r="F143" s="4" t="s">
        <v>455</v>
      </c>
      <c r="G143" s="7">
        <v>11001</v>
      </c>
      <c r="H143" s="12">
        <v>305</v>
      </c>
      <c r="I143" s="14">
        <v>1085178.93</v>
      </c>
      <c r="J143" s="14">
        <v>92296.623999999982</v>
      </c>
      <c r="K143" s="3">
        <v>0</v>
      </c>
      <c r="L143" s="15">
        <v>7992.7025633000003</v>
      </c>
    </row>
    <row r="144" spans="1:12" x14ac:dyDescent="0.25">
      <c r="A144" s="12">
        <v>80075086</v>
      </c>
      <c r="B144" s="12"/>
      <c r="C144" s="12" t="s">
        <v>456</v>
      </c>
      <c r="D144" s="4" t="s">
        <v>457</v>
      </c>
      <c r="E144" s="13">
        <v>3103204062</v>
      </c>
      <c r="F144" s="4" t="s">
        <v>458</v>
      </c>
      <c r="G144" s="7">
        <v>11001</v>
      </c>
      <c r="H144" s="12">
        <v>305</v>
      </c>
      <c r="I144" s="14">
        <v>1086229.98</v>
      </c>
      <c r="J144" s="14">
        <v>48705.996000000006</v>
      </c>
      <c r="K144" s="3">
        <v>0</v>
      </c>
      <c r="L144" s="15">
        <v>8352.0680711999994</v>
      </c>
    </row>
    <row r="145" spans="1:12" x14ac:dyDescent="0.25">
      <c r="A145" s="12">
        <v>86078340</v>
      </c>
      <c r="B145" s="12"/>
      <c r="C145" s="12" t="s">
        <v>459</v>
      </c>
      <c r="D145" s="4" t="s">
        <v>460</v>
      </c>
      <c r="E145" s="13">
        <v>3103469592</v>
      </c>
      <c r="F145" s="4" t="s">
        <v>461</v>
      </c>
      <c r="G145" s="7">
        <v>11001</v>
      </c>
      <c r="H145" s="12">
        <v>305</v>
      </c>
      <c r="I145" s="14">
        <v>1087031.8299999998</v>
      </c>
      <c r="J145" s="14">
        <v>119295.81799999996</v>
      </c>
      <c r="K145" s="3">
        <v>0</v>
      </c>
      <c r="L145" s="15">
        <v>7790.274896599999</v>
      </c>
    </row>
    <row r="146" spans="1:12" x14ac:dyDescent="0.25">
      <c r="A146" s="12">
        <v>79622303</v>
      </c>
      <c r="B146" s="12"/>
      <c r="C146" s="12" t="s">
        <v>462</v>
      </c>
      <c r="D146" s="4" t="s">
        <v>463</v>
      </c>
      <c r="E146" s="13">
        <v>302375493</v>
      </c>
      <c r="F146" s="4" t="s">
        <v>464</v>
      </c>
      <c r="G146" s="7">
        <v>11001</v>
      </c>
      <c r="H146" s="12">
        <v>305</v>
      </c>
      <c r="I146" s="14">
        <v>1087064.78</v>
      </c>
      <c r="J146" s="14">
        <v>40907.410000000018</v>
      </c>
      <c r="K146" s="3">
        <v>0</v>
      </c>
      <c r="L146" s="15">
        <v>8421.5668284999992</v>
      </c>
    </row>
    <row r="147" spans="1:12" x14ac:dyDescent="0.25">
      <c r="A147" s="12">
        <v>79912989</v>
      </c>
      <c r="B147" s="12"/>
      <c r="C147" s="12" t="s">
        <v>465</v>
      </c>
      <c r="D147" s="4" t="s">
        <v>466</v>
      </c>
      <c r="E147" s="13">
        <v>3502705967</v>
      </c>
      <c r="F147" s="4" t="s">
        <v>467</v>
      </c>
      <c r="G147" s="7">
        <v>11001</v>
      </c>
      <c r="H147" s="12">
        <v>305</v>
      </c>
      <c r="I147" s="14">
        <v>1088663.08</v>
      </c>
      <c r="J147" s="14">
        <v>152092.61600000001</v>
      </c>
      <c r="K147" s="3">
        <v>0</v>
      </c>
      <c r="L147" s="15">
        <v>7539.3922352000009</v>
      </c>
    </row>
    <row r="148" spans="1:12" x14ac:dyDescent="0.25">
      <c r="A148" s="12">
        <v>17097138</v>
      </c>
      <c r="B148" s="12"/>
      <c r="C148" s="12" t="s">
        <v>468</v>
      </c>
      <c r="D148" s="4" t="s">
        <v>469</v>
      </c>
      <c r="E148" s="13">
        <v>3003821860</v>
      </c>
      <c r="F148" s="4" t="s">
        <v>470</v>
      </c>
      <c r="G148" s="7">
        <v>11001</v>
      </c>
      <c r="H148" s="12">
        <v>305</v>
      </c>
      <c r="I148" s="14">
        <v>1089626.22</v>
      </c>
      <c r="J148" s="14">
        <v>195740.37</v>
      </c>
      <c r="K148" s="3">
        <v>0</v>
      </c>
      <c r="L148" s="15">
        <v>7195.7810925000003</v>
      </c>
    </row>
    <row r="149" spans="1:12" x14ac:dyDescent="0.25">
      <c r="A149" s="12">
        <v>41304999</v>
      </c>
      <c r="B149" s="12"/>
      <c r="C149" s="12" t="s">
        <v>471</v>
      </c>
      <c r="D149" s="4" t="s">
        <v>472</v>
      </c>
      <c r="E149" s="13">
        <v>6013158758</v>
      </c>
      <c r="F149" s="4" t="s">
        <v>473</v>
      </c>
      <c r="G149" s="7">
        <v>11001</v>
      </c>
      <c r="H149" s="12">
        <v>305</v>
      </c>
      <c r="I149" s="14">
        <v>1089780.04</v>
      </c>
      <c r="J149" s="14">
        <v>75316.008000000002</v>
      </c>
      <c r="K149" s="3">
        <v>0</v>
      </c>
      <c r="L149" s="15">
        <v>8166.4354576000005</v>
      </c>
    </row>
    <row r="150" spans="1:12" x14ac:dyDescent="0.25">
      <c r="A150" s="12">
        <v>94385495</v>
      </c>
      <c r="B150" s="12"/>
      <c r="C150" s="12" t="s">
        <v>474</v>
      </c>
      <c r="D150" s="4" t="s">
        <v>475</v>
      </c>
      <c r="E150" s="13">
        <v>3138871937</v>
      </c>
      <c r="F150" s="4" t="s">
        <v>476</v>
      </c>
      <c r="G150" s="7">
        <v>11001</v>
      </c>
      <c r="H150" s="12">
        <v>305</v>
      </c>
      <c r="I150" s="14">
        <v>1091126.72</v>
      </c>
      <c r="J150" s="14">
        <v>95532.233999999997</v>
      </c>
      <c r="K150" s="3">
        <v>0</v>
      </c>
      <c r="L150" s="15">
        <v>8014.535612300001</v>
      </c>
    </row>
    <row r="151" spans="1:12" x14ac:dyDescent="0.25">
      <c r="A151" s="12">
        <v>7545361</v>
      </c>
      <c r="B151" s="12"/>
      <c r="C151" s="12" t="s">
        <v>477</v>
      </c>
      <c r="D151" s="4" t="s">
        <v>478</v>
      </c>
      <c r="E151" s="13">
        <v>6015834461</v>
      </c>
      <c r="F151" s="4" t="s">
        <v>479</v>
      </c>
      <c r="G151" s="7">
        <v>11001</v>
      </c>
      <c r="H151" s="12">
        <v>305</v>
      </c>
      <c r="I151" s="14">
        <v>1093425.5699999998</v>
      </c>
      <c r="J151" s="14">
        <v>195865.11399999997</v>
      </c>
      <c r="K151" s="3">
        <v>0</v>
      </c>
      <c r="L151" s="15">
        <v>7225.361670799999</v>
      </c>
    </row>
    <row r="152" spans="1:12" x14ac:dyDescent="0.25">
      <c r="A152" s="12">
        <v>1014272524</v>
      </c>
      <c r="B152" s="12"/>
      <c r="C152" s="12" t="s">
        <v>480</v>
      </c>
      <c r="D152" s="4" t="s">
        <v>481</v>
      </c>
      <c r="E152" s="13">
        <v>3165253927</v>
      </c>
      <c r="F152" s="4" t="s">
        <v>482</v>
      </c>
      <c r="G152" s="7">
        <v>11001</v>
      </c>
      <c r="H152" s="12">
        <v>305</v>
      </c>
      <c r="I152" s="14">
        <v>1095764</v>
      </c>
      <c r="J152" s="14">
        <v>0.15</v>
      </c>
      <c r="K152" s="3">
        <v>0</v>
      </c>
      <c r="L152" s="15">
        <v>8820.8989925000005</v>
      </c>
    </row>
    <row r="153" spans="1:12" x14ac:dyDescent="0.25">
      <c r="A153" s="12">
        <v>80492494</v>
      </c>
      <c r="B153" s="12"/>
      <c r="C153" s="12" t="s">
        <v>483</v>
      </c>
      <c r="D153" s="4" t="s">
        <v>484</v>
      </c>
      <c r="E153" s="13">
        <v>3102167701</v>
      </c>
      <c r="F153" s="4" t="s">
        <v>485</v>
      </c>
      <c r="G153" s="7">
        <v>11001</v>
      </c>
      <c r="H153" s="12">
        <v>305</v>
      </c>
      <c r="I153" s="14">
        <v>1096645.5000000002</v>
      </c>
      <c r="J153" s="14">
        <v>148009.10000000003</v>
      </c>
      <c r="K153" s="3">
        <v>0</v>
      </c>
      <c r="L153" s="15">
        <v>7636.5230200000015</v>
      </c>
    </row>
    <row r="154" spans="1:12" x14ac:dyDescent="0.25">
      <c r="A154" s="12">
        <v>52957033</v>
      </c>
      <c r="B154" s="12"/>
      <c r="C154" s="12" t="s">
        <v>486</v>
      </c>
      <c r="D154" s="4" t="s">
        <v>487</v>
      </c>
      <c r="E154" s="13">
        <v>3112582325</v>
      </c>
      <c r="F154" s="4" t="s">
        <v>488</v>
      </c>
      <c r="G154" s="7">
        <v>11001</v>
      </c>
      <c r="H154" s="12">
        <v>305</v>
      </c>
      <c r="I154" s="14">
        <v>1096883.8999999999</v>
      </c>
      <c r="J154" s="14">
        <v>156216.78</v>
      </c>
      <c r="K154" s="3">
        <v>0</v>
      </c>
      <c r="L154" s="15">
        <v>7572.3703159999995</v>
      </c>
    </row>
    <row r="155" spans="1:12" x14ac:dyDescent="0.25">
      <c r="A155" s="12">
        <v>7179500</v>
      </c>
      <c r="B155" s="12"/>
      <c r="C155" s="12" t="s">
        <v>489</v>
      </c>
      <c r="D155" s="4" t="s">
        <v>490</v>
      </c>
      <c r="E155" s="13">
        <v>6406056</v>
      </c>
      <c r="F155" s="4" t="s">
        <v>491</v>
      </c>
      <c r="G155" s="7">
        <v>11001</v>
      </c>
      <c r="H155" s="12">
        <v>305</v>
      </c>
      <c r="I155" s="14">
        <v>1099153.8500000006</v>
      </c>
      <c r="J155" s="14">
        <v>133148.08200000011</v>
      </c>
      <c r="K155" s="3">
        <v>0</v>
      </c>
      <c r="L155" s="15">
        <v>7776.3464324000033</v>
      </c>
    </row>
    <row r="156" spans="1:12" x14ac:dyDescent="0.25">
      <c r="A156" s="12">
        <v>51848477</v>
      </c>
      <c r="B156" s="12"/>
      <c r="C156" s="12" t="s">
        <v>492</v>
      </c>
      <c r="D156" s="4" t="s">
        <v>493</v>
      </c>
      <c r="E156" s="13">
        <v>3186789190</v>
      </c>
      <c r="F156" s="4" t="s">
        <v>494</v>
      </c>
      <c r="G156" s="7">
        <v>11001</v>
      </c>
      <c r="H156" s="12">
        <v>305</v>
      </c>
      <c r="I156" s="14">
        <v>1099200</v>
      </c>
      <c r="J156" s="14">
        <v>0.15</v>
      </c>
      <c r="K156" s="3">
        <v>0</v>
      </c>
      <c r="L156" s="15">
        <v>8848.5587925</v>
      </c>
    </row>
    <row r="157" spans="1:12" x14ac:dyDescent="0.25">
      <c r="A157" s="12">
        <v>19246522</v>
      </c>
      <c r="B157" s="12"/>
      <c r="C157" s="12" t="s">
        <v>495</v>
      </c>
      <c r="D157" s="4" t="s">
        <v>496</v>
      </c>
      <c r="E157" s="13">
        <v>3157714907</v>
      </c>
      <c r="F157" s="4" t="s">
        <v>497</v>
      </c>
      <c r="G157" s="7">
        <v>11001</v>
      </c>
      <c r="H157" s="12">
        <v>305</v>
      </c>
      <c r="I157" s="14">
        <v>1101349.8999999997</v>
      </c>
      <c r="J157" s="14">
        <v>93777.543999999965</v>
      </c>
      <c r="K157" s="3">
        <v>0</v>
      </c>
      <c r="L157" s="15">
        <v>8110.9574657999974</v>
      </c>
    </row>
    <row r="158" spans="1:12" x14ac:dyDescent="0.25">
      <c r="A158" s="12">
        <v>43155957</v>
      </c>
      <c r="B158" s="12"/>
      <c r="C158" s="12" t="s">
        <v>498</v>
      </c>
      <c r="D158" s="4" t="s">
        <v>499</v>
      </c>
      <c r="E158" s="13">
        <v>3222128391</v>
      </c>
      <c r="F158" s="4" t="s">
        <v>500</v>
      </c>
      <c r="G158" s="7">
        <v>11001</v>
      </c>
      <c r="H158" s="12">
        <v>305</v>
      </c>
      <c r="I158" s="14">
        <v>1103911.3899999994</v>
      </c>
      <c r="J158" s="14">
        <v>111785.46799999989</v>
      </c>
      <c r="K158" s="3">
        <v>0</v>
      </c>
      <c r="L158" s="15">
        <v>7986.6136720999966</v>
      </c>
    </row>
    <row r="159" spans="1:12" x14ac:dyDescent="0.25">
      <c r="A159" s="12">
        <v>41399090</v>
      </c>
      <c r="B159" s="12"/>
      <c r="C159" s="12" t="s">
        <v>501</v>
      </c>
      <c r="D159" s="4" t="s">
        <v>502</v>
      </c>
      <c r="E159" s="13">
        <v>3223122616</v>
      </c>
      <c r="F159" s="4" t="s">
        <v>503</v>
      </c>
      <c r="G159" s="7">
        <v>11001</v>
      </c>
      <c r="H159" s="12">
        <v>305</v>
      </c>
      <c r="I159" s="14">
        <v>1109014.82</v>
      </c>
      <c r="J159" s="14">
        <v>1962.9639999999999</v>
      </c>
      <c r="K159" s="3">
        <v>0</v>
      </c>
      <c r="L159" s="15">
        <v>8911.7674408000021</v>
      </c>
    </row>
    <row r="160" spans="1:12" x14ac:dyDescent="0.25">
      <c r="A160" s="12">
        <v>73144607</v>
      </c>
      <c r="B160" s="12"/>
      <c r="C160" s="12" t="s">
        <v>504</v>
      </c>
      <c r="D160" s="4" t="s">
        <v>505</v>
      </c>
      <c r="E160" s="13">
        <v>3113979684</v>
      </c>
      <c r="F160" s="4" t="s">
        <v>506</v>
      </c>
      <c r="G160" s="7">
        <v>11001</v>
      </c>
      <c r="H160" s="12">
        <v>305</v>
      </c>
      <c r="I160" s="14">
        <v>1111603.0699999998</v>
      </c>
      <c r="J160" s="14">
        <v>111260.61399999999</v>
      </c>
      <c r="K160" s="3">
        <v>0</v>
      </c>
      <c r="L160" s="15">
        <v>8052.7567707999988</v>
      </c>
    </row>
    <row r="161" spans="1:12" x14ac:dyDescent="0.25">
      <c r="A161" s="12">
        <v>8661888</v>
      </c>
      <c r="B161" s="12"/>
      <c r="C161" s="12" t="s">
        <v>507</v>
      </c>
      <c r="D161" s="4" t="s">
        <v>508</v>
      </c>
      <c r="E161" s="13">
        <v>3204961338</v>
      </c>
      <c r="F161" s="4" t="s">
        <v>509</v>
      </c>
      <c r="G161" s="7">
        <v>11001</v>
      </c>
      <c r="H161" s="12">
        <v>305</v>
      </c>
      <c r="I161" s="14">
        <v>1112088</v>
      </c>
      <c r="J161" s="14">
        <v>107017.60000000001</v>
      </c>
      <c r="K161" s="3">
        <v>0</v>
      </c>
      <c r="L161" s="15">
        <v>8090.8167199999998</v>
      </c>
    </row>
    <row r="162" spans="1:12" x14ac:dyDescent="0.25">
      <c r="A162" s="12">
        <v>16703457</v>
      </c>
      <c r="B162" s="12"/>
      <c r="C162" s="12" t="s">
        <v>510</v>
      </c>
      <c r="D162" s="4" t="s">
        <v>511</v>
      </c>
      <c r="E162" s="13">
        <v>3202428978</v>
      </c>
      <c r="F162" s="4" t="s">
        <v>512</v>
      </c>
      <c r="G162" s="7">
        <v>11001</v>
      </c>
      <c r="H162" s="12">
        <v>305</v>
      </c>
      <c r="I162" s="14">
        <v>1113487</v>
      </c>
      <c r="J162" s="14">
        <v>65697.399999999994</v>
      </c>
      <c r="K162" s="3">
        <v>0</v>
      </c>
      <c r="L162" s="15">
        <v>8434.7062799999985</v>
      </c>
    </row>
    <row r="163" spans="1:12" x14ac:dyDescent="0.25">
      <c r="A163" s="12">
        <v>39789142</v>
      </c>
      <c r="B163" s="12"/>
      <c r="C163" s="12" t="s">
        <v>513</v>
      </c>
      <c r="D163" s="4" t="s">
        <v>514</v>
      </c>
      <c r="E163" s="13">
        <v>3208531072</v>
      </c>
      <c r="F163" s="4" t="s">
        <v>515</v>
      </c>
      <c r="G163" s="7">
        <v>11001</v>
      </c>
      <c r="H163" s="12">
        <v>305</v>
      </c>
      <c r="I163" s="14">
        <v>1116245</v>
      </c>
      <c r="J163" s="14">
        <v>45444.599999999991</v>
      </c>
      <c r="K163" s="3">
        <v>0</v>
      </c>
      <c r="L163" s="15">
        <v>8619.9432199999992</v>
      </c>
    </row>
    <row r="164" spans="1:12" x14ac:dyDescent="0.25">
      <c r="A164" s="12">
        <v>79292184</v>
      </c>
      <c r="B164" s="12"/>
      <c r="C164" s="12" t="s">
        <v>516</v>
      </c>
      <c r="D164" s="4" t="s">
        <v>517</v>
      </c>
      <c r="E164" s="13">
        <v>6145299</v>
      </c>
      <c r="F164" s="4" t="s">
        <v>518</v>
      </c>
      <c r="G164" s="7">
        <v>11001</v>
      </c>
      <c r="H164" s="12">
        <v>305</v>
      </c>
      <c r="I164" s="14">
        <v>1117046</v>
      </c>
      <c r="J164" s="14">
        <v>29389.200000000001</v>
      </c>
      <c r="K164" s="3">
        <v>0</v>
      </c>
      <c r="L164" s="15">
        <v>8755.63724</v>
      </c>
    </row>
    <row r="165" spans="1:12" x14ac:dyDescent="0.25">
      <c r="A165" s="12">
        <v>52260316</v>
      </c>
      <c r="B165" s="12"/>
      <c r="C165" s="12" t="s">
        <v>519</v>
      </c>
      <c r="D165" s="4" t="s">
        <v>520</v>
      </c>
      <c r="E165" s="13">
        <v>3002698189</v>
      </c>
      <c r="F165" s="4" t="s">
        <v>521</v>
      </c>
      <c r="G165" s="7">
        <v>11001</v>
      </c>
      <c r="H165" s="12">
        <v>305</v>
      </c>
      <c r="I165" s="14">
        <v>1118347.51</v>
      </c>
      <c r="J165" s="14">
        <v>122369.50199999999</v>
      </c>
      <c r="K165" s="3">
        <v>0</v>
      </c>
      <c r="L165" s="15">
        <v>8017.6229644000005</v>
      </c>
    </row>
    <row r="166" spans="1:12" x14ac:dyDescent="0.25">
      <c r="A166" s="12">
        <v>20524693</v>
      </c>
      <c r="B166" s="12"/>
      <c r="C166" s="12" t="s">
        <v>522</v>
      </c>
      <c r="D166" s="4" t="s">
        <v>523</v>
      </c>
      <c r="E166" s="13">
        <v>8169426</v>
      </c>
      <c r="F166" s="4" t="s">
        <v>524</v>
      </c>
      <c r="G166" s="7">
        <v>11001</v>
      </c>
      <c r="H166" s="12">
        <v>305</v>
      </c>
      <c r="I166" s="14">
        <v>1120568</v>
      </c>
      <c r="J166" s="14">
        <v>146333.6</v>
      </c>
      <c r="K166" s="3">
        <v>0</v>
      </c>
      <c r="L166" s="15">
        <v>7842.5869199999997</v>
      </c>
    </row>
    <row r="167" spans="1:12" x14ac:dyDescent="0.25">
      <c r="A167" s="12">
        <v>41616786</v>
      </c>
      <c r="B167" s="12"/>
      <c r="C167" s="12" t="s">
        <v>525</v>
      </c>
      <c r="D167" s="4" t="s">
        <v>526</v>
      </c>
      <c r="E167" s="13">
        <v>3102491074</v>
      </c>
      <c r="F167" s="4" t="s">
        <v>527</v>
      </c>
      <c r="G167" s="7">
        <v>11001</v>
      </c>
      <c r="H167" s="12">
        <v>305</v>
      </c>
      <c r="I167" s="14">
        <v>1120856</v>
      </c>
      <c r="J167" s="14">
        <v>107556.4</v>
      </c>
      <c r="K167" s="3">
        <v>0</v>
      </c>
      <c r="L167" s="15">
        <v>8157.06178</v>
      </c>
    </row>
    <row r="168" spans="1:12" x14ac:dyDescent="0.25">
      <c r="A168" s="12">
        <v>71621007</v>
      </c>
      <c r="B168" s="12"/>
      <c r="C168" s="12" t="s">
        <v>528</v>
      </c>
      <c r="D168" s="4" t="s">
        <v>529</v>
      </c>
      <c r="E168" s="13">
        <v>6014421557</v>
      </c>
      <c r="F168" s="4" t="s">
        <v>530</v>
      </c>
      <c r="G168" s="7">
        <v>11001</v>
      </c>
      <c r="H168" s="12">
        <v>305</v>
      </c>
      <c r="I168" s="14">
        <v>1121195.2800000003</v>
      </c>
      <c r="J168" s="14">
        <v>129425.94800000003</v>
      </c>
      <c r="K168" s="3">
        <v>0</v>
      </c>
      <c r="L168" s="15">
        <v>7983.7431226000017</v>
      </c>
    </row>
    <row r="169" spans="1:12" x14ac:dyDescent="0.25">
      <c r="A169" s="12">
        <v>46673196</v>
      </c>
      <c r="B169" s="12"/>
      <c r="C169" s="12" t="s">
        <v>531</v>
      </c>
      <c r="D169" s="4" t="s">
        <v>532</v>
      </c>
      <c r="E169" s="13">
        <v>3142188779</v>
      </c>
      <c r="F169" s="4" t="s">
        <v>533</v>
      </c>
      <c r="G169" s="7" t="s">
        <v>422</v>
      </c>
      <c r="H169" s="12">
        <v>305</v>
      </c>
      <c r="I169" s="14">
        <v>1121450</v>
      </c>
      <c r="J169" s="14">
        <v>0.15</v>
      </c>
      <c r="K169" s="3">
        <v>0</v>
      </c>
      <c r="L169" s="15">
        <v>9027.6712925000011</v>
      </c>
    </row>
    <row r="170" spans="1:12" x14ac:dyDescent="0.25">
      <c r="A170" s="12">
        <v>51722394</v>
      </c>
      <c r="B170" s="12"/>
      <c r="C170" s="12" t="s">
        <v>534</v>
      </c>
      <c r="D170" s="4" t="s">
        <v>535</v>
      </c>
      <c r="E170" s="13">
        <v>3104797524</v>
      </c>
      <c r="F170" s="4" t="s">
        <v>536</v>
      </c>
      <c r="G170" s="7" t="s">
        <v>537</v>
      </c>
      <c r="H170" s="12">
        <v>305</v>
      </c>
      <c r="I170" s="14">
        <v>1121450</v>
      </c>
      <c r="J170" s="14">
        <v>0.15</v>
      </c>
      <c r="K170" s="3">
        <v>0</v>
      </c>
      <c r="L170" s="15">
        <v>9027.6712925000011</v>
      </c>
    </row>
    <row r="171" spans="1:12" x14ac:dyDescent="0.25">
      <c r="A171" s="12">
        <v>91239646</v>
      </c>
      <c r="B171" s="12"/>
      <c r="C171" s="12" t="s">
        <v>538</v>
      </c>
      <c r="D171" s="4" t="s">
        <v>539</v>
      </c>
      <c r="E171" s="13">
        <v>6198597</v>
      </c>
      <c r="F171" s="4" t="s">
        <v>540</v>
      </c>
      <c r="G171" s="7">
        <v>11001</v>
      </c>
      <c r="H171" s="12">
        <v>305</v>
      </c>
      <c r="I171" s="14">
        <v>1121699</v>
      </c>
      <c r="J171" s="14">
        <v>76259.8</v>
      </c>
      <c r="K171" s="3">
        <v>0</v>
      </c>
      <c r="L171" s="15">
        <v>8415.7855600000003</v>
      </c>
    </row>
    <row r="172" spans="1:12" x14ac:dyDescent="0.25">
      <c r="A172" s="12">
        <v>93300488</v>
      </c>
      <c r="B172" s="12"/>
      <c r="C172" s="12" t="s">
        <v>541</v>
      </c>
      <c r="D172" s="4" t="s">
        <v>542</v>
      </c>
      <c r="E172" s="13">
        <v>3186185807</v>
      </c>
      <c r="F172" s="4" t="s">
        <v>54</v>
      </c>
      <c r="G172" s="7" t="s">
        <v>543</v>
      </c>
      <c r="H172" s="12">
        <v>305</v>
      </c>
      <c r="I172" s="14">
        <v>1126019.3900000001</v>
      </c>
      <c r="J172" s="14">
        <v>134867.508</v>
      </c>
      <c r="K172" s="3">
        <v>0</v>
      </c>
      <c r="L172" s="15">
        <v>7978.7726501000006</v>
      </c>
    </row>
    <row r="173" spans="1:12" x14ac:dyDescent="0.25">
      <c r="A173" s="12">
        <v>3291757</v>
      </c>
      <c r="B173" s="12"/>
      <c r="C173" s="12" t="s">
        <v>544</v>
      </c>
      <c r="D173" s="4" t="s">
        <v>545</v>
      </c>
      <c r="E173" s="13">
        <v>3163722279</v>
      </c>
      <c r="F173" s="4" t="s">
        <v>546</v>
      </c>
      <c r="G173" s="7">
        <v>11001</v>
      </c>
      <c r="H173" s="12">
        <v>305</v>
      </c>
      <c r="I173" s="14">
        <v>1127679.81</v>
      </c>
      <c r="J173" s="14">
        <v>90425.54</v>
      </c>
      <c r="K173" s="3">
        <v>0</v>
      </c>
      <c r="L173" s="15">
        <v>8349.8968735000017</v>
      </c>
    </row>
    <row r="174" spans="1:12" x14ac:dyDescent="0.25">
      <c r="A174" s="12">
        <v>1022329833</v>
      </c>
      <c r="B174" s="12"/>
      <c r="C174" s="12" t="s">
        <v>547</v>
      </c>
      <c r="D174" s="4" t="s">
        <v>548</v>
      </c>
      <c r="E174" s="13">
        <v>3134091005</v>
      </c>
      <c r="F174" s="4" t="s">
        <v>549</v>
      </c>
      <c r="G174" s="7">
        <v>11001</v>
      </c>
      <c r="H174" s="12">
        <v>305</v>
      </c>
      <c r="I174" s="14">
        <v>1128500</v>
      </c>
      <c r="J174" s="14">
        <v>134130.4</v>
      </c>
      <c r="K174" s="3">
        <v>0</v>
      </c>
      <c r="L174" s="15">
        <v>8004.6752799999995</v>
      </c>
    </row>
    <row r="175" spans="1:12" x14ac:dyDescent="0.25">
      <c r="A175" s="12">
        <v>1015448572</v>
      </c>
      <c r="B175" s="12"/>
      <c r="C175" s="12" t="s">
        <v>550</v>
      </c>
      <c r="D175" s="4" t="s">
        <v>551</v>
      </c>
      <c r="E175" s="13">
        <v>3103072496</v>
      </c>
      <c r="F175" s="4" t="s">
        <v>552</v>
      </c>
      <c r="G175" s="7" t="s">
        <v>553</v>
      </c>
      <c r="H175" s="12">
        <v>305</v>
      </c>
      <c r="I175" s="14">
        <v>1128925.8400000001</v>
      </c>
      <c r="J175" s="14">
        <v>84945.168000000005</v>
      </c>
      <c r="K175" s="3">
        <v>0</v>
      </c>
      <c r="L175" s="15">
        <v>8404.044409600001</v>
      </c>
    </row>
    <row r="176" spans="1:12" x14ac:dyDescent="0.25">
      <c r="A176" s="12">
        <v>1140843619</v>
      </c>
      <c r="B176" s="12"/>
      <c r="C176" s="12" t="s">
        <v>554</v>
      </c>
      <c r="D176" s="4" t="s">
        <v>555</v>
      </c>
      <c r="E176" s="13">
        <v>3183513761</v>
      </c>
      <c r="F176" s="4" t="s">
        <v>556</v>
      </c>
      <c r="G176" s="7" t="s">
        <v>221</v>
      </c>
      <c r="H176" s="12">
        <v>305</v>
      </c>
      <c r="I176" s="14">
        <v>1129115.74</v>
      </c>
      <c r="J176" s="14">
        <v>109462.97199999999</v>
      </c>
      <c r="K176" s="3">
        <v>0</v>
      </c>
      <c r="L176" s="15">
        <v>8208.2047824000001</v>
      </c>
    </row>
    <row r="177" spans="1:12" x14ac:dyDescent="0.25">
      <c r="A177" s="12">
        <v>900671255</v>
      </c>
      <c r="B177" s="12">
        <v>4</v>
      </c>
      <c r="C177" s="12" t="s">
        <v>557</v>
      </c>
      <c r="D177" s="4" t="s">
        <v>558</v>
      </c>
      <c r="E177" s="13">
        <v>3008805374</v>
      </c>
      <c r="F177" s="4" t="s">
        <v>559</v>
      </c>
      <c r="G177" s="7" t="s">
        <v>560</v>
      </c>
      <c r="H177" s="12">
        <v>305</v>
      </c>
      <c r="I177" s="14">
        <v>1129941</v>
      </c>
      <c r="J177" s="14">
        <v>0.15</v>
      </c>
      <c r="K177" s="3">
        <v>0</v>
      </c>
      <c r="L177" s="15">
        <v>9096.0238425000007</v>
      </c>
    </row>
    <row r="178" spans="1:12" x14ac:dyDescent="0.25">
      <c r="A178" s="12">
        <v>35461212</v>
      </c>
      <c r="B178" s="12"/>
      <c r="C178" s="12" t="s">
        <v>561</v>
      </c>
      <c r="D178" s="4" t="s">
        <v>562</v>
      </c>
      <c r="E178" s="13">
        <v>17138250577</v>
      </c>
      <c r="F178" s="4" t="s">
        <v>563</v>
      </c>
      <c r="G178" s="7">
        <v>11001</v>
      </c>
      <c r="H178" s="12">
        <v>305</v>
      </c>
      <c r="I178" s="14">
        <v>1129988</v>
      </c>
      <c r="J178" s="14">
        <v>74017.600000000006</v>
      </c>
      <c r="K178" s="3">
        <v>0</v>
      </c>
      <c r="L178" s="15">
        <v>8500.5617199999997</v>
      </c>
    </row>
    <row r="179" spans="1:12" x14ac:dyDescent="0.25">
      <c r="A179" s="12">
        <v>72003137</v>
      </c>
      <c r="B179" s="12"/>
      <c r="C179" s="12" t="s">
        <v>564</v>
      </c>
      <c r="D179" s="4" t="s">
        <v>565</v>
      </c>
      <c r="E179" s="13">
        <v>3014171574</v>
      </c>
      <c r="F179" s="4" t="s">
        <v>566</v>
      </c>
      <c r="G179" s="7">
        <v>11001</v>
      </c>
      <c r="H179" s="12">
        <v>305</v>
      </c>
      <c r="I179" s="14">
        <v>1130960.8899999999</v>
      </c>
      <c r="J179" s="14">
        <v>33444.446000000004</v>
      </c>
      <c r="K179" s="3">
        <v>0</v>
      </c>
      <c r="L179" s="15">
        <v>8835.0073741999986</v>
      </c>
    </row>
    <row r="180" spans="1:12" x14ac:dyDescent="0.25">
      <c r="A180" s="12">
        <v>79590068</v>
      </c>
      <c r="B180" s="12"/>
      <c r="C180" s="12" t="s">
        <v>567</v>
      </c>
      <c r="D180" s="4" t="s">
        <v>568</v>
      </c>
      <c r="E180" s="13">
        <v>3003416021</v>
      </c>
      <c r="F180" s="4" t="s">
        <v>569</v>
      </c>
      <c r="G180" s="7">
        <v>11001</v>
      </c>
      <c r="H180" s="12">
        <v>305</v>
      </c>
      <c r="I180" s="14">
        <v>1132003.3900000001</v>
      </c>
      <c r="J180" s="14">
        <v>119420.67800000001</v>
      </c>
      <c r="K180" s="3">
        <v>0</v>
      </c>
      <c r="L180" s="15">
        <v>8151.2908316000012</v>
      </c>
    </row>
    <row r="181" spans="1:12" x14ac:dyDescent="0.25">
      <c r="A181" s="12">
        <v>74360544</v>
      </c>
      <c r="B181" s="12"/>
      <c r="C181" s="12" t="s">
        <v>570</v>
      </c>
      <c r="D181" s="4" t="s">
        <v>571</v>
      </c>
      <c r="E181" s="13">
        <v>3208485595</v>
      </c>
      <c r="F181" s="4" t="s">
        <v>572</v>
      </c>
      <c r="G181" s="7">
        <v>11001</v>
      </c>
      <c r="H181" s="12">
        <v>305</v>
      </c>
      <c r="I181" s="14">
        <v>1133048.27</v>
      </c>
      <c r="J181" s="14">
        <v>226609.65399999998</v>
      </c>
      <c r="K181" s="3">
        <v>0</v>
      </c>
      <c r="L181" s="15">
        <v>7296.8308588000009</v>
      </c>
    </row>
    <row r="182" spans="1:12" x14ac:dyDescent="0.25">
      <c r="A182" s="12">
        <v>80177974</v>
      </c>
      <c r="B182" s="12"/>
      <c r="C182" s="12" t="s">
        <v>573</v>
      </c>
      <c r="D182" s="4" t="s">
        <v>574</v>
      </c>
      <c r="E182" s="13">
        <v>3233137104</v>
      </c>
      <c r="F182" s="4" t="s">
        <v>575</v>
      </c>
      <c r="G182" s="7">
        <v>11001</v>
      </c>
      <c r="H182" s="12">
        <v>305</v>
      </c>
      <c r="I182" s="14">
        <v>1135200</v>
      </c>
      <c r="J182" s="14">
        <v>9000</v>
      </c>
      <c r="K182" s="3">
        <v>0</v>
      </c>
      <c r="L182" s="15">
        <v>9065.91</v>
      </c>
    </row>
    <row r="183" spans="1:12" x14ac:dyDescent="0.25">
      <c r="A183" s="12">
        <v>52144840</v>
      </c>
      <c r="B183" s="12"/>
      <c r="C183" s="12" t="s">
        <v>576</v>
      </c>
      <c r="D183" s="4" t="s">
        <v>577</v>
      </c>
      <c r="E183" s="13">
        <v>3136148177</v>
      </c>
      <c r="F183" s="4" t="s">
        <v>578</v>
      </c>
      <c r="G183" s="7">
        <v>11001</v>
      </c>
      <c r="H183" s="12">
        <v>305</v>
      </c>
      <c r="I183" s="14">
        <v>1136387.44</v>
      </c>
      <c r="J183" s="14">
        <v>120297.48800000001</v>
      </c>
      <c r="K183" s="3">
        <v>0</v>
      </c>
      <c r="L183" s="15">
        <v>8179.5241136000004</v>
      </c>
    </row>
    <row r="184" spans="1:12" x14ac:dyDescent="0.25">
      <c r="A184" s="12">
        <v>13746178</v>
      </c>
      <c r="B184" s="12"/>
      <c r="C184" s="12" t="s">
        <v>579</v>
      </c>
      <c r="D184" s="4" t="s">
        <v>580</v>
      </c>
      <c r="E184" s="13">
        <v>3214320245</v>
      </c>
      <c r="F184" s="4" t="s">
        <v>581</v>
      </c>
      <c r="G184" s="7">
        <v>11001</v>
      </c>
      <c r="H184" s="12">
        <v>305</v>
      </c>
      <c r="I184" s="14">
        <v>1138597.1099999999</v>
      </c>
      <c r="J184" s="14">
        <v>85959.421999999991</v>
      </c>
      <c r="K184" s="3">
        <v>0</v>
      </c>
      <c r="L184" s="15">
        <v>8473.7333884</v>
      </c>
    </row>
    <row r="185" spans="1:12" x14ac:dyDescent="0.25">
      <c r="A185" s="12">
        <v>1032365849</v>
      </c>
      <c r="B185" s="12"/>
      <c r="C185" s="12" t="s">
        <v>582</v>
      </c>
      <c r="D185" s="4" t="s">
        <v>583</v>
      </c>
      <c r="E185" s="13">
        <v>3138592837</v>
      </c>
      <c r="F185" s="4" t="s">
        <v>584</v>
      </c>
      <c r="G185" s="7">
        <v>11001</v>
      </c>
      <c r="H185" s="12">
        <v>305</v>
      </c>
      <c r="I185" s="14">
        <v>1139775.5</v>
      </c>
      <c r="J185" s="14">
        <v>3667.2</v>
      </c>
      <c r="K185" s="3">
        <v>0</v>
      </c>
      <c r="L185" s="15">
        <v>9145.6718150000015</v>
      </c>
    </row>
    <row r="186" spans="1:12" x14ac:dyDescent="0.25">
      <c r="A186" s="12">
        <v>19362135</v>
      </c>
      <c r="B186" s="12"/>
      <c r="C186" s="12" t="s">
        <v>585</v>
      </c>
      <c r="D186" s="4" t="s">
        <v>586</v>
      </c>
      <c r="E186" s="13">
        <v>4839088</v>
      </c>
      <c r="F186" s="4" t="s">
        <v>587</v>
      </c>
      <c r="G186" s="7">
        <v>11001</v>
      </c>
      <c r="H186" s="12">
        <v>305</v>
      </c>
      <c r="I186" s="14">
        <v>1142093</v>
      </c>
      <c r="J186" s="14">
        <v>116543.8</v>
      </c>
      <c r="K186" s="3">
        <v>0</v>
      </c>
      <c r="L186" s="15">
        <v>8255.6710600000006</v>
      </c>
    </row>
    <row r="187" spans="1:12" x14ac:dyDescent="0.25">
      <c r="A187" s="12">
        <v>51739547</v>
      </c>
      <c r="B187" s="12"/>
      <c r="C187" s="12" t="s">
        <v>588</v>
      </c>
      <c r="D187" s="4" t="s">
        <v>589</v>
      </c>
      <c r="E187" s="13">
        <v>3208505887</v>
      </c>
      <c r="F187" s="4" t="s">
        <v>590</v>
      </c>
      <c r="G187" s="7">
        <v>11001</v>
      </c>
      <c r="H187" s="12">
        <v>305</v>
      </c>
      <c r="I187" s="14">
        <v>1143842.46</v>
      </c>
      <c r="J187" s="14">
        <v>1222.1780000000001</v>
      </c>
      <c r="K187" s="3">
        <v>0</v>
      </c>
      <c r="L187" s="15">
        <v>9198.0932700999983</v>
      </c>
    </row>
    <row r="188" spans="1:12" x14ac:dyDescent="0.25">
      <c r="A188" s="12">
        <v>79553029</v>
      </c>
      <c r="B188" s="12"/>
      <c r="C188" s="12" t="s">
        <v>591</v>
      </c>
      <c r="D188" s="4" t="s">
        <v>592</v>
      </c>
      <c r="E188" s="13">
        <v>3159269172</v>
      </c>
      <c r="F188" s="4" t="s">
        <v>593</v>
      </c>
      <c r="G188" s="7">
        <v>11001</v>
      </c>
      <c r="H188" s="12">
        <v>305</v>
      </c>
      <c r="I188" s="14">
        <v>1144174.2299999995</v>
      </c>
      <c r="J188" s="14">
        <v>93697.763999999923</v>
      </c>
      <c r="K188" s="3">
        <v>0</v>
      </c>
      <c r="L188" s="15">
        <v>8456.335551299997</v>
      </c>
    </row>
    <row r="189" spans="1:12" x14ac:dyDescent="0.25">
      <c r="A189" s="12">
        <v>53124875</v>
      </c>
      <c r="B189" s="12"/>
      <c r="C189" s="12" t="s">
        <v>594</v>
      </c>
      <c r="D189" s="4" t="s">
        <v>595</v>
      </c>
      <c r="E189" s="13">
        <v>3125493445</v>
      </c>
      <c r="F189" s="4" t="s">
        <v>596</v>
      </c>
      <c r="G189" s="7">
        <v>11001</v>
      </c>
      <c r="H189" s="12">
        <v>305</v>
      </c>
      <c r="I189" s="14">
        <v>1144186.4399999997</v>
      </c>
      <c r="J189" s="14">
        <v>121605.28799999993</v>
      </c>
      <c r="K189" s="3">
        <v>0</v>
      </c>
      <c r="L189" s="15">
        <v>8231.7782735999972</v>
      </c>
    </row>
    <row r="190" spans="1:12" x14ac:dyDescent="0.25">
      <c r="A190" s="12">
        <v>79523709</v>
      </c>
      <c r="B190" s="12"/>
      <c r="C190" s="12" t="s">
        <v>597</v>
      </c>
      <c r="D190" s="4" t="s">
        <v>598</v>
      </c>
      <c r="E190" s="13">
        <v>3142399140</v>
      </c>
      <c r="F190" s="4" t="s">
        <v>599</v>
      </c>
      <c r="G190" s="7">
        <v>11001</v>
      </c>
      <c r="H190" s="12">
        <v>305</v>
      </c>
      <c r="I190" s="14">
        <v>1144586.9699999997</v>
      </c>
      <c r="J190" s="14">
        <v>122574.03199999995</v>
      </c>
      <c r="K190" s="3">
        <v>0</v>
      </c>
      <c r="L190" s="15">
        <v>8227.2041508999991</v>
      </c>
    </row>
    <row r="191" spans="1:12" x14ac:dyDescent="0.25">
      <c r="A191" s="12">
        <v>79366525</v>
      </c>
      <c r="B191" s="12"/>
      <c r="C191" s="12" t="s">
        <v>600</v>
      </c>
      <c r="D191" s="4" t="s">
        <v>601</v>
      </c>
      <c r="E191" s="13">
        <v>6946925</v>
      </c>
      <c r="F191" s="4" t="s">
        <v>602</v>
      </c>
      <c r="G191" s="7" t="s">
        <v>603</v>
      </c>
      <c r="H191" s="12">
        <v>305</v>
      </c>
      <c r="I191" s="14">
        <v>1145735</v>
      </c>
      <c r="J191" s="14">
        <v>76574.2</v>
      </c>
      <c r="K191" s="3">
        <v>0</v>
      </c>
      <c r="L191" s="15">
        <v>8606.7444400000004</v>
      </c>
    </row>
    <row r="192" spans="1:12" x14ac:dyDescent="0.25">
      <c r="A192" s="12">
        <v>80504017</v>
      </c>
      <c r="B192" s="12"/>
      <c r="C192" s="12" t="s">
        <v>604</v>
      </c>
      <c r="D192" s="4" t="s">
        <v>605</v>
      </c>
      <c r="E192" s="13">
        <v>3018688877</v>
      </c>
      <c r="F192" s="4" t="s">
        <v>606</v>
      </c>
      <c r="G192" s="7">
        <v>11001</v>
      </c>
      <c r="H192" s="12">
        <v>305</v>
      </c>
      <c r="I192" s="14">
        <v>1147049</v>
      </c>
      <c r="J192" s="14">
        <v>78995</v>
      </c>
      <c r="K192" s="3">
        <v>0</v>
      </c>
      <c r="L192" s="15">
        <v>8597.8346999999994</v>
      </c>
    </row>
    <row r="193" spans="1:12" x14ac:dyDescent="0.25">
      <c r="A193" s="12">
        <v>93409438</v>
      </c>
      <c r="B193" s="12"/>
      <c r="C193" s="12" t="s">
        <v>607</v>
      </c>
      <c r="D193" s="4" t="s">
        <v>608</v>
      </c>
      <c r="E193" s="13">
        <v>3158224372</v>
      </c>
      <c r="F193" s="4" t="s">
        <v>609</v>
      </c>
      <c r="G193" s="7" t="s">
        <v>294</v>
      </c>
      <c r="H193" s="12">
        <v>305</v>
      </c>
      <c r="I193" s="14">
        <v>1148361</v>
      </c>
      <c r="J193" s="14">
        <v>129017.2</v>
      </c>
      <c r="K193" s="3">
        <v>0</v>
      </c>
      <c r="L193" s="15">
        <v>8205.7175900000002</v>
      </c>
    </row>
    <row r="194" spans="1:12" x14ac:dyDescent="0.25">
      <c r="A194" s="12">
        <v>88228646</v>
      </c>
      <c r="B194" s="12"/>
      <c r="C194" s="12" t="s">
        <v>610</v>
      </c>
      <c r="D194" s="4" t="s">
        <v>611</v>
      </c>
      <c r="E194" s="13">
        <v>6101819</v>
      </c>
      <c r="F194" s="4" t="s">
        <v>612</v>
      </c>
      <c r="G194" s="7">
        <v>11001</v>
      </c>
      <c r="H194" s="12">
        <v>305</v>
      </c>
      <c r="I194" s="14">
        <v>1149429.6599999999</v>
      </c>
      <c r="J194" s="14">
        <v>92925.931999999986</v>
      </c>
      <c r="K194" s="3">
        <v>0</v>
      </c>
      <c r="L194" s="15">
        <v>8504.8550103999987</v>
      </c>
    </row>
    <row r="195" spans="1:12" x14ac:dyDescent="0.25">
      <c r="A195" s="12">
        <v>80089334</v>
      </c>
      <c r="B195" s="12"/>
      <c r="C195" s="12" t="s">
        <v>613</v>
      </c>
      <c r="D195" s="4" t="s">
        <v>614</v>
      </c>
      <c r="E195" s="13">
        <v>3165227757</v>
      </c>
      <c r="F195" s="4" t="s">
        <v>615</v>
      </c>
      <c r="G195" s="7">
        <v>11001</v>
      </c>
      <c r="H195" s="12">
        <v>305</v>
      </c>
      <c r="I195" s="14">
        <v>1149628.2100000002</v>
      </c>
      <c r="J195" s="14">
        <v>121926.42200000004</v>
      </c>
      <c r="K195" s="3">
        <v>0</v>
      </c>
      <c r="L195" s="15">
        <v>8272.9993934000013</v>
      </c>
    </row>
    <row r="196" spans="1:12" x14ac:dyDescent="0.25">
      <c r="A196" s="12">
        <v>2971828</v>
      </c>
      <c r="B196" s="12"/>
      <c r="C196" s="12" t="s">
        <v>616</v>
      </c>
      <c r="D196" s="4" t="s">
        <v>617</v>
      </c>
      <c r="E196" s="13">
        <v>3203049118</v>
      </c>
      <c r="F196" s="4" t="s">
        <v>618</v>
      </c>
      <c r="G196" s="7">
        <v>11001</v>
      </c>
      <c r="H196" s="12">
        <v>305</v>
      </c>
      <c r="I196" s="14">
        <v>1154312.93</v>
      </c>
      <c r="J196" s="14">
        <v>102402.586</v>
      </c>
      <c r="K196" s="3">
        <v>0</v>
      </c>
      <c r="L196" s="15">
        <v>8467.8782692000004</v>
      </c>
    </row>
    <row r="197" spans="1:12" x14ac:dyDescent="0.25">
      <c r="A197" s="12">
        <v>1049609809</v>
      </c>
      <c r="B197" s="12"/>
      <c r="C197" s="12" t="s">
        <v>619</v>
      </c>
      <c r="D197" s="4" t="s">
        <v>620</v>
      </c>
      <c r="E197" s="13">
        <v>3117401167</v>
      </c>
      <c r="F197" s="4" t="s">
        <v>621</v>
      </c>
      <c r="G197" s="7">
        <v>11001</v>
      </c>
      <c r="H197" s="12">
        <v>305</v>
      </c>
      <c r="I197" s="14">
        <v>1156648.1400000001</v>
      </c>
      <c r="J197" s="14">
        <v>211161.56</v>
      </c>
      <c r="K197" s="3">
        <v>0</v>
      </c>
      <c r="L197" s="15">
        <v>7611.1669689999999</v>
      </c>
    </row>
    <row r="198" spans="1:12" x14ac:dyDescent="0.25">
      <c r="A198" s="12">
        <v>19391590</v>
      </c>
      <c r="B198" s="12"/>
      <c r="C198" s="12" t="s">
        <v>622</v>
      </c>
      <c r="D198" s="4" t="s">
        <v>623</v>
      </c>
      <c r="E198" s="13">
        <v>3115896008</v>
      </c>
      <c r="F198" s="4" t="s">
        <v>624</v>
      </c>
      <c r="G198" s="7">
        <v>11001</v>
      </c>
      <c r="H198" s="12">
        <v>305</v>
      </c>
      <c r="I198" s="14">
        <v>1156887.06</v>
      </c>
      <c r="J198" s="14">
        <v>54685.141999999971</v>
      </c>
      <c r="K198" s="3">
        <v>0</v>
      </c>
      <c r="L198" s="15">
        <v>8872.7254399000012</v>
      </c>
    </row>
    <row r="199" spans="1:12" x14ac:dyDescent="0.25">
      <c r="A199" s="12">
        <v>80197157</v>
      </c>
      <c r="B199" s="12"/>
      <c r="C199" s="12" t="s">
        <v>625</v>
      </c>
      <c r="D199" s="4" t="s">
        <v>626</v>
      </c>
      <c r="E199" s="13">
        <v>3214524076</v>
      </c>
      <c r="F199" s="4" t="s">
        <v>627</v>
      </c>
      <c r="G199" s="7" t="s">
        <v>290</v>
      </c>
      <c r="H199" s="12">
        <v>305</v>
      </c>
      <c r="I199" s="14">
        <v>1157304.2400000002</v>
      </c>
      <c r="J199" s="14">
        <v>90369.921999999991</v>
      </c>
      <c r="K199" s="3">
        <v>0</v>
      </c>
      <c r="L199" s="15">
        <v>8588.8212599000017</v>
      </c>
    </row>
    <row r="200" spans="1:12" x14ac:dyDescent="0.25">
      <c r="A200" s="12">
        <v>19131166</v>
      </c>
      <c r="B200" s="12"/>
      <c r="C200" s="12" t="s">
        <v>628</v>
      </c>
      <c r="D200" s="4" t="s">
        <v>629</v>
      </c>
      <c r="E200" s="13">
        <v>6016223780</v>
      </c>
      <c r="F200" s="4" t="s">
        <v>630</v>
      </c>
      <c r="G200" s="7">
        <v>11001</v>
      </c>
      <c r="H200" s="12">
        <v>305</v>
      </c>
      <c r="I200" s="14">
        <v>1158000</v>
      </c>
      <c r="J200" s="14">
        <v>0.15</v>
      </c>
      <c r="K200" s="3">
        <v>0</v>
      </c>
      <c r="L200" s="15">
        <v>9321.8987925000001</v>
      </c>
    </row>
    <row r="201" spans="1:12" x14ac:dyDescent="0.25">
      <c r="A201" s="12">
        <v>73161283</v>
      </c>
      <c r="B201" s="12"/>
      <c r="C201" s="12" t="s">
        <v>631</v>
      </c>
      <c r="D201" s="4" t="s">
        <v>632</v>
      </c>
      <c r="E201" s="13">
        <v>3692020</v>
      </c>
      <c r="F201" s="4" t="s">
        <v>633</v>
      </c>
      <c r="G201" s="7">
        <v>11001</v>
      </c>
      <c r="H201" s="12">
        <v>305</v>
      </c>
      <c r="I201" s="14">
        <v>1158805</v>
      </c>
      <c r="J201" s="14">
        <v>80741</v>
      </c>
      <c r="K201" s="3">
        <v>0</v>
      </c>
      <c r="L201" s="15">
        <v>8678.4151999999995</v>
      </c>
    </row>
    <row r="202" spans="1:12" x14ac:dyDescent="0.25">
      <c r="A202" s="12">
        <v>6768838</v>
      </c>
      <c r="B202" s="12"/>
      <c r="C202" s="12" t="s">
        <v>634</v>
      </c>
      <c r="D202" s="4" t="s">
        <v>635</v>
      </c>
      <c r="E202" s="13">
        <v>3123799592</v>
      </c>
      <c r="F202" s="4" t="s">
        <v>636</v>
      </c>
      <c r="G202" s="7" t="s">
        <v>367</v>
      </c>
      <c r="H202" s="12">
        <v>305</v>
      </c>
      <c r="I202" s="14">
        <v>1158865.4799999995</v>
      </c>
      <c r="J202" s="14">
        <v>154666.29599999991</v>
      </c>
      <c r="K202" s="3">
        <v>0</v>
      </c>
      <c r="L202" s="15">
        <v>8083.8034311999972</v>
      </c>
    </row>
    <row r="203" spans="1:12" x14ac:dyDescent="0.25">
      <c r="A203" s="12">
        <v>1057602334</v>
      </c>
      <c r="B203" s="12"/>
      <c r="C203" s="12" t="s">
        <v>637</v>
      </c>
      <c r="D203" s="4" t="s">
        <v>638</v>
      </c>
      <c r="E203" s="13">
        <v>3174040505</v>
      </c>
      <c r="F203" s="4" t="s">
        <v>639</v>
      </c>
      <c r="G203" s="7" t="s">
        <v>560</v>
      </c>
      <c r="H203" s="12">
        <v>305</v>
      </c>
      <c r="I203" s="14">
        <v>1159454.25</v>
      </c>
      <c r="J203" s="14">
        <v>231890.85</v>
      </c>
      <c r="K203" s="3">
        <v>0</v>
      </c>
      <c r="L203" s="15">
        <v>7466.88537</v>
      </c>
    </row>
    <row r="204" spans="1:12" x14ac:dyDescent="0.25">
      <c r="A204" s="12">
        <v>24469013</v>
      </c>
      <c r="B204" s="12"/>
      <c r="C204" s="12" t="s">
        <v>640</v>
      </c>
      <c r="D204" s="4" t="s">
        <v>641</v>
      </c>
      <c r="E204" s="13">
        <v>2153932</v>
      </c>
      <c r="F204" s="4" t="s">
        <v>642</v>
      </c>
      <c r="G204" s="7">
        <v>11001</v>
      </c>
      <c r="H204" s="12">
        <v>305</v>
      </c>
      <c r="I204" s="14">
        <v>1161762.18</v>
      </c>
      <c r="J204" s="14">
        <v>67537.621999999988</v>
      </c>
      <c r="K204" s="3">
        <v>0</v>
      </c>
      <c r="L204" s="15">
        <v>8808.5076919000003</v>
      </c>
    </row>
    <row r="205" spans="1:12" x14ac:dyDescent="0.25">
      <c r="A205" s="12">
        <v>24079048</v>
      </c>
      <c r="B205" s="12"/>
      <c r="C205" s="12" t="s">
        <v>643</v>
      </c>
      <c r="D205" s="4" t="s">
        <v>644</v>
      </c>
      <c r="E205" s="13">
        <v>3124493851</v>
      </c>
      <c r="F205" s="4" t="s">
        <v>645</v>
      </c>
      <c r="G205" s="7">
        <v>11001</v>
      </c>
      <c r="H205" s="12">
        <v>305</v>
      </c>
      <c r="I205" s="14">
        <v>1163100</v>
      </c>
      <c r="J205" s="14">
        <v>0.15</v>
      </c>
      <c r="K205" s="3">
        <v>0</v>
      </c>
      <c r="L205" s="15">
        <v>9362.9537925000004</v>
      </c>
    </row>
    <row r="206" spans="1:12" x14ac:dyDescent="0.25">
      <c r="A206" s="12">
        <v>17190575</v>
      </c>
      <c r="B206" s="12"/>
      <c r="C206" s="12" t="s">
        <v>646</v>
      </c>
      <c r="D206" s="4" t="s">
        <v>647</v>
      </c>
      <c r="E206" s="13">
        <v>3108776793</v>
      </c>
      <c r="F206" s="4" t="s">
        <v>648</v>
      </c>
      <c r="G206" s="7">
        <v>11001</v>
      </c>
      <c r="H206" s="12">
        <v>305</v>
      </c>
      <c r="I206" s="14">
        <v>1163824.42</v>
      </c>
      <c r="J206" s="14">
        <v>119332.28</v>
      </c>
      <c r="K206" s="3">
        <v>0</v>
      </c>
      <c r="L206" s="15">
        <v>8408.1617269999988</v>
      </c>
    </row>
    <row r="207" spans="1:12" x14ac:dyDescent="0.25">
      <c r="A207" s="12">
        <v>80550234</v>
      </c>
      <c r="B207" s="12"/>
      <c r="C207" s="12" t="s">
        <v>649</v>
      </c>
      <c r="D207" s="4" t="s">
        <v>650</v>
      </c>
      <c r="E207" s="13">
        <v>3132916562</v>
      </c>
      <c r="F207" s="4" t="s">
        <v>651</v>
      </c>
      <c r="G207" s="7">
        <v>11001</v>
      </c>
      <c r="H207" s="12">
        <v>305</v>
      </c>
      <c r="I207" s="14">
        <v>1164006.9599999997</v>
      </c>
      <c r="J207" s="14">
        <v>141846.266</v>
      </c>
      <c r="K207" s="3">
        <v>0</v>
      </c>
      <c r="L207" s="15">
        <v>8228.3935866999964</v>
      </c>
    </row>
    <row r="208" spans="1:12" x14ac:dyDescent="0.25">
      <c r="A208" s="12">
        <v>11447667</v>
      </c>
      <c r="B208" s="12"/>
      <c r="C208" s="12" t="s">
        <v>652</v>
      </c>
      <c r="D208" s="4" t="s">
        <v>653</v>
      </c>
      <c r="E208" s="13">
        <v>3102861196</v>
      </c>
      <c r="F208" s="4" t="s">
        <v>654</v>
      </c>
      <c r="G208" s="7">
        <v>11001</v>
      </c>
      <c r="H208" s="12">
        <v>305</v>
      </c>
      <c r="I208" s="14">
        <v>1165154.9999999995</v>
      </c>
      <c r="J208" s="14">
        <v>133110.99999999991</v>
      </c>
      <c r="K208" s="3">
        <v>0</v>
      </c>
      <c r="L208" s="15">
        <v>8307.9541999999965</v>
      </c>
    </row>
    <row r="209" spans="1:12" x14ac:dyDescent="0.25">
      <c r="A209" s="12">
        <v>74380813</v>
      </c>
      <c r="B209" s="12"/>
      <c r="C209" s="12" t="s">
        <v>655</v>
      </c>
      <c r="D209" s="4" t="s">
        <v>656</v>
      </c>
      <c r="E209" s="13">
        <v>3112609805</v>
      </c>
      <c r="F209" s="4" t="s">
        <v>657</v>
      </c>
      <c r="G209" s="7" t="s">
        <v>422</v>
      </c>
      <c r="H209" s="12">
        <v>305</v>
      </c>
      <c r="I209" s="14">
        <v>1166302.23</v>
      </c>
      <c r="J209" s="14">
        <v>194235.23599999998</v>
      </c>
      <c r="K209" s="3">
        <v>0</v>
      </c>
      <c r="L209" s="15">
        <v>7825.1393016999991</v>
      </c>
    </row>
    <row r="210" spans="1:12" x14ac:dyDescent="0.25">
      <c r="A210" s="12">
        <v>17098829</v>
      </c>
      <c r="B210" s="12"/>
      <c r="C210" s="12" t="s">
        <v>658</v>
      </c>
      <c r="D210" s="4" t="s">
        <v>659</v>
      </c>
      <c r="E210" s="13">
        <v>2404036</v>
      </c>
      <c r="F210" s="4" t="s">
        <v>660</v>
      </c>
      <c r="G210" s="7">
        <v>11001</v>
      </c>
      <c r="H210" s="12">
        <v>305</v>
      </c>
      <c r="I210" s="14">
        <v>1167458</v>
      </c>
      <c r="J210" s="14">
        <v>233491.6</v>
      </c>
      <c r="K210" s="3">
        <v>0</v>
      </c>
      <c r="L210" s="15">
        <v>7518.4295199999997</v>
      </c>
    </row>
    <row r="211" spans="1:12" x14ac:dyDescent="0.25">
      <c r="A211" s="12">
        <v>88222263</v>
      </c>
      <c r="B211" s="12"/>
      <c r="C211" s="12" t="s">
        <v>661</v>
      </c>
      <c r="D211" s="4" t="s">
        <v>662</v>
      </c>
      <c r="E211" s="13">
        <v>3218486220</v>
      </c>
      <c r="F211" s="4" t="s">
        <v>663</v>
      </c>
      <c r="G211" s="7">
        <v>11001</v>
      </c>
      <c r="H211" s="12">
        <v>305</v>
      </c>
      <c r="I211" s="14">
        <v>1169202</v>
      </c>
      <c r="J211" s="14">
        <v>89796.000000000015</v>
      </c>
      <c r="K211" s="3">
        <v>0</v>
      </c>
      <c r="L211" s="15">
        <v>8689.2183000000005</v>
      </c>
    </row>
    <row r="212" spans="1:12" x14ac:dyDescent="0.25">
      <c r="A212" s="12">
        <v>5576818</v>
      </c>
      <c r="B212" s="12"/>
      <c r="C212" s="12" t="s">
        <v>664</v>
      </c>
      <c r="D212" s="4" t="s">
        <v>665</v>
      </c>
      <c r="E212" s="13">
        <v>3134976250</v>
      </c>
      <c r="F212" s="4" t="s">
        <v>666</v>
      </c>
      <c r="G212" s="7">
        <v>11001</v>
      </c>
      <c r="H212" s="12">
        <v>305</v>
      </c>
      <c r="I212" s="14">
        <v>1170828.9900000002</v>
      </c>
      <c r="J212" s="14">
        <v>162845.79800000007</v>
      </c>
      <c r="K212" s="3">
        <v>0</v>
      </c>
      <c r="L212" s="15">
        <v>8114.2646956000017</v>
      </c>
    </row>
    <row r="213" spans="1:12" x14ac:dyDescent="0.25">
      <c r="A213" s="12">
        <v>80413505</v>
      </c>
      <c r="B213" s="12"/>
      <c r="C213" s="12" t="s">
        <v>667</v>
      </c>
      <c r="D213" s="4" t="s">
        <v>668</v>
      </c>
      <c r="E213" s="13">
        <v>3202724930</v>
      </c>
      <c r="F213" s="4" t="s">
        <v>669</v>
      </c>
      <c r="G213" s="7">
        <v>11001</v>
      </c>
      <c r="H213" s="12">
        <v>305</v>
      </c>
      <c r="I213" s="14">
        <v>1172869.1300000001</v>
      </c>
      <c r="J213" s="14">
        <v>158517.016</v>
      </c>
      <c r="K213" s="3">
        <v>0</v>
      </c>
      <c r="L213" s="15">
        <v>8165.5345177000008</v>
      </c>
    </row>
    <row r="214" spans="1:12" x14ac:dyDescent="0.25">
      <c r="A214" s="12">
        <v>1070952975</v>
      </c>
      <c r="B214" s="12"/>
      <c r="C214" s="12" t="s">
        <v>670</v>
      </c>
      <c r="D214" s="4" t="s">
        <v>671</v>
      </c>
      <c r="E214" s="13">
        <v>3106060308</v>
      </c>
      <c r="F214" s="4" t="s">
        <v>672</v>
      </c>
      <c r="G214" s="7">
        <v>11001</v>
      </c>
      <c r="H214" s="12">
        <v>305</v>
      </c>
      <c r="I214" s="14">
        <v>1174888.96</v>
      </c>
      <c r="J214" s="14">
        <v>35777.791999999994</v>
      </c>
      <c r="K214" s="3">
        <v>0</v>
      </c>
      <c r="L214" s="15">
        <v>9169.8449024000001</v>
      </c>
    </row>
    <row r="215" spans="1:12" x14ac:dyDescent="0.25">
      <c r="A215" s="12">
        <v>79349975</v>
      </c>
      <c r="B215" s="12"/>
      <c r="C215" s="12" t="s">
        <v>673</v>
      </c>
      <c r="D215" s="4" t="s">
        <v>674</v>
      </c>
      <c r="E215" s="13">
        <v>3924435</v>
      </c>
      <c r="F215" s="4" t="s">
        <v>675</v>
      </c>
      <c r="G215" s="7">
        <v>11001</v>
      </c>
      <c r="H215" s="12">
        <v>305</v>
      </c>
      <c r="I215" s="14">
        <v>1175238</v>
      </c>
      <c r="J215" s="14">
        <v>46647.6</v>
      </c>
      <c r="K215" s="3">
        <v>0</v>
      </c>
      <c r="L215" s="15">
        <v>9085.15272</v>
      </c>
    </row>
    <row r="216" spans="1:12" x14ac:dyDescent="0.25">
      <c r="A216" s="12">
        <v>1015410620</v>
      </c>
      <c r="B216" s="12"/>
      <c r="C216" s="12" t="s">
        <v>676</v>
      </c>
      <c r="D216" s="4" t="s">
        <v>677</v>
      </c>
      <c r="E216" s="13">
        <v>3103041254</v>
      </c>
      <c r="F216" s="4" t="s">
        <v>678</v>
      </c>
      <c r="G216" s="7">
        <v>11001</v>
      </c>
      <c r="H216" s="12">
        <v>305</v>
      </c>
      <c r="I216" s="14">
        <v>1175529.44</v>
      </c>
      <c r="J216" s="14">
        <v>116439.008</v>
      </c>
      <c r="K216" s="3">
        <v>0</v>
      </c>
      <c r="L216" s="15">
        <v>8525.6779776000003</v>
      </c>
    </row>
    <row r="217" spans="1:12" x14ac:dyDescent="0.25">
      <c r="A217" s="12">
        <v>7921265</v>
      </c>
      <c r="B217" s="12"/>
      <c r="C217" s="12" t="s">
        <v>679</v>
      </c>
      <c r="D217" s="4" t="s">
        <v>680</v>
      </c>
      <c r="E217" s="13">
        <v>3043757476</v>
      </c>
      <c r="F217" s="4" t="s">
        <v>681</v>
      </c>
      <c r="G217" s="7">
        <v>11001</v>
      </c>
      <c r="H217" s="12">
        <v>305</v>
      </c>
      <c r="I217" s="14">
        <v>1175543.4400000002</v>
      </c>
      <c r="J217" s="14">
        <v>87018.518000000011</v>
      </c>
      <c r="K217" s="3">
        <v>0</v>
      </c>
      <c r="L217" s="15">
        <v>8762.6256221000021</v>
      </c>
    </row>
    <row r="218" spans="1:12" x14ac:dyDescent="0.25">
      <c r="A218" s="12">
        <v>19231262</v>
      </c>
      <c r="B218" s="12"/>
      <c r="C218" s="12" t="s">
        <v>682</v>
      </c>
      <c r="D218" s="4" t="s">
        <v>683</v>
      </c>
      <c r="E218" s="13">
        <v>6007634</v>
      </c>
      <c r="F218" s="4" t="s">
        <v>684</v>
      </c>
      <c r="G218" s="7">
        <v>11001</v>
      </c>
      <c r="H218" s="12">
        <v>305</v>
      </c>
      <c r="I218" s="14">
        <v>1176559.2799999993</v>
      </c>
      <c r="J218" s="14">
        <v>234639.57399999988</v>
      </c>
      <c r="K218" s="3">
        <v>0</v>
      </c>
      <c r="L218" s="15">
        <v>7582.4536332999951</v>
      </c>
    </row>
    <row r="219" spans="1:12" x14ac:dyDescent="0.25">
      <c r="A219" s="12">
        <v>52046977</v>
      </c>
      <c r="B219" s="12"/>
      <c r="C219" s="12" t="s">
        <v>685</v>
      </c>
      <c r="D219" s="4" t="s">
        <v>686</v>
      </c>
      <c r="E219" s="13">
        <v>3002162553</v>
      </c>
      <c r="F219" s="4" t="s">
        <v>687</v>
      </c>
      <c r="G219" s="7">
        <v>11001</v>
      </c>
      <c r="H219" s="12">
        <v>305</v>
      </c>
      <c r="I219" s="14">
        <v>1181718.6600000001</v>
      </c>
      <c r="J219" s="14">
        <v>96370.438000000038</v>
      </c>
      <c r="K219" s="3">
        <v>0</v>
      </c>
      <c r="L219" s="15">
        <v>8737.0531871000021</v>
      </c>
    </row>
    <row r="220" spans="1:12" x14ac:dyDescent="0.25">
      <c r="A220" s="12">
        <v>81741345</v>
      </c>
      <c r="B220" s="12"/>
      <c r="C220" s="12" t="s">
        <v>688</v>
      </c>
      <c r="D220" s="4" t="s">
        <v>689</v>
      </c>
      <c r="E220" s="13">
        <v>3112697403</v>
      </c>
      <c r="F220" s="4" t="s">
        <v>690</v>
      </c>
      <c r="G220" s="7">
        <v>11001</v>
      </c>
      <c r="H220" s="12">
        <v>305</v>
      </c>
      <c r="I220" s="14">
        <v>1181900.68</v>
      </c>
      <c r="J220" s="14">
        <v>81480.135999999999</v>
      </c>
      <c r="K220" s="3">
        <v>0</v>
      </c>
      <c r="L220" s="15">
        <v>8858.3853792000009</v>
      </c>
    </row>
    <row r="221" spans="1:12" x14ac:dyDescent="0.25">
      <c r="A221" s="12">
        <v>1032395630</v>
      </c>
      <c r="B221" s="12"/>
      <c r="C221" s="12" t="s">
        <v>691</v>
      </c>
      <c r="D221" s="4" t="s">
        <v>692</v>
      </c>
      <c r="E221" s="13">
        <v>3212095191</v>
      </c>
      <c r="F221" s="4" t="s">
        <v>693</v>
      </c>
      <c r="G221" s="7" t="s">
        <v>694</v>
      </c>
      <c r="H221" s="12">
        <v>305</v>
      </c>
      <c r="I221" s="14">
        <v>1182911.9000000001</v>
      </c>
      <c r="J221" s="14">
        <v>63482.380000000034</v>
      </c>
      <c r="K221" s="3">
        <v>0</v>
      </c>
      <c r="L221" s="15">
        <v>9011.4076359999999</v>
      </c>
    </row>
    <row r="222" spans="1:12" x14ac:dyDescent="0.25">
      <c r="A222" s="12">
        <v>79303651</v>
      </c>
      <c r="B222" s="12"/>
      <c r="C222" s="12" t="s">
        <v>695</v>
      </c>
      <c r="D222" s="4" t="s">
        <v>696</v>
      </c>
      <c r="E222" s="13">
        <v>3213962522</v>
      </c>
      <c r="F222" s="4" t="s">
        <v>697</v>
      </c>
      <c r="G222" s="7" t="s">
        <v>144</v>
      </c>
      <c r="H222" s="12">
        <v>305</v>
      </c>
      <c r="I222" s="14">
        <v>1183416.56</v>
      </c>
      <c r="J222" s="14">
        <v>109109.86400000002</v>
      </c>
      <c r="K222" s="3">
        <v>0</v>
      </c>
      <c r="L222" s="15">
        <v>8648.1689028000001</v>
      </c>
    </row>
    <row r="223" spans="1:12" x14ac:dyDescent="0.25">
      <c r="A223" s="12">
        <v>14272487</v>
      </c>
      <c r="B223" s="12"/>
      <c r="C223" s="12" t="s">
        <v>698</v>
      </c>
      <c r="D223" s="4" t="s">
        <v>699</v>
      </c>
      <c r="E223" s="13">
        <v>3108118154</v>
      </c>
      <c r="F223" s="4" t="s">
        <v>700</v>
      </c>
      <c r="G223" s="7">
        <v>11001</v>
      </c>
      <c r="H223" s="12">
        <v>305</v>
      </c>
      <c r="I223" s="14">
        <v>1186240</v>
      </c>
      <c r="J223" s="14">
        <v>5648</v>
      </c>
      <c r="K223" s="3">
        <v>0</v>
      </c>
      <c r="L223" s="15">
        <v>9503.7656000000006</v>
      </c>
    </row>
    <row r="224" spans="1:12" x14ac:dyDescent="0.25">
      <c r="A224" s="12">
        <v>79877582</v>
      </c>
      <c r="B224" s="12"/>
      <c r="C224" s="12" t="s">
        <v>701</v>
      </c>
      <c r="D224" s="4" t="s">
        <v>702</v>
      </c>
      <c r="E224" s="13">
        <v>3188963645</v>
      </c>
      <c r="F224" s="4" t="s">
        <v>703</v>
      </c>
      <c r="G224" s="7">
        <v>11001</v>
      </c>
      <c r="H224" s="12">
        <v>305</v>
      </c>
      <c r="I224" s="14">
        <v>1188058.48</v>
      </c>
      <c r="J224" s="14">
        <v>130631.696</v>
      </c>
      <c r="K224" s="3">
        <v>0</v>
      </c>
      <c r="L224" s="15">
        <v>8512.285611199999</v>
      </c>
    </row>
    <row r="225" spans="1:12" x14ac:dyDescent="0.25">
      <c r="A225" s="12">
        <v>19420621</v>
      </c>
      <c r="B225" s="12"/>
      <c r="C225" s="12" t="s">
        <v>704</v>
      </c>
      <c r="D225" s="4" t="s">
        <v>705</v>
      </c>
      <c r="E225" s="13">
        <v>3163843365</v>
      </c>
      <c r="F225" s="4" t="s">
        <v>706</v>
      </c>
      <c r="G225" s="7">
        <v>11001</v>
      </c>
      <c r="H225" s="12">
        <v>305</v>
      </c>
      <c r="I225" s="14">
        <v>1188085.2699999998</v>
      </c>
      <c r="J225" s="14">
        <v>65674.777999999947</v>
      </c>
      <c r="K225" s="3">
        <v>0</v>
      </c>
      <c r="L225" s="15">
        <v>9035.4044605999989</v>
      </c>
    </row>
    <row r="226" spans="1:12" x14ac:dyDescent="0.25">
      <c r="A226" s="12">
        <v>1011320056</v>
      </c>
      <c r="B226" s="12"/>
      <c r="C226" s="12" t="s">
        <v>707</v>
      </c>
      <c r="D226" s="4" t="s">
        <v>708</v>
      </c>
      <c r="E226" s="13">
        <v>3214604000</v>
      </c>
      <c r="F226" s="4" t="s">
        <v>709</v>
      </c>
      <c r="G226" s="7">
        <v>11001</v>
      </c>
      <c r="H226" s="12">
        <v>305</v>
      </c>
      <c r="I226" s="14">
        <v>1188478.95</v>
      </c>
      <c r="J226" s="14">
        <v>199964.698</v>
      </c>
      <c r="K226" s="3">
        <v>0</v>
      </c>
      <c r="L226" s="15">
        <v>7957.5397285999998</v>
      </c>
    </row>
    <row r="227" spans="1:12" x14ac:dyDescent="0.25">
      <c r="A227" s="12">
        <v>1075275794</v>
      </c>
      <c r="B227" s="12"/>
      <c r="C227" s="12" t="s">
        <v>710</v>
      </c>
      <c r="D227" s="4" t="s">
        <v>711</v>
      </c>
      <c r="E227" s="13">
        <v>3163530469</v>
      </c>
      <c r="F227" s="4" t="s">
        <v>712</v>
      </c>
      <c r="G227" s="7" t="s">
        <v>713</v>
      </c>
      <c r="H227" s="12">
        <v>305</v>
      </c>
      <c r="I227" s="14">
        <v>1190605.26</v>
      </c>
      <c r="J227" s="14">
        <v>145407.94199999998</v>
      </c>
      <c r="K227" s="3">
        <v>0</v>
      </c>
      <c r="L227" s="15">
        <v>8413.8384098999995</v>
      </c>
    </row>
    <row r="228" spans="1:12" x14ac:dyDescent="0.25">
      <c r="A228" s="12">
        <v>41551142</v>
      </c>
      <c r="B228" s="12"/>
      <c r="C228" s="12" t="s">
        <v>714</v>
      </c>
      <c r="D228" s="4" t="s">
        <v>715</v>
      </c>
      <c r="E228" s="13">
        <v>3108173070</v>
      </c>
      <c r="F228" s="4" t="s">
        <v>716</v>
      </c>
      <c r="G228" s="7">
        <v>11001</v>
      </c>
      <c r="H228" s="12">
        <v>305</v>
      </c>
      <c r="I228" s="14">
        <v>1190921.6499999999</v>
      </c>
      <c r="J228" s="14">
        <v>130642.32999999999</v>
      </c>
      <c r="K228" s="3">
        <v>0</v>
      </c>
      <c r="L228" s="15">
        <v>8535.2485259999994</v>
      </c>
    </row>
    <row r="229" spans="1:12" x14ac:dyDescent="0.25">
      <c r="A229" s="12">
        <v>74380254</v>
      </c>
      <c r="B229" s="12"/>
      <c r="C229" s="12" t="s">
        <v>717</v>
      </c>
      <c r="D229" s="4" t="s">
        <v>718</v>
      </c>
      <c r="E229" s="13">
        <v>3175635143</v>
      </c>
      <c r="F229" s="4" t="s">
        <v>719</v>
      </c>
      <c r="G229" s="7">
        <v>11001</v>
      </c>
      <c r="H229" s="12">
        <v>305</v>
      </c>
      <c r="I229" s="14">
        <v>1192100.67</v>
      </c>
      <c r="J229" s="14">
        <v>80370.89</v>
      </c>
      <c r="K229" s="3">
        <v>0</v>
      </c>
      <c r="L229" s="15">
        <v>8949.4247290000003</v>
      </c>
    </row>
    <row r="230" spans="1:12" x14ac:dyDescent="0.25">
      <c r="A230" s="12">
        <v>80108393</v>
      </c>
      <c r="B230" s="12"/>
      <c r="C230" s="12" t="s">
        <v>720</v>
      </c>
      <c r="D230" s="4" t="s">
        <v>721</v>
      </c>
      <c r="E230" s="13">
        <v>3115892254</v>
      </c>
      <c r="F230" s="4" t="s">
        <v>722</v>
      </c>
      <c r="G230" s="7">
        <v>11001</v>
      </c>
      <c r="H230" s="12">
        <v>305</v>
      </c>
      <c r="I230" s="14">
        <v>1192631.7000000002</v>
      </c>
      <c r="J230" s="14">
        <v>75926.340000000026</v>
      </c>
      <c r="K230" s="3">
        <v>0</v>
      </c>
      <c r="L230" s="15">
        <v>8989.478148000002</v>
      </c>
    </row>
    <row r="231" spans="1:12" x14ac:dyDescent="0.25">
      <c r="A231" s="12">
        <v>1010225398</v>
      </c>
      <c r="B231" s="12"/>
      <c r="C231" s="12" t="s">
        <v>723</v>
      </c>
      <c r="D231" s="4" t="s">
        <v>724</v>
      </c>
      <c r="E231" s="13">
        <v>3204568073</v>
      </c>
      <c r="F231" s="4" t="s">
        <v>725</v>
      </c>
      <c r="G231" s="7">
        <v>11001</v>
      </c>
      <c r="H231" s="12">
        <v>305</v>
      </c>
      <c r="I231" s="14">
        <v>1195018</v>
      </c>
      <c r="J231" s="14">
        <v>8203.6</v>
      </c>
      <c r="K231" s="3">
        <v>0</v>
      </c>
      <c r="L231" s="15">
        <v>9553.8559199999982</v>
      </c>
    </row>
    <row r="232" spans="1:12" x14ac:dyDescent="0.25">
      <c r="A232" s="12">
        <v>7179588</v>
      </c>
      <c r="B232" s="12"/>
      <c r="C232" s="12" t="s">
        <v>726</v>
      </c>
      <c r="D232" s="4" t="s">
        <v>727</v>
      </c>
      <c r="E232" s="13">
        <v>3102212574</v>
      </c>
      <c r="F232" s="4" t="s">
        <v>728</v>
      </c>
      <c r="G232" s="7" t="s">
        <v>367</v>
      </c>
      <c r="H232" s="12">
        <v>305</v>
      </c>
      <c r="I232" s="14">
        <v>1195285.3099999998</v>
      </c>
      <c r="J232" s="14">
        <v>137757.06199999995</v>
      </c>
      <c r="K232" s="3">
        <v>0</v>
      </c>
      <c r="L232" s="15">
        <v>8513.1023963999996</v>
      </c>
    </row>
    <row r="233" spans="1:12" x14ac:dyDescent="0.25">
      <c r="A233" s="12">
        <v>79370210</v>
      </c>
      <c r="B233" s="12"/>
      <c r="C233" s="12" t="s">
        <v>729</v>
      </c>
      <c r="D233" s="4" t="s">
        <v>730</v>
      </c>
      <c r="E233" s="13">
        <v>3659830</v>
      </c>
      <c r="F233" s="4" t="s">
        <v>731</v>
      </c>
      <c r="G233" s="7">
        <v>11001</v>
      </c>
      <c r="H233" s="12">
        <v>305</v>
      </c>
      <c r="I233" s="14">
        <v>1195448.1499999999</v>
      </c>
      <c r="J233" s="14">
        <v>10129.629999999999</v>
      </c>
      <c r="K233" s="3">
        <v>0</v>
      </c>
      <c r="L233" s="15">
        <v>9541.8140859999985</v>
      </c>
    </row>
    <row r="234" spans="1:12" x14ac:dyDescent="0.25">
      <c r="A234" s="12">
        <v>1052313234</v>
      </c>
      <c r="B234" s="12"/>
      <c r="C234" s="12" t="s">
        <v>732</v>
      </c>
      <c r="D234" s="4" t="s">
        <v>733</v>
      </c>
      <c r="E234" s="13">
        <v>3134303235</v>
      </c>
      <c r="F234" s="4" t="s">
        <v>734</v>
      </c>
      <c r="G234" s="7" t="s">
        <v>560</v>
      </c>
      <c r="H234" s="12">
        <v>305</v>
      </c>
      <c r="I234" s="14">
        <v>1199671.9200000002</v>
      </c>
      <c r="J234" s="14">
        <v>238589.84600000005</v>
      </c>
      <c r="K234" s="3">
        <v>0</v>
      </c>
      <c r="L234" s="15">
        <v>7736.7106957000015</v>
      </c>
    </row>
    <row r="235" spans="1:12" x14ac:dyDescent="0.25">
      <c r="A235" s="12">
        <v>17158835</v>
      </c>
      <c r="B235" s="12"/>
      <c r="C235" s="12" t="s">
        <v>735</v>
      </c>
      <c r="D235" s="4" t="s">
        <v>736</v>
      </c>
      <c r="E235" s="13">
        <v>2592754</v>
      </c>
      <c r="F235" s="4" t="s">
        <v>737</v>
      </c>
      <c r="G235" s="7">
        <v>11001</v>
      </c>
      <c r="H235" s="12">
        <v>305</v>
      </c>
      <c r="I235" s="14">
        <v>1201290.96</v>
      </c>
      <c r="J235" s="14">
        <v>132463.39199999996</v>
      </c>
      <c r="K235" s="3">
        <v>0</v>
      </c>
      <c r="L235" s="15">
        <v>8604.0619224000002</v>
      </c>
    </row>
    <row r="236" spans="1:12" x14ac:dyDescent="0.25">
      <c r="A236" s="12">
        <v>15516019</v>
      </c>
      <c r="B236" s="12"/>
      <c r="C236" s="12" t="s">
        <v>738</v>
      </c>
      <c r="D236" s="4" t="s">
        <v>739</v>
      </c>
      <c r="E236" s="13">
        <v>3145974696</v>
      </c>
      <c r="F236" s="4" t="s">
        <v>740</v>
      </c>
      <c r="G236" s="7">
        <v>11001</v>
      </c>
      <c r="H236" s="12">
        <v>305</v>
      </c>
      <c r="I236" s="14">
        <v>1202331.08</v>
      </c>
      <c r="J236" s="14">
        <v>131906.21599999999</v>
      </c>
      <c r="K236" s="3">
        <v>0</v>
      </c>
      <c r="L236" s="15">
        <v>8616.9201552000013</v>
      </c>
    </row>
    <row r="237" spans="1:12" x14ac:dyDescent="0.25">
      <c r="A237" s="12">
        <v>55178724</v>
      </c>
      <c r="B237" s="12"/>
      <c r="C237" s="12" t="s">
        <v>741</v>
      </c>
      <c r="D237" s="4" t="s">
        <v>742</v>
      </c>
      <c r="E237" s="13">
        <v>3134503502</v>
      </c>
      <c r="F237" s="4" t="s">
        <v>743</v>
      </c>
      <c r="G237" s="7">
        <v>11001</v>
      </c>
      <c r="H237" s="12">
        <v>305</v>
      </c>
      <c r="I237" s="14">
        <v>1203328.8200000003</v>
      </c>
      <c r="J237" s="14">
        <v>169623.74600000001</v>
      </c>
      <c r="K237" s="3">
        <v>0</v>
      </c>
      <c r="L237" s="15">
        <v>8321.3258457000029</v>
      </c>
    </row>
    <row r="238" spans="1:12" x14ac:dyDescent="0.25">
      <c r="A238" s="12">
        <v>51668447</v>
      </c>
      <c r="B238" s="12"/>
      <c r="C238" s="12" t="s">
        <v>744</v>
      </c>
      <c r="D238" s="4" t="s">
        <v>745</v>
      </c>
      <c r="E238" s="13">
        <v>3173645903</v>
      </c>
      <c r="F238" s="4" t="s">
        <v>746</v>
      </c>
      <c r="G238" s="7">
        <v>11001</v>
      </c>
      <c r="H238" s="12">
        <v>305</v>
      </c>
      <c r="I238" s="14">
        <v>1203333.6399999999</v>
      </c>
      <c r="J238" s="14">
        <v>17166.727999999985</v>
      </c>
      <c r="K238" s="3">
        <v>0</v>
      </c>
      <c r="L238" s="15">
        <v>9548.6436415999997</v>
      </c>
    </row>
    <row r="239" spans="1:12" x14ac:dyDescent="0.25">
      <c r="A239" s="12">
        <v>19238546</v>
      </c>
      <c r="B239" s="12"/>
      <c r="C239" s="12" t="s">
        <v>747</v>
      </c>
      <c r="D239" s="4" t="s">
        <v>748</v>
      </c>
      <c r="E239" s="13">
        <v>6126810</v>
      </c>
      <c r="F239" s="4" t="s">
        <v>749</v>
      </c>
      <c r="G239" s="7">
        <v>11001</v>
      </c>
      <c r="H239" s="12">
        <v>305</v>
      </c>
      <c r="I239" s="14">
        <v>1205670.0299999998</v>
      </c>
      <c r="J239" s="14">
        <v>95229.803999999946</v>
      </c>
      <c r="K239" s="3">
        <v>0</v>
      </c>
      <c r="L239" s="15">
        <v>8939.0438192999991</v>
      </c>
    </row>
    <row r="240" spans="1:12" x14ac:dyDescent="0.25">
      <c r="A240" s="12">
        <v>79506431</v>
      </c>
      <c r="B240" s="12"/>
      <c r="C240" s="12" t="s">
        <v>750</v>
      </c>
      <c r="D240" s="4" t="s">
        <v>751</v>
      </c>
      <c r="E240" s="13">
        <v>3134961773</v>
      </c>
      <c r="F240" s="4" t="s">
        <v>752</v>
      </c>
      <c r="G240" s="7">
        <v>11001</v>
      </c>
      <c r="H240" s="12">
        <v>305</v>
      </c>
      <c r="I240" s="14">
        <v>1208130</v>
      </c>
      <c r="J240" s="14">
        <v>147219.79999999999</v>
      </c>
      <c r="K240" s="3">
        <v>0</v>
      </c>
      <c r="L240" s="15">
        <v>8540.3271100000002</v>
      </c>
    </row>
    <row r="241" spans="1:12" x14ac:dyDescent="0.25">
      <c r="A241" s="12">
        <v>73071079</v>
      </c>
      <c r="B241" s="12"/>
      <c r="C241" s="12" t="s">
        <v>753</v>
      </c>
      <c r="D241" s="4" t="s">
        <v>754</v>
      </c>
      <c r="E241" s="13">
        <v>3144116621</v>
      </c>
      <c r="F241" s="4" t="s">
        <v>755</v>
      </c>
      <c r="G241" s="7">
        <v>11001</v>
      </c>
      <c r="H241" s="12">
        <v>305</v>
      </c>
      <c r="I241" s="14">
        <v>1212235.55</v>
      </c>
      <c r="J241" s="14">
        <v>100889.29599999997</v>
      </c>
      <c r="K241" s="3">
        <v>0</v>
      </c>
      <c r="L241" s="15">
        <v>8946.3373447000013</v>
      </c>
    </row>
    <row r="242" spans="1:12" x14ac:dyDescent="0.25">
      <c r="A242" s="12">
        <v>4052461</v>
      </c>
      <c r="B242" s="12"/>
      <c r="C242" s="12" t="s">
        <v>756</v>
      </c>
      <c r="D242" s="4" t="s">
        <v>757</v>
      </c>
      <c r="E242" s="13">
        <v>7273875</v>
      </c>
      <c r="F242" s="4" t="s">
        <v>758</v>
      </c>
      <c r="G242" s="7" t="s">
        <v>759</v>
      </c>
      <c r="H242" s="12">
        <v>305</v>
      </c>
      <c r="I242" s="14">
        <v>1214453.6199999999</v>
      </c>
      <c r="J242" s="14">
        <v>102351.06199999999</v>
      </c>
      <c r="K242" s="3">
        <v>0</v>
      </c>
      <c r="L242" s="15">
        <v>8952.4255918999988</v>
      </c>
    </row>
    <row r="243" spans="1:12" x14ac:dyDescent="0.25">
      <c r="A243" s="12">
        <v>14703101</v>
      </c>
      <c r="B243" s="12"/>
      <c r="C243" s="12" t="s">
        <v>760</v>
      </c>
      <c r="D243" s="4" t="s">
        <v>761</v>
      </c>
      <c r="E243" s="13">
        <v>3104417670</v>
      </c>
      <c r="F243" s="4" t="s">
        <v>762</v>
      </c>
      <c r="G243" s="7" t="s">
        <v>763</v>
      </c>
      <c r="H243" s="12">
        <v>305</v>
      </c>
      <c r="I243" s="14">
        <v>1215146.6499999997</v>
      </c>
      <c r="J243" s="14">
        <v>172827.64800000002</v>
      </c>
      <c r="K243" s="3">
        <v>0</v>
      </c>
      <c r="L243" s="15">
        <v>8390.667966099998</v>
      </c>
    </row>
    <row r="244" spans="1:12" x14ac:dyDescent="0.25">
      <c r="A244" s="12">
        <v>79451781</v>
      </c>
      <c r="B244" s="12"/>
      <c r="C244" s="12" t="s">
        <v>764</v>
      </c>
      <c r="D244" s="4" t="s">
        <v>765</v>
      </c>
      <c r="E244" s="13">
        <v>3202722030</v>
      </c>
      <c r="F244" s="4" t="s">
        <v>766</v>
      </c>
      <c r="G244" s="7">
        <v>11001</v>
      </c>
      <c r="H244" s="12">
        <v>305</v>
      </c>
      <c r="I244" s="14">
        <v>1216111.9999999995</v>
      </c>
      <c r="J244" s="14">
        <v>136242.39999999994</v>
      </c>
      <c r="K244" s="3">
        <v>0</v>
      </c>
      <c r="L244" s="15">
        <v>8692.9502799999973</v>
      </c>
    </row>
    <row r="245" spans="1:12" x14ac:dyDescent="0.25">
      <c r="A245" s="12">
        <v>20001790</v>
      </c>
      <c r="B245" s="12"/>
      <c r="C245" s="12" t="s">
        <v>767</v>
      </c>
      <c r="D245" s="4" t="s">
        <v>768</v>
      </c>
      <c r="E245" s="13">
        <v>3112760462</v>
      </c>
      <c r="F245" s="4" t="s">
        <v>769</v>
      </c>
      <c r="G245" s="7">
        <v>11001</v>
      </c>
      <c r="H245" s="12">
        <v>305</v>
      </c>
      <c r="I245" s="14">
        <v>1216543.3900000001</v>
      </c>
      <c r="J245" s="14">
        <v>83463.972000000009</v>
      </c>
      <c r="K245" s="3">
        <v>0</v>
      </c>
      <c r="L245" s="15">
        <v>9121.289314900001</v>
      </c>
    </row>
    <row r="246" spans="1:12" x14ac:dyDescent="0.25">
      <c r="A246" s="12">
        <v>80135397</v>
      </c>
      <c r="B246" s="12"/>
      <c r="C246" s="12" t="s">
        <v>770</v>
      </c>
      <c r="D246" s="4" t="s">
        <v>771</v>
      </c>
      <c r="E246" s="13">
        <v>3106791169</v>
      </c>
      <c r="F246" s="4" t="s">
        <v>771</v>
      </c>
      <c r="G246" s="7">
        <v>11001</v>
      </c>
      <c r="H246" s="12">
        <v>305</v>
      </c>
      <c r="I246" s="14">
        <v>1218197.79</v>
      </c>
      <c r="J246" s="14">
        <v>90999.558000000005</v>
      </c>
      <c r="K246" s="3">
        <v>0</v>
      </c>
      <c r="L246" s="15">
        <v>9073.945767600002</v>
      </c>
    </row>
    <row r="247" spans="1:12" x14ac:dyDescent="0.25">
      <c r="A247" s="12">
        <v>13959031</v>
      </c>
      <c r="B247" s="12"/>
      <c r="C247" s="12" t="s">
        <v>772</v>
      </c>
      <c r="D247" s="4" t="s">
        <v>773</v>
      </c>
      <c r="E247" s="13">
        <v>3135968828</v>
      </c>
      <c r="F247" s="4" t="s">
        <v>774</v>
      </c>
      <c r="G247" s="7">
        <v>11001</v>
      </c>
      <c r="H247" s="12">
        <v>305</v>
      </c>
      <c r="I247" s="14">
        <v>1219211.1299999997</v>
      </c>
      <c r="J247" s="14">
        <v>59352.279999999992</v>
      </c>
      <c r="K247" s="3">
        <v>0</v>
      </c>
      <c r="L247" s="15">
        <v>9336.8637424999979</v>
      </c>
    </row>
    <row r="248" spans="1:12" x14ac:dyDescent="0.25">
      <c r="A248" s="12">
        <v>5440164</v>
      </c>
      <c r="B248" s="12"/>
      <c r="C248" s="12" t="s">
        <v>775</v>
      </c>
      <c r="D248" s="4" t="s">
        <v>776</v>
      </c>
      <c r="E248" s="13">
        <v>3218019436</v>
      </c>
      <c r="F248" s="4" t="s">
        <v>777</v>
      </c>
      <c r="G248" s="7">
        <v>11001</v>
      </c>
      <c r="H248" s="12">
        <v>305</v>
      </c>
      <c r="I248" s="14">
        <v>1221460.31</v>
      </c>
      <c r="J248" s="14">
        <v>136039.00000000003</v>
      </c>
      <c r="K248" s="3">
        <v>0</v>
      </c>
      <c r="L248" s="15">
        <v>8737.6415455000006</v>
      </c>
    </row>
    <row r="249" spans="1:12" x14ac:dyDescent="0.25">
      <c r="A249" s="12">
        <v>19363669</v>
      </c>
      <c r="B249" s="12"/>
      <c r="C249" s="12" t="s">
        <v>778</v>
      </c>
      <c r="D249" s="4" t="s">
        <v>779</v>
      </c>
      <c r="E249" s="13">
        <v>6431229</v>
      </c>
      <c r="F249" s="4" t="s">
        <v>780</v>
      </c>
      <c r="G249" s="7">
        <v>11001</v>
      </c>
      <c r="H249" s="12">
        <v>305</v>
      </c>
      <c r="I249" s="14">
        <v>1224003</v>
      </c>
      <c r="J249" s="14">
        <v>129000.6</v>
      </c>
      <c r="K249" s="3">
        <v>0</v>
      </c>
      <c r="L249" s="15">
        <v>8814.7693199999994</v>
      </c>
    </row>
    <row r="250" spans="1:12" x14ac:dyDescent="0.25">
      <c r="A250" s="12">
        <v>79506775</v>
      </c>
      <c r="B250" s="12"/>
      <c r="C250" s="12" t="s">
        <v>781</v>
      </c>
      <c r="D250" s="4" t="s">
        <v>782</v>
      </c>
      <c r="E250" s="13">
        <v>3166996519</v>
      </c>
      <c r="F250" s="4" t="s">
        <v>783</v>
      </c>
      <c r="G250" s="7">
        <v>11001</v>
      </c>
      <c r="H250" s="12">
        <v>305</v>
      </c>
      <c r="I250" s="14">
        <v>1224015</v>
      </c>
      <c r="J250" s="14">
        <v>96403</v>
      </c>
      <c r="K250" s="3">
        <v>0</v>
      </c>
      <c r="L250" s="15">
        <v>9077.2766000000011</v>
      </c>
    </row>
    <row r="251" spans="1:12" x14ac:dyDescent="0.25">
      <c r="A251" s="12">
        <v>1001198370</v>
      </c>
      <c r="B251" s="12"/>
      <c r="C251" s="12" t="s">
        <v>784</v>
      </c>
      <c r="D251" s="4" t="s">
        <v>785</v>
      </c>
      <c r="E251" s="13">
        <v>3007456350</v>
      </c>
      <c r="F251" s="4" t="s">
        <v>786</v>
      </c>
      <c r="G251" s="7">
        <v>11001</v>
      </c>
      <c r="H251" s="12">
        <v>305</v>
      </c>
      <c r="I251" s="14">
        <v>1226729</v>
      </c>
      <c r="J251" s="14">
        <v>71345.8</v>
      </c>
      <c r="K251" s="3">
        <v>0</v>
      </c>
      <c r="L251" s="15">
        <v>9300.8347599999997</v>
      </c>
    </row>
    <row r="252" spans="1:12" x14ac:dyDescent="0.25">
      <c r="A252" s="12">
        <v>5196442</v>
      </c>
      <c r="B252" s="12"/>
      <c r="C252" s="12" t="s">
        <v>787</v>
      </c>
      <c r="D252" s="4" t="s">
        <v>788</v>
      </c>
      <c r="E252" s="13">
        <v>6016122531</v>
      </c>
      <c r="F252" s="4" t="s">
        <v>789</v>
      </c>
      <c r="G252" s="7">
        <v>11001</v>
      </c>
      <c r="H252" s="12">
        <v>305</v>
      </c>
      <c r="I252" s="14">
        <v>1227543.48</v>
      </c>
      <c r="J252" s="14">
        <v>100148.69600000001</v>
      </c>
      <c r="K252" s="3">
        <v>0</v>
      </c>
      <c r="L252" s="15">
        <v>9075.5280112</v>
      </c>
    </row>
    <row r="253" spans="1:12" x14ac:dyDescent="0.25">
      <c r="A253" s="12">
        <v>89006448</v>
      </c>
      <c r="B253" s="12"/>
      <c r="C253" s="12" t="s">
        <v>790</v>
      </c>
      <c r="D253" s="4" t="s">
        <v>791</v>
      </c>
      <c r="E253" s="13">
        <v>3202750969</v>
      </c>
      <c r="F253" s="4" t="s">
        <v>792</v>
      </c>
      <c r="G253" s="7">
        <v>11001</v>
      </c>
      <c r="H253" s="12">
        <v>305</v>
      </c>
      <c r="I253" s="14">
        <v>1227555</v>
      </c>
      <c r="J253" s="14">
        <v>77810</v>
      </c>
      <c r="K253" s="3">
        <v>0</v>
      </c>
      <c r="L253" s="15">
        <v>9255.4472500000011</v>
      </c>
    </row>
    <row r="254" spans="1:12" x14ac:dyDescent="0.25">
      <c r="A254" s="12">
        <v>2907786</v>
      </c>
      <c r="B254" s="12"/>
      <c r="C254" s="12" t="s">
        <v>793</v>
      </c>
      <c r="D254" s="4" t="s">
        <v>794</v>
      </c>
      <c r="E254" s="13">
        <v>4774847</v>
      </c>
      <c r="F254" s="4" t="s">
        <v>795</v>
      </c>
      <c r="G254" s="7">
        <v>11001</v>
      </c>
      <c r="H254" s="12">
        <v>305</v>
      </c>
      <c r="I254" s="14">
        <v>1227917</v>
      </c>
      <c r="J254" s="14">
        <v>139963.4</v>
      </c>
      <c r="K254" s="3">
        <v>0</v>
      </c>
      <c r="L254" s="15">
        <v>8758.0264800000004</v>
      </c>
    </row>
    <row r="255" spans="1:12" x14ac:dyDescent="0.25">
      <c r="A255" s="12">
        <v>1020778350</v>
      </c>
      <c r="B255" s="12"/>
      <c r="C255" s="12" t="s">
        <v>796</v>
      </c>
      <c r="D255" s="4" t="s">
        <v>797</v>
      </c>
      <c r="E255" s="13">
        <v>3228374816</v>
      </c>
      <c r="F255" s="4" t="s">
        <v>798</v>
      </c>
      <c r="G255" s="7">
        <v>11001</v>
      </c>
      <c r="H255" s="12">
        <v>305</v>
      </c>
      <c r="I255" s="14">
        <v>1228643.8</v>
      </c>
      <c r="J255" s="14">
        <v>23703.717999999997</v>
      </c>
      <c r="K255" s="3">
        <v>0</v>
      </c>
      <c r="L255" s="15">
        <v>9699.7676601000003</v>
      </c>
    </row>
    <row r="256" spans="1:12" x14ac:dyDescent="0.25">
      <c r="A256" s="12">
        <v>1052385645</v>
      </c>
      <c r="B256" s="12"/>
      <c r="C256" s="12" t="s">
        <v>799</v>
      </c>
      <c r="D256" s="4" t="s">
        <v>800</v>
      </c>
      <c r="E256" s="13">
        <v>3183382406</v>
      </c>
      <c r="F256" s="4" t="s">
        <v>801</v>
      </c>
      <c r="G256" s="7">
        <v>11001</v>
      </c>
      <c r="H256" s="12">
        <v>305</v>
      </c>
      <c r="I256" s="14">
        <v>1228875.3999999999</v>
      </c>
      <c r="J256" s="14">
        <v>228128.02199999997</v>
      </c>
      <c r="K256" s="3">
        <v>0</v>
      </c>
      <c r="L256" s="15">
        <v>8056.0163928999991</v>
      </c>
    </row>
    <row r="257" spans="1:12" x14ac:dyDescent="0.25">
      <c r="A257" s="12">
        <v>51703469</v>
      </c>
      <c r="B257" s="12"/>
      <c r="C257" s="12" t="s">
        <v>802</v>
      </c>
      <c r="D257" s="4" t="s">
        <v>803</v>
      </c>
      <c r="E257" s="13">
        <v>3107865665</v>
      </c>
      <c r="F257" s="4" t="s">
        <v>804</v>
      </c>
      <c r="G257" s="7">
        <v>11001</v>
      </c>
      <c r="H257" s="12">
        <v>305</v>
      </c>
      <c r="I257" s="14">
        <v>1228976.8800000001</v>
      </c>
      <c r="J257" s="14">
        <v>133099.91399999999</v>
      </c>
      <c r="K257" s="3">
        <v>0</v>
      </c>
      <c r="L257" s="15">
        <v>8821.8095763000001</v>
      </c>
    </row>
    <row r="258" spans="1:12" x14ac:dyDescent="0.25">
      <c r="A258" s="12">
        <v>1032423083</v>
      </c>
      <c r="B258" s="12"/>
      <c r="C258" s="12" t="s">
        <v>805</v>
      </c>
      <c r="D258" s="4" t="s">
        <v>806</v>
      </c>
      <c r="E258" s="13">
        <v>3124014765</v>
      </c>
      <c r="F258" s="4" t="s">
        <v>807</v>
      </c>
      <c r="G258" s="7">
        <v>11001</v>
      </c>
      <c r="H258" s="12">
        <v>305</v>
      </c>
      <c r="I258" s="14">
        <v>1229109.76</v>
      </c>
      <c r="J258" s="14">
        <v>113075.226</v>
      </c>
      <c r="K258" s="3">
        <v>0</v>
      </c>
      <c r="L258" s="15">
        <v>8984.0779986999987</v>
      </c>
    </row>
    <row r="259" spans="1:12" x14ac:dyDescent="0.25">
      <c r="A259" s="12">
        <v>17179751</v>
      </c>
      <c r="B259" s="12"/>
      <c r="C259" s="12" t="s">
        <v>808</v>
      </c>
      <c r="D259" s="4" t="s">
        <v>809</v>
      </c>
      <c r="E259" s="13">
        <v>3102218256</v>
      </c>
      <c r="F259" s="4" t="s">
        <v>810</v>
      </c>
      <c r="G259" s="7">
        <v>11001</v>
      </c>
      <c r="H259" s="12">
        <v>305</v>
      </c>
      <c r="I259" s="14">
        <v>1230903.3600000001</v>
      </c>
      <c r="J259" s="14">
        <v>123291.08400000002</v>
      </c>
      <c r="K259" s="3">
        <v>0</v>
      </c>
      <c r="L259" s="15">
        <v>8916.2788218000005</v>
      </c>
    </row>
    <row r="260" spans="1:12" x14ac:dyDescent="0.25">
      <c r="A260" s="12">
        <v>1015450651</v>
      </c>
      <c r="B260" s="12"/>
      <c r="C260" s="12" t="s">
        <v>811</v>
      </c>
      <c r="D260" s="4" t="s">
        <v>812</v>
      </c>
      <c r="E260" s="13">
        <v>3183498124</v>
      </c>
      <c r="F260" s="4" t="s">
        <v>813</v>
      </c>
      <c r="G260" s="7">
        <v>11001</v>
      </c>
      <c r="H260" s="12">
        <v>305</v>
      </c>
      <c r="I260" s="14">
        <v>1232420.0000000005</v>
      </c>
      <c r="J260" s="14">
        <v>172444.00000000009</v>
      </c>
      <c r="K260" s="3">
        <v>0</v>
      </c>
      <c r="L260" s="15">
        <v>8532.8068000000039</v>
      </c>
    </row>
    <row r="261" spans="1:12" x14ac:dyDescent="0.25">
      <c r="A261" s="12">
        <v>94385497</v>
      </c>
      <c r="B261" s="12"/>
      <c r="C261" s="12" t="s">
        <v>814</v>
      </c>
      <c r="D261" s="4" t="s">
        <v>815</v>
      </c>
      <c r="E261" s="13">
        <v>3202358521</v>
      </c>
      <c r="F261" s="4" t="s">
        <v>816</v>
      </c>
      <c r="G261" s="7">
        <v>11001</v>
      </c>
      <c r="H261" s="12">
        <v>305</v>
      </c>
      <c r="I261" s="14">
        <v>1233471.3599999999</v>
      </c>
      <c r="J261" s="14">
        <v>105999.984</v>
      </c>
      <c r="K261" s="3">
        <v>0</v>
      </c>
      <c r="L261" s="15">
        <v>9076.1445767999994</v>
      </c>
    </row>
    <row r="262" spans="1:12" x14ac:dyDescent="0.25">
      <c r="A262" s="12">
        <v>1049617074</v>
      </c>
      <c r="B262" s="12"/>
      <c r="C262" s="12" t="s">
        <v>817</v>
      </c>
      <c r="D262" s="4" t="s">
        <v>818</v>
      </c>
      <c r="E262" s="13">
        <v>3138000455</v>
      </c>
      <c r="F262" s="4" t="s">
        <v>819</v>
      </c>
      <c r="G262" s="7">
        <v>11001</v>
      </c>
      <c r="H262" s="12">
        <v>305</v>
      </c>
      <c r="I262" s="14">
        <v>1235790.6399999999</v>
      </c>
      <c r="J262" s="14">
        <v>131758.12799999997</v>
      </c>
      <c r="K262" s="3">
        <v>0</v>
      </c>
      <c r="L262" s="15">
        <v>8887.4617215999988</v>
      </c>
    </row>
    <row r="263" spans="1:12" x14ac:dyDescent="0.25">
      <c r="A263" s="12">
        <v>72135451</v>
      </c>
      <c r="B263" s="12"/>
      <c r="C263" s="12" t="s">
        <v>820</v>
      </c>
      <c r="D263" s="4" t="s">
        <v>821</v>
      </c>
      <c r="E263" s="13">
        <v>3164781118</v>
      </c>
      <c r="F263" s="4" t="s">
        <v>822</v>
      </c>
      <c r="G263" s="7">
        <v>11001</v>
      </c>
      <c r="H263" s="12">
        <v>305</v>
      </c>
      <c r="I263" s="14">
        <v>1237422.82</v>
      </c>
      <c r="J263" s="14">
        <v>149148.73400000003</v>
      </c>
      <c r="K263" s="3">
        <v>0</v>
      </c>
      <c r="L263" s="15">
        <v>8760.6063923000002</v>
      </c>
    </row>
    <row r="264" spans="1:12" x14ac:dyDescent="0.25">
      <c r="A264" s="12">
        <v>1057606392</v>
      </c>
      <c r="B264" s="12"/>
      <c r="C264" s="12" t="s">
        <v>823</v>
      </c>
      <c r="D264" s="4" t="s">
        <v>824</v>
      </c>
      <c r="E264" s="13">
        <v>3132320801</v>
      </c>
      <c r="F264" s="4" t="s">
        <v>825</v>
      </c>
      <c r="G264" s="7" t="s">
        <v>560</v>
      </c>
      <c r="H264" s="12">
        <v>305</v>
      </c>
      <c r="I264" s="14">
        <v>1238534.24</v>
      </c>
      <c r="J264" s="14">
        <v>86426.848000000013</v>
      </c>
      <c r="K264" s="3">
        <v>0</v>
      </c>
      <c r="L264" s="15">
        <v>9274.4645056000008</v>
      </c>
    </row>
    <row r="265" spans="1:12" x14ac:dyDescent="0.25">
      <c r="A265" s="12">
        <v>51881640</v>
      </c>
      <c r="B265" s="12"/>
      <c r="C265" s="12" t="s">
        <v>826</v>
      </c>
      <c r="D265" s="4" t="s">
        <v>827</v>
      </c>
      <c r="E265" s="13">
        <v>3177112734</v>
      </c>
      <c r="F265" s="4" t="s">
        <v>828</v>
      </c>
      <c r="G265" s="7" t="s">
        <v>829</v>
      </c>
      <c r="H265" s="12">
        <v>305</v>
      </c>
      <c r="I265" s="14">
        <v>1241082.3199999996</v>
      </c>
      <c r="J265" s="14">
        <v>128296.46399999991</v>
      </c>
      <c r="K265" s="3">
        <v>0</v>
      </c>
      <c r="L265" s="15">
        <v>8957.9261407999966</v>
      </c>
    </row>
    <row r="266" spans="1:12" x14ac:dyDescent="0.25">
      <c r="A266" s="12">
        <v>17097118</v>
      </c>
      <c r="B266" s="12"/>
      <c r="C266" s="12" t="s">
        <v>830</v>
      </c>
      <c r="D266" s="4" t="s">
        <v>831</v>
      </c>
      <c r="E266" s="13">
        <v>3138170900</v>
      </c>
      <c r="F266" s="4" t="s">
        <v>832</v>
      </c>
      <c r="G266" s="7" t="s">
        <v>422</v>
      </c>
      <c r="H266" s="12">
        <v>305</v>
      </c>
      <c r="I266" s="14">
        <v>1241712.6099999999</v>
      </c>
      <c r="J266" s="14">
        <v>112622.522</v>
      </c>
      <c r="K266" s="3">
        <v>0</v>
      </c>
      <c r="L266" s="15">
        <v>9089.1752084</v>
      </c>
    </row>
    <row r="267" spans="1:12" x14ac:dyDescent="0.25">
      <c r="A267" s="12">
        <v>52186611</v>
      </c>
      <c r="B267" s="12"/>
      <c r="C267" s="12" t="s">
        <v>833</v>
      </c>
      <c r="D267" s="4" t="s">
        <v>834</v>
      </c>
      <c r="E267" s="13">
        <v>3006493246</v>
      </c>
      <c r="F267" s="4" t="s">
        <v>835</v>
      </c>
      <c r="G267" s="7">
        <v>11001</v>
      </c>
      <c r="H267" s="12">
        <v>305</v>
      </c>
      <c r="I267" s="14">
        <v>1245118.22</v>
      </c>
      <c r="J267" s="14">
        <v>7166.6680000000042</v>
      </c>
      <c r="K267" s="3">
        <v>0</v>
      </c>
      <c r="L267" s="15">
        <v>9965.5099935999988</v>
      </c>
    </row>
    <row r="268" spans="1:12" x14ac:dyDescent="0.25">
      <c r="A268" s="12">
        <v>80091492</v>
      </c>
      <c r="B268" s="12"/>
      <c r="C268" s="12" t="s">
        <v>836</v>
      </c>
      <c r="D268" s="4" t="s">
        <v>837</v>
      </c>
      <c r="E268" s="13">
        <v>2130438</v>
      </c>
      <c r="F268" s="4" t="s">
        <v>838</v>
      </c>
      <c r="G268" s="7">
        <v>11001</v>
      </c>
      <c r="H268" s="12">
        <v>305</v>
      </c>
      <c r="I268" s="14">
        <v>1245412.43</v>
      </c>
      <c r="J268" s="14">
        <v>124702.48599999998</v>
      </c>
      <c r="K268" s="3">
        <v>0</v>
      </c>
      <c r="L268" s="15">
        <v>9021.7150492000001</v>
      </c>
    </row>
    <row r="269" spans="1:12" x14ac:dyDescent="0.25">
      <c r="A269" s="12">
        <v>4136895</v>
      </c>
      <c r="B269" s="12"/>
      <c r="C269" s="12" t="s">
        <v>839</v>
      </c>
      <c r="D269" s="4" t="s">
        <v>840</v>
      </c>
      <c r="E269" s="13">
        <v>3102826148</v>
      </c>
      <c r="F269" s="4" t="s">
        <v>841</v>
      </c>
      <c r="G269" s="7">
        <v>11001</v>
      </c>
      <c r="H269" s="12">
        <v>305</v>
      </c>
      <c r="I269" s="14">
        <v>1245740.4099999999</v>
      </c>
      <c r="J269" s="14">
        <v>249148.08199999999</v>
      </c>
      <c r="K269" s="3">
        <v>0</v>
      </c>
      <c r="L269" s="15">
        <v>8022.5682403999999</v>
      </c>
    </row>
    <row r="270" spans="1:12" x14ac:dyDescent="0.25">
      <c r="A270" s="12">
        <v>7161470</v>
      </c>
      <c r="B270" s="12"/>
      <c r="C270" s="12" t="s">
        <v>842</v>
      </c>
      <c r="D270" s="4" t="s">
        <v>843</v>
      </c>
      <c r="E270" s="13">
        <v>6158525</v>
      </c>
      <c r="F270" s="4" t="s">
        <v>844</v>
      </c>
      <c r="G270" s="7">
        <v>11001</v>
      </c>
      <c r="H270" s="12">
        <v>305</v>
      </c>
      <c r="I270" s="14">
        <v>1249002.8699999992</v>
      </c>
      <c r="J270" s="14">
        <v>135610.48999999987</v>
      </c>
      <c r="K270" s="3">
        <v>0</v>
      </c>
      <c r="L270" s="15">
        <v>8962.8086589999948</v>
      </c>
    </row>
    <row r="271" spans="1:12" x14ac:dyDescent="0.25">
      <c r="A271" s="12">
        <v>1032481856</v>
      </c>
      <c r="B271" s="12"/>
      <c r="C271" s="12" t="s">
        <v>845</v>
      </c>
      <c r="D271" s="4" t="s">
        <v>846</v>
      </c>
      <c r="E271" s="13">
        <v>3103045452</v>
      </c>
      <c r="F271" s="4" t="s">
        <v>847</v>
      </c>
      <c r="G271" s="7" t="s">
        <v>848</v>
      </c>
      <c r="H271" s="12">
        <v>305</v>
      </c>
      <c r="I271" s="14">
        <v>1250253.1499999999</v>
      </c>
      <c r="J271" s="14">
        <v>250050.63</v>
      </c>
      <c r="K271" s="3">
        <v>0</v>
      </c>
      <c r="L271" s="15">
        <v>8051.6302859999996</v>
      </c>
    </row>
    <row r="272" spans="1:12" x14ac:dyDescent="0.25">
      <c r="A272" s="12">
        <v>79413969</v>
      </c>
      <c r="B272" s="12"/>
      <c r="C272" s="12" t="s">
        <v>849</v>
      </c>
      <c r="D272" s="4" t="s">
        <v>850</v>
      </c>
      <c r="E272" s="13">
        <v>3202404758</v>
      </c>
      <c r="F272" s="4" t="s">
        <v>851</v>
      </c>
      <c r="G272" s="7">
        <v>11001</v>
      </c>
      <c r="H272" s="12">
        <v>305</v>
      </c>
      <c r="I272" s="14">
        <v>1253455.83</v>
      </c>
      <c r="J272" s="14">
        <v>123401.75399999999</v>
      </c>
      <c r="K272" s="3">
        <v>0</v>
      </c>
      <c r="L272" s="15">
        <v>9096.9353117999999</v>
      </c>
    </row>
    <row r="273" spans="1:12" x14ac:dyDescent="0.25">
      <c r="A273" s="12">
        <v>9089402</v>
      </c>
      <c r="B273" s="12"/>
      <c r="C273" s="12" t="s">
        <v>852</v>
      </c>
      <c r="D273" s="4" t="s">
        <v>853</v>
      </c>
      <c r="E273" s="13">
        <v>3153091128</v>
      </c>
      <c r="F273" s="4" t="s">
        <v>854</v>
      </c>
      <c r="G273" s="7">
        <v>11001</v>
      </c>
      <c r="H273" s="12">
        <v>305</v>
      </c>
      <c r="I273" s="14">
        <v>1254944.9500000002</v>
      </c>
      <c r="J273" s="14">
        <v>42316.72</v>
      </c>
      <c r="K273" s="3">
        <v>0</v>
      </c>
      <c r="L273" s="15">
        <v>9761.6572515000025</v>
      </c>
    </row>
    <row r="274" spans="1:12" x14ac:dyDescent="0.25">
      <c r="A274" s="12">
        <v>79983648</v>
      </c>
      <c r="B274" s="12"/>
      <c r="C274" s="12" t="s">
        <v>855</v>
      </c>
      <c r="D274" s="4" t="s">
        <v>856</v>
      </c>
      <c r="E274" s="13">
        <v>3108779861</v>
      </c>
      <c r="F274" s="4" t="s">
        <v>857</v>
      </c>
      <c r="G274" s="7">
        <v>11001</v>
      </c>
      <c r="H274" s="12">
        <v>305</v>
      </c>
      <c r="I274" s="14">
        <v>1255684.9999999995</v>
      </c>
      <c r="J274" s="14">
        <v>122277.79999999993</v>
      </c>
      <c r="K274" s="3">
        <v>0</v>
      </c>
      <c r="L274" s="15">
        <v>9123.9279599999973</v>
      </c>
    </row>
    <row r="275" spans="1:12" x14ac:dyDescent="0.25">
      <c r="A275" s="12">
        <v>7216774</v>
      </c>
      <c r="B275" s="12"/>
      <c r="C275" s="12" t="s">
        <v>858</v>
      </c>
      <c r="D275" s="4" t="s">
        <v>859</v>
      </c>
      <c r="E275" s="13">
        <v>3117702129</v>
      </c>
      <c r="F275" s="4" t="s">
        <v>860</v>
      </c>
      <c r="G275" s="7">
        <v>11001</v>
      </c>
      <c r="H275" s="12">
        <v>305</v>
      </c>
      <c r="I275" s="14">
        <v>1257170.5700000005</v>
      </c>
      <c r="J275" s="14">
        <v>158351.59200000009</v>
      </c>
      <c r="K275" s="3">
        <v>0</v>
      </c>
      <c r="L275" s="15">
        <v>8845.4927729000028</v>
      </c>
    </row>
    <row r="276" spans="1:12" x14ac:dyDescent="0.25">
      <c r="A276" s="12">
        <v>19188487</v>
      </c>
      <c r="B276" s="12"/>
      <c r="C276" s="12" t="s">
        <v>861</v>
      </c>
      <c r="D276" s="4" t="s">
        <v>862</v>
      </c>
      <c r="E276" s="13">
        <v>3134326112</v>
      </c>
      <c r="F276" s="4" t="s">
        <v>863</v>
      </c>
      <c r="G276" s="7">
        <v>11001</v>
      </c>
      <c r="H276" s="12">
        <v>305</v>
      </c>
      <c r="I276" s="14">
        <v>1257862.2899999998</v>
      </c>
      <c r="J276" s="14">
        <v>140592.45599999998</v>
      </c>
      <c r="K276" s="3">
        <v>0</v>
      </c>
      <c r="L276" s="15">
        <v>8994.0221636999995</v>
      </c>
    </row>
    <row r="277" spans="1:12" x14ac:dyDescent="0.25">
      <c r="A277" s="12">
        <v>1014226158</v>
      </c>
      <c r="B277" s="12"/>
      <c r="C277" s="12" t="s">
        <v>864</v>
      </c>
      <c r="D277" s="4" t="s">
        <v>865</v>
      </c>
      <c r="E277" s="13">
        <v>3185308645</v>
      </c>
      <c r="F277" s="4" t="s">
        <v>866</v>
      </c>
      <c r="G277" s="7">
        <v>11001</v>
      </c>
      <c r="H277" s="12">
        <v>305</v>
      </c>
      <c r="I277" s="14">
        <v>1258768.3799999999</v>
      </c>
      <c r="J277" s="14">
        <v>180304.47600000002</v>
      </c>
      <c r="K277" s="3">
        <v>0</v>
      </c>
      <c r="L277" s="15">
        <v>8681.6344271999988</v>
      </c>
    </row>
    <row r="278" spans="1:12" x14ac:dyDescent="0.25">
      <c r="A278" s="12">
        <v>79348396</v>
      </c>
      <c r="B278" s="12"/>
      <c r="C278" s="12" t="s">
        <v>867</v>
      </c>
      <c r="D278" s="4" t="s">
        <v>868</v>
      </c>
      <c r="E278" s="13">
        <v>3106600665</v>
      </c>
      <c r="F278" s="4" t="s">
        <v>869</v>
      </c>
      <c r="G278" s="7">
        <v>11001</v>
      </c>
      <c r="H278" s="12">
        <v>305</v>
      </c>
      <c r="I278" s="14">
        <v>1262800</v>
      </c>
      <c r="J278" s="14">
        <v>0.15</v>
      </c>
      <c r="K278" s="3">
        <v>0</v>
      </c>
      <c r="L278" s="15">
        <v>10165.538792500001</v>
      </c>
    </row>
    <row r="279" spans="1:12" x14ac:dyDescent="0.25">
      <c r="A279" s="12">
        <v>16645167</v>
      </c>
      <c r="B279" s="12"/>
      <c r="C279" s="12" t="s">
        <v>870</v>
      </c>
      <c r="D279" s="4" t="s">
        <v>871</v>
      </c>
      <c r="E279" s="13">
        <v>3174033300</v>
      </c>
      <c r="F279" s="4" t="s">
        <v>872</v>
      </c>
      <c r="G279" s="7">
        <v>11001</v>
      </c>
      <c r="H279" s="12">
        <v>305</v>
      </c>
      <c r="I279" s="14">
        <v>1265813.1599999999</v>
      </c>
      <c r="J279" s="14">
        <v>156203.6</v>
      </c>
      <c r="K279" s="3">
        <v>0</v>
      </c>
      <c r="L279" s="15">
        <v>8932.3569579999985</v>
      </c>
    </row>
    <row r="280" spans="1:12" x14ac:dyDescent="0.25">
      <c r="A280" s="12">
        <v>91108168</v>
      </c>
      <c r="B280" s="12"/>
      <c r="C280" s="12" t="s">
        <v>873</v>
      </c>
      <c r="D280" s="4" t="s">
        <v>874</v>
      </c>
      <c r="E280" s="13">
        <v>3108070559</v>
      </c>
      <c r="F280" s="4" t="s">
        <v>875</v>
      </c>
      <c r="G280" s="7">
        <v>11001</v>
      </c>
      <c r="H280" s="12">
        <v>305</v>
      </c>
      <c r="I280" s="14">
        <v>1266755.2300000004</v>
      </c>
      <c r="J280" s="14">
        <v>107887.51800000007</v>
      </c>
      <c r="K280" s="3">
        <v>0</v>
      </c>
      <c r="L280" s="15">
        <v>9328.8850816000031</v>
      </c>
    </row>
    <row r="281" spans="1:12" x14ac:dyDescent="0.25">
      <c r="A281" s="12">
        <v>19321139</v>
      </c>
      <c r="B281" s="12"/>
      <c r="C281" s="12" t="s">
        <v>876</v>
      </c>
      <c r="D281" s="4" t="s">
        <v>877</v>
      </c>
      <c r="E281" s="13">
        <v>3005680154</v>
      </c>
      <c r="F281" s="4" t="s">
        <v>878</v>
      </c>
      <c r="G281" s="7">
        <v>11001</v>
      </c>
      <c r="H281" s="12">
        <v>305</v>
      </c>
      <c r="I281" s="14">
        <v>1267260.0000000002</v>
      </c>
      <c r="J281" s="14">
        <v>8277.7780000000021</v>
      </c>
      <c r="K281" s="3">
        <v>0</v>
      </c>
      <c r="L281" s="15">
        <v>10134.806887100003</v>
      </c>
    </row>
    <row r="282" spans="1:12" x14ac:dyDescent="0.25">
      <c r="A282" s="12">
        <v>79943608</v>
      </c>
      <c r="B282" s="12"/>
      <c r="C282" s="12" t="s">
        <v>879</v>
      </c>
      <c r="D282" s="4" t="s">
        <v>880</v>
      </c>
      <c r="E282" s="13">
        <v>3167425601</v>
      </c>
      <c r="F282" s="4" t="s">
        <v>881</v>
      </c>
      <c r="G282" s="7">
        <v>11001</v>
      </c>
      <c r="H282" s="12">
        <v>305</v>
      </c>
      <c r="I282" s="14">
        <v>1270857.4200000002</v>
      </c>
      <c r="J282" s="14">
        <v>167610.47400000002</v>
      </c>
      <c r="K282" s="3">
        <v>0</v>
      </c>
      <c r="L282" s="15">
        <v>8881.1379153000016</v>
      </c>
    </row>
    <row r="283" spans="1:12" x14ac:dyDescent="0.25">
      <c r="A283" s="12">
        <v>79324515</v>
      </c>
      <c r="B283" s="12"/>
      <c r="C283" s="12" t="s">
        <v>882</v>
      </c>
      <c r="D283" s="4" t="s">
        <v>883</v>
      </c>
      <c r="E283" s="13">
        <v>3017970081</v>
      </c>
      <c r="F283" s="4" t="s">
        <v>884</v>
      </c>
      <c r="G283" s="7">
        <v>11001</v>
      </c>
      <c r="H283" s="12">
        <v>305</v>
      </c>
      <c r="I283" s="14">
        <v>1273667</v>
      </c>
      <c r="J283" s="14">
        <v>112093.4</v>
      </c>
      <c r="K283" s="3">
        <v>0</v>
      </c>
      <c r="L283" s="15">
        <v>9350.6674800000001</v>
      </c>
    </row>
    <row r="284" spans="1:12" x14ac:dyDescent="0.25">
      <c r="A284" s="12">
        <v>79306041</v>
      </c>
      <c r="B284" s="12"/>
      <c r="C284" s="12" t="s">
        <v>885</v>
      </c>
      <c r="D284" s="4" t="s">
        <v>886</v>
      </c>
      <c r="E284" s="13">
        <v>3215396232</v>
      </c>
      <c r="F284" s="4" t="s">
        <v>887</v>
      </c>
      <c r="G284" s="7" t="s">
        <v>603</v>
      </c>
      <c r="H284" s="12">
        <v>305</v>
      </c>
      <c r="I284" s="14">
        <v>1274156.9999999995</v>
      </c>
      <c r="J284" s="14">
        <v>128054.99999999993</v>
      </c>
      <c r="K284" s="3">
        <v>0</v>
      </c>
      <c r="L284" s="15">
        <v>9226.1210999999967</v>
      </c>
    </row>
    <row r="285" spans="1:12" x14ac:dyDescent="0.25">
      <c r="A285" s="12">
        <v>39811586</v>
      </c>
      <c r="B285" s="12"/>
      <c r="C285" s="12" t="s">
        <v>888</v>
      </c>
      <c r="D285" s="4" t="s">
        <v>889</v>
      </c>
      <c r="E285" s="13">
        <v>3103489124</v>
      </c>
      <c r="F285" s="4" t="s">
        <v>890</v>
      </c>
      <c r="G285" s="7">
        <v>11001</v>
      </c>
      <c r="H285" s="12">
        <v>305</v>
      </c>
      <c r="I285" s="14">
        <v>1275436.4499999997</v>
      </c>
      <c r="J285" s="14">
        <v>138240.56799999994</v>
      </c>
      <c r="K285" s="3">
        <v>0</v>
      </c>
      <c r="L285" s="15">
        <v>9154.426850099997</v>
      </c>
    </row>
    <row r="286" spans="1:12" x14ac:dyDescent="0.25">
      <c r="A286" s="12">
        <v>3805779</v>
      </c>
      <c r="B286" s="12"/>
      <c r="C286" s="12" t="s">
        <v>891</v>
      </c>
      <c r="D286" s="4" t="s">
        <v>892</v>
      </c>
      <c r="E286" s="13">
        <v>3176692327</v>
      </c>
      <c r="F286" s="4" t="s">
        <v>893</v>
      </c>
      <c r="G286" s="7">
        <v>11001</v>
      </c>
      <c r="H286" s="12">
        <v>305</v>
      </c>
      <c r="I286" s="14">
        <v>1278834</v>
      </c>
      <c r="J286" s="14">
        <v>143106.79999999999</v>
      </c>
      <c r="K286" s="3">
        <v>0</v>
      </c>
      <c r="L286" s="15">
        <v>9142.6039600000004</v>
      </c>
    </row>
    <row r="287" spans="1:12" x14ac:dyDescent="0.25">
      <c r="A287" s="12">
        <v>14395397</v>
      </c>
      <c r="B287" s="12"/>
      <c r="C287" s="12" t="s">
        <v>894</v>
      </c>
      <c r="D287" s="4" t="s">
        <v>895</v>
      </c>
      <c r="E287" s="13">
        <v>3107862552</v>
      </c>
      <c r="F287" s="4" t="s">
        <v>896</v>
      </c>
      <c r="G287" s="7">
        <v>11001</v>
      </c>
      <c r="H287" s="12">
        <v>305</v>
      </c>
      <c r="I287" s="14">
        <v>1279813.4400000002</v>
      </c>
      <c r="J287" s="14">
        <v>159963.36000000004</v>
      </c>
      <c r="K287" s="3">
        <v>0</v>
      </c>
      <c r="L287" s="15">
        <v>9014.7931440000011</v>
      </c>
    </row>
    <row r="288" spans="1:12" x14ac:dyDescent="0.25">
      <c r="A288" s="12">
        <v>1032402137</v>
      </c>
      <c r="B288" s="12"/>
      <c r="C288" s="12" t="s">
        <v>897</v>
      </c>
      <c r="D288" s="4" t="s">
        <v>898</v>
      </c>
      <c r="E288" s="13">
        <v>3102427637</v>
      </c>
      <c r="F288" s="4" t="s">
        <v>899</v>
      </c>
      <c r="G288" s="7">
        <v>11001</v>
      </c>
      <c r="H288" s="12">
        <v>305</v>
      </c>
      <c r="I288" s="14">
        <v>1280822.0000000002</v>
      </c>
      <c r="J288" s="14">
        <v>187128.77000000008</v>
      </c>
      <c r="K288" s="3">
        <v>0</v>
      </c>
      <c r="L288" s="15">
        <v>8804.230501500002</v>
      </c>
    </row>
    <row r="289" spans="1:12" x14ac:dyDescent="0.25">
      <c r="A289" s="12">
        <v>51784151</v>
      </c>
      <c r="B289" s="12"/>
      <c r="C289" s="12" t="s">
        <v>900</v>
      </c>
      <c r="D289" s="4" t="s">
        <v>901</v>
      </c>
      <c r="E289" s="13">
        <v>2219049</v>
      </c>
      <c r="F289" s="4" t="s">
        <v>902</v>
      </c>
      <c r="G289" s="7">
        <v>11001</v>
      </c>
      <c r="H289" s="12">
        <v>305</v>
      </c>
      <c r="I289" s="14">
        <v>1282518.82</v>
      </c>
      <c r="J289" s="14">
        <v>25703.763999999999</v>
      </c>
      <c r="K289" s="3">
        <v>0</v>
      </c>
      <c r="L289" s="15">
        <v>10117.361200800002</v>
      </c>
    </row>
    <row r="290" spans="1:12" x14ac:dyDescent="0.25">
      <c r="A290" s="12">
        <v>79158153</v>
      </c>
      <c r="B290" s="12"/>
      <c r="C290" s="12" t="s">
        <v>903</v>
      </c>
      <c r="D290" s="4" t="s">
        <v>904</v>
      </c>
      <c r="E290" s="13">
        <v>3133977593</v>
      </c>
      <c r="F290" s="4" t="s">
        <v>905</v>
      </c>
      <c r="G290" s="7">
        <v>11001</v>
      </c>
      <c r="H290" s="12">
        <v>305</v>
      </c>
      <c r="I290" s="14">
        <v>1283568.3599999999</v>
      </c>
      <c r="J290" s="14">
        <v>184721.402</v>
      </c>
      <c r="K290" s="3">
        <v>0</v>
      </c>
      <c r="L290" s="15">
        <v>8845.7180118999986</v>
      </c>
    </row>
    <row r="291" spans="1:12" x14ac:dyDescent="0.25">
      <c r="A291" s="12">
        <v>93401935</v>
      </c>
      <c r="B291" s="12"/>
      <c r="C291" s="12" t="s">
        <v>906</v>
      </c>
      <c r="D291" s="4" t="s">
        <v>907</v>
      </c>
      <c r="E291" s="13">
        <v>3232296179</v>
      </c>
      <c r="F291" s="4" t="s">
        <v>908</v>
      </c>
      <c r="G291" s="7">
        <v>11001</v>
      </c>
      <c r="H291" s="12">
        <v>305</v>
      </c>
      <c r="I291" s="14">
        <v>1284615.9999999995</v>
      </c>
      <c r="J291" s="14">
        <v>144888.39999999994</v>
      </c>
      <c r="K291" s="3">
        <v>0</v>
      </c>
      <c r="L291" s="15">
        <v>9174.8071799999962</v>
      </c>
    </row>
    <row r="292" spans="1:12" x14ac:dyDescent="0.25">
      <c r="A292" s="12">
        <v>91157342</v>
      </c>
      <c r="B292" s="12"/>
      <c r="C292" s="12" t="s">
        <v>909</v>
      </c>
      <c r="D292" s="4" t="s">
        <v>910</v>
      </c>
      <c r="E292" s="13">
        <v>3164541851</v>
      </c>
      <c r="F292" s="4" t="s">
        <v>911</v>
      </c>
      <c r="G292" s="7">
        <v>11001</v>
      </c>
      <c r="H292" s="12">
        <v>305</v>
      </c>
      <c r="I292" s="14">
        <v>1284882.19</v>
      </c>
      <c r="J292" s="14">
        <v>137056.43799999999</v>
      </c>
      <c r="K292" s="3">
        <v>0</v>
      </c>
      <c r="L292" s="15">
        <v>9239.9973035999992</v>
      </c>
    </row>
    <row r="293" spans="1:12" x14ac:dyDescent="0.25">
      <c r="A293" s="12">
        <v>1032474146</v>
      </c>
      <c r="B293" s="12"/>
      <c r="C293" s="12" t="s">
        <v>912</v>
      </c>
      <c r="D293" s="4" t="s">
        <v>913</v>
      </c>
      <c r="E293" s="13">
        <v>3043752720</v>
      </c>
      <c r="F293" s="4" t="s">
        <v>914</v>
      </c>
      <c r="G293" s="7">
        <v>11001</v>
      </c>
      <c r="H293" s="12">
        <v>305</v>
      </c>
      <c r="I293" s="14">
        <v>1285697.8800000001</v>
      </c>
      <c r="J293" s="14">
        <v>87259.576000000015</v>
      </c>
      <c r="K293" s="3">
        <v>0</v>
      </c>
      <c r="L293" s="15">
        <v>9647.4283472000006</v>
      </c>
    </row>
    <row r="294" spans="1:12" x14ac:dyDescent="0.25">
      <c r="A294" s="12">
        <v>79577781</v>
      </c>
      <c r="B294" s="12"/>
      <c r="C294" s="12" t="s">
        <v>915</v>
      </c>
      <c r="D294" s="4" t="s">
        <v>916</v>
      </c>
      <c r="E294" s="13">
        <v>3104770595</v>
      </c>
      <c r="F294" s="4" t="s">
        <v>917</v>
      </c>
      <c r="G294" s="7">
        <v>11001</v>
      </c>
      <c r="H294" s="12">
        <v>305</v>
      </c>
      <c r="I294" s="14">
        <v>1288099.2899999998</v>
      </c>
      <c r="J294" s="14">
        <v>181790.10999999996</v>
      </c>
      <c r="K294" s="3">
        <v>0</v>
      </c>
      <c r="L294" s="15">
        <v>8905.7888989999992</v>
      </c>
    </row>
    <row r="295" spans="1:12" x14ac:dyDescent="0.25">
      <c r="A295" s="12">
        <v>79520120</v>
      </c>
      <c r="B295" s="12"/>
      <c r="C295" s="12" t="s">
        <v>918</v>
      </c>
      <c r="D295" s="4" t="s">
        <v>919</v>
      </c>
      <c r="E295" s="13">
        <v>3212108540</v>
      </c>
      <c r="F295" s="4" t="s">
        <v>920</v>
      </c>
      <c r="G295" s="7">
        <v>11001</v>
      </c>
      <c r="H295" s="12">
        <v>305</v>
      </c>
      <c r="I295" s="14">
        <v>1289862.33</v>
      </c>
      <c r="J295" s="14">
        <v>136202.54999999999</v>
      </c>
      <c r="K295" s="3">
        <v>0</v>
      </c>
      <c r="L295" s="15">
        <v>9286.9612290000005</v>
      </c>
    </row>
    <row r="296" spans="1:12" x14ac:dyDescent="0.25">
      <c r="A296" s="12">
        <v>1098627541</v>
      </c>
      <c r="B296" s="12"/>
      <c r="C296" s="12" t="s">
        <v>921</v>
      </c>
      <c r="D296" s="4" t="s">
        <v>632</v>
      </c>
      <c r="E296" s="13">
        <v>3692020</v>
      </c>
      <c r="F296" s="4" t="s">
        <v>633</v>
      </c>
      <c r="G296" s="7">
        <v>11001</v>
      </c>
      <c r="H296" s="12">
        <v>305</v>
      </c>
      <c r="I296" s="14">
        <v>1290273.44</v>
      </c>
      <c r="J296" s="14">
        <v>151074.68799999999</v>
      </c>
      <c r="K296" s="3">
        <v>0</v>
      </c>
      <c r="L296" s="15">
        <v>9170.5499535999988</v>
      </c>
    </row>
    <row r="297" spans="1:12" x14ac:dyDescent="0.25">
      <c r="A297" s="12">
        <v>4904105</v>
      </c>
      <c r="B297" s="12"/>
      <c r="C297" s="12" t="s">
        <v>922</v>
      </c>
      <c r="D297" s="4" t="s">
        <v>923</v>
      </c>
      <c r="E297" s="13">
        <v>7325802</v>
      </c>
      <c r="F297" s="4" t="s">
        <v>924</v>
      </c>
      <c r="G297" s="7" t="s">
        <v>925</v>
      </c>
      <c r="H297" s="12">
        <v>305</v>
      </c>
      <c r="I297" s="14">
        <v>1294688.68</v>
      </c>
      <c r="J297" s="14">
        <v>116297.53399999997</v>
      </c>
      <c r="K297" s="3">
        <v>0</v>
      </c>
      <c r="L297" s="15">
        <v>9486.0487252999992</v>
      </c>
    </row>
    <row r="298" spans="1:12" x14ac:dyDescent="0.25">
      <c r="A298" s="12">
        <v>2860016</v>
      </c>
      <c r="B298" s="12"/>
      <c r="C298" s="12" t="s">
        <v>926</v>
      </c>
      <c r="D298" s="4" t="s">
        <v>927</v>
      </c>
      <c r="E298" s="13">
        <v>3156612142</v>
      </c>
      <c r="F298" s="4" t="s">
        <v>928</v>
      </c>
      <c r="G298" s="7" t="s">
        <v>929</v>
      </c>
      <c r="H298" s="12">
        <v>305</v>
      </c>
      <c r="I298" s="14">
        <v>1295437.6100000001</v>
      </c>
      <c r="J298" s="14">
        <v>62791.41</v>
      </c>
      <c r="K298" s="3">
        <v>0</v>
      </c>
      <c r="L298" s="15">
        <v>9922.801910000002</v>
      </c>
    </row>
    <row r="299" spans="1:12" x14ac:dyDescent="0.25">
      <c r="A299" s="12">
        <v>80728810</v>
      </c>
      <c r="B299" s="12"/>
      <c r="C299" s="12" t="s">
        <v>930</v>
      </c>
      <c r="D299" s="4" t="s">
        <v>931</v>
      </c>
      <c r="E299" s="13">
        <v>3202071192</v>
      </c>
      <c r="F299" s="4" t="s">
        <v>932</v>
      </c>
      <c r="G299" s="7">
        <v>11001</v>
      </c>
      <c r="H299" s="12">
        <v>305</v>
      </c>
      <c r="I299" s="14">
        <v>1295860.2800000003</v>
      </c>
      <c r="J299" s="14">
        <v>151519.78600000005</v>
      </c>
      <c r="K299" s="3">
        <v>0</v>
      </c>
      <c r="L299" s="15">
        <v>9211.9409767000016</v>
      </c>
    </row>
    <row r="300" spans="1:12" x14ac:dyDescent="0.25">
      <c r="A300" s="12">
        <v>17067918</v>
      </c>
      <c r="B300" s="12"/>
      <c r="C300" s="12" t="s">
        <v>933</v>
      </c>
      <c r="D300" s="4" t="s">
        <v>934</v>
      </c>
      <c r="E300" s="13">
        <v>2814618</v>
      </c>
      <c r="F300" s="4" t="s">
        <v>935</v>
      </c>
      <c r="G300" s="7">
        <v>11001</v>
      </c>
      <c r="H300" s="12">
        <v>305</v>
      </c>
      <c r="I300" s="14">
        <v>1296503</v>
      </c>
      <c r="J300" s="14">
        <v>81000.600000000006</v>
      </c>
      <c r="K300" s="3">
        <v>0</v>
      </c>
      <c r="L300" s="15">
        <v>9784.7943199999991</v>
      </c>
    </row>
    <row r="301" spans="1:12" x14ac:dyDescent="0.25">
      <c r="A301" s="12">
        <v>80414744</v>
      </c>
      <c r="B301" s="12"/>
      <c r="C301" s="12" t="s">
        <v>936</v>
      </c>
      <c r="D301" s="4" t="s">
        <v>937</v>
      </c>
      <c r="E301" s="13">
        <v>3115995394</v>
      </c>
      <c r="F301" s="4" t="s">
        <v>938</v>
      </c>
      <c r="G301" s="7">
        <v>11001</v>
      </c>
      <c r="H301" s="12">
        <v>305</v>
      </c>
      <c r="I301" s="14">
        <v>1296872.9200000002</v>
      </c>
      <c r="J301" s="14">
        <v>159414.58400000003</v>
      </c>
      <c r="K301" s="3">
        <v>0</v>
      </c>
      <c r="L301" s="15">
        <v>9156.5396048000021</v>
      </c>
    </row>
    <row r="302" spans="1:12" x14ac:dyDescent="0.25">
      <c r="A302" s="12">
        <v>19123319</v>
      </c>
      <c r="B302" s="12"/>
      <c r="C302" s="12" t="s">
        <v>939</v>
      </c>
      <c r="D302" s="4" t="s">
        <v>940</v>
      </c>
      <c r="E302" s="13">
        <v>3164738489</v>
      </c>
      <c r="F302" s="4" t="s">
        <v>941</v>
      </c>
      <c r="G302" s="7">
        <v>11001</v>
      </c>
      <c r="H302" s="12">
        <v>305</v>
      </c>
      <c r="I302" s="14">
        <v>1299997.9999999995</v>
      </c>
      <c r="J302" s="14">
        <v>118739.59999999992</v>
      </c>
      <c r="K302" s="3">
        <v>0</v>
      </c>
      <c r="L302" s="15">
        <v>9509.1301199999962</v>
      </c>
    </row>
    <row r="303" spans="1:12" x14ac:dyDescent="0.25">
      <c r="A303" s="12">
        <v>19330113</v>
      </c>
      <c r="B303" s="12"/>
      <c r="C303" s="12" t="s">
        <v>942</v>
      </c>
      <c r="D303" s="4" t="s">
        <v>943</v>
      </c>
      <c r="E303" s="13">
        <v>3104882818</v>
      </c>
      <c r="F303" s="4" t="s">
        <v>944</v>
      </c>
      <c r="G303" s="7">
        <v>11001</v>
      </c>
      <c r="H303" s="12">
        <v>305</v>
      </c>
      <c r="I303" s="14">
        <v>1305884.2299999997</v>
      </c>
      <c r="J303" s="14">
        <v>149896.84599999993</v>
      </c>
      <c r="K303" s="3">
        <v>0</v>
      </c>
      <c r="L303" s="15">
        <v>9305.6984411999983</v>
      </c>
    </row>
    <row r="304" spans="1:12" x14ac:dyDescent="0.25">
      <c r="A304" s="12">
        <v>1052387614</v>
      </c>
      <c r="B304" s="12"/>
      <c r="C304" s="12" t="s">
        <v>945</v>
      </c>
      <c r="D304" s="4" t="s">
        <v>946</v>
      </c>
      <c r="E304" s="13">
        <v>3012572432</v>
      </c>
      <c r="F304" s="4" t="s">
        <v>947</v>
      </c>
      <c r="G304" s="7">
        <v>11001</v>
      </c>
      <c r="H304" s="12">
        <v>305</v>
      </c>
      <c r="I304" s="14">
        <v>1305972.44</v>
      </c>
      <c r="J304" s="14">
        <v>222001.2</v>
      </c>
      <c r="K304" s="3">
        <v>0</v>
      </c>
      <c r="L304" s="15">
        <v>8725.9684820000002</v>
      </c>
    </row>
    <row r="305" spans="1:12" x14ac:dyDescent="0.25">
      <c r="A305" s="12">
        <v>20281188</v>
      </c>
      <c r="B305" s="12"/>
      <c r="C305" s="12" t="s">
        <v>948</v>
      </c>
      <c r="D305" s="4" t="s">
        <v>949</v>
      </c>
      <c r="E305" s="13">
        <v>2582699</v>
      </c>
      <c r="F305" s="4" t="s">
        <v>950</v>
      </c>
      <c r="G305" s="7">
        <v>11001</v>
      </c>
      <c r="H305" s="12">
        <v>305</v>
      </c>
      <c r="I305" s="14">
        <v>1307606.58</v>
      </c>
      <c r="J305" s="14">
        <v>102371.06600000002</v>
      </c>
      <c r="K305" s="3">
        <v>0</v>
      </c>
      <c r="L305" s="15">
        <v>9702.1458877000005</v>
      </c>
    </row>
    <row r="306" spans="1:12" x14ac:dyDescent="0.25">
      <c r="A306" s="12">
        <v>19220460</v>
      </c>
      <c r="B306" s="12"/>
      <c r="C306" s="12" t="s">
        <v>951</v>
      </c>
      <c r="D306" s="4" t="s">
        <v>952</v>
      </c>
      <c r="E306" s="13">
        <v>3102402054</v>
      </c>
      <c r="F306" s="4" t="s">
        <v>953</v>
      </c>
      <c r="G306" s="7">
        <v>11001</v>
      </c>
      <c r="H306" s="12">
        <v>305</v>
      </c>
      <c r="I306" s="14">
        <v>1312330.92</v>
      </c>
      <c r="J306" s="14">
        <v>262466.18400000001</v>
      </c>
      <c r="K306" s="3">
        <v>0</v>
      </c>
      <c r="L306" s="15">
        <v>8451.4111248000008</v>
      </c>
    </row>
    <row r="307" spans="1:12" x14ac:dyDescent="0.25">
      <c r="A307" s="12">
        <v>7160899</v>
      </c>
      <c r="B307" s="12"/>
      <c r="C307" s="12" t="s">
        <v>954</v>
      </c>
      <c r="D307" s="4" t="s">
        <v>955</v>
      </c>
      <c r="E307" s="13">
        <v>3124841145</v>
      </c>
      <c r="F307" s="4" t="s">
        <v>956</v>
      </c>
      <c r="G307" s="7">
        <v>11001</v>
      </c>
      <c r="H307" s="12">
        <v>305</v>
      </c>
      <c r="I307" s="14">
        <v>1312415.9299999997</v>
      </c>
      <c r="J307" s="14">
        <v>187095.96</v>
      </c>
      <c r="K307" s="3">
        <v>0</v>
      </c>
      <c r="L307" s="15">
        <v>9058.8257584999992</v>
      </c>
    </row>
    <row r="308" spans="1:12" x14ac:dyDescent="0.25">
      <c r="A308" s="12">
        <v>51739078</v>
      </c>
      <c r="B308" s="12"/>
      <c r="C308" s="12" t="s">
        <v>957</v>
      </c>
      <c r="D308" s="4" t="s">
        <v>958</v>
      </c>
      <c r="E308" s="13">
        <v>3106745260</v>
      </c>
      <c r="F308" s="4" t="s">
        <v>959</v>
      </c>
      <c r="G308" s="7">
        <v>11001</v>
      </c>
      <c r="H308" s="12">
        <v>305</v>
      </c>
      <c r="I308" s="14">
        <v>1312686.6400000001</v>
      </c>
      <c r="J308" s="14">
        <v>51277.328000000009</v>
      </c>
      <c r="K308" s="3">
        <v>0</v>
      </c>
      <c r="L308" s="15">
        <v>10154.344961600003</v>
      </c>
    </row>
    <row r="309" spans="1:12" x14ac:dyDescent="0.25">
      <c r="A309" s="12">
        <v>73166226</v>
      </c>
      <c r="B309" s="12"/>
      <c r="C309" s="12" t="s">
        <v>960</v>
      </c>
      <c r="D309" s="4" t="s">
        <v>961</v>
      </c>
      <c r="E309" s="13">
        <v>3016118445</v>
      </c>
      <c r="F309" s="4" t="s">
        <v>962</v>
      </c>
      <c r="G309" s="7" t="s">
        <v>403</v>
      </c>
      <c r="H309" s="12">
        <v>305</v>
      </c>
      <c r="I309" s="14">
        <v>1315732.1400000001</v>
      </c>
      <c r="J309" s="14">
        <v>186717.18400000001</v>
      </c>
      <c r="K309" s="3">
        <v>0</v>
      </c>
      <c r="L309" s="15">
        <v>9088.5703958000013</v>
      </c>
    </row>
    <row r="310" spans="1:12" x14ac:dyDescent="0.25">
      <c r="A310" s="12">
        <v>17181596</v>
      </c>
      <c r="B310" s="12"/>
      <c r="C310" s="12" t="s">
        <v>963</v>
      </c>
      <c r="D310" s="4" t="s">
        <v>964</v>
      </c>
      <c r="E310" s="13">
        <v>3134312922</v>
      </c>
      <c r="F310" s="4" t="s">
        <v>965</v>
      </c>
      <c r="G310" s="7">
        <v>11001</v>
      </c>
      <c r="H310" s="12">
        <v>305</v>
      </c>
      <c r="I310" s="14">
        <v>1321017.56</v>
      </c>
      <c r="J310" s="14">
        <v>99388.698000000004</v>
      </c>
      <c r="K310" s="3">
        <v>0</v>
      </c>
      <c r="L310" s="15">
        <v>9834.1123391000001</v>
      </c>
    </row>
    <row r="311" spans="1:12" x14ac:dyDescent="0.25">
      <c r="A311" s="12">
        <v>1054800340</v>
      </c>
      <c r="B311" s="12"/>
      <c r="C311" s="12" t="s">
        <v>966</v>
      </c>
      <c r="D311" s="4" t="s">
        <v>967</v>
      </c>
      <c r="E311" s="13">
        <v>3143864129</v>
      </c>
      <c r="F311" s="4" t="s">
        <v>968</v>
      </c>
      <c r="G311" s="7" t="s">
        <v>969</v>
      </c>
      <c r="H311" s="12">
        <v>305</v>
      </c>
      <c r="I311" s="14">
        <v>1321814.0200000005</v>
      </c>
      <c r="J311" s="14">
        <v>146592.86400000009</v>
      </c>
      <c r="K311" s="3">
        <v>0</v>
      </c>
      <c r="L311" s="15">
        <v>9460.5303058000027</v>
      </c>
    </row>
    <row r="312" spans="1:12" x14ac:dyDescent="0.25">
      <c r="A312" s="12">
        <v>1022328272</v>
      </c>
      <c r="B312" s="12"/>
      <c r="C312" s="12" t="s">
        <v>970</v>
      </c>
      <c r="D312" s="4" t="s">
        <v>971</v>
      </c>
      <c r="E312" s="13">
        <v>3017443886</v>
      </c>
      <c r="F312" s="4" t="s">
        <v>972</v>
      </c>
      <c r="G312" s="7">
        <v>11001</v>
      </c>
      <c r="H312" s="12">
        <v>305</v>
      </c>
      <c r="I312" s="14">
        <v>1324226</v>
      </c>
      <c r="J312" s="14">
        <v>100165.2</v>
      </c>
      <c r="K312" s="3">
        <v>0</v>
      </c>
      <c r="L312" s="15">
        <v>9853.6894400000001</v>
      </c>
    </row>
    <row r="313" spans="1:12" x14ac:dyDescent="0.25">
      <c r="A313" s="12">
        <v>17075863</v>
      </c>
      <c r="B313" s="12"/>
      <c r="C313" s="12" t="s">
        <v>973</v>
      </c>
      <c r="D313" s="4" t="s">
        <v>974</v>
      </c>
      <c r="E313" s="13">
        <v>3150557</v>
      </c>
      <c r="F313" s="4" t="s">
        <v>975</v>
      </c>
      <c r="G313" s="7">
        <v>11001</v>
      </c>
      <c r="H313" s="12">
        <v>305</v>
      </c>
      <c r="I313" s="14">
        <v>1326645.8999999992</v>
      </c>
      <c r="J313" s="14">
        <v>126352.34199999984</v>
      </c>
      <c r="K313" s="3">
        <v>0</v>
      </c>
      <c r="L313" s="15">
        <v>9662.3631418999958</v>
      </c>
    </row>
    <row r="314" spans="1:12" x14ac:dyDescent="0.25">
      <c r="A314" s="12">
        <v>41541352</v>
      </c>
      <c r="B314" s="12"/>
      <c r="C314" s="12" t="s">
        <v>976</v>
      </c>
      <c r="D314" s="4" t="s">
        <v>977</v>
      </c>
      <c r="E314" s="13">
        <v>3125883879</v>
      </c>
      <c r="F314" s="4" t="s">
        <v>978</v>
      </c>
      <c r="G314" s="7">
        <v>11001</v>
      </c>
      <c r="H314" s="12">
        <v>305</v>
      </c>
      <c r="I314" s="14">
        <v>1327014</v>
      </c>
      <c r="J314" s="14">
        <v>68601.599999999991</v>
      </c>
      <c r="K314" s="3">
        <v>0</v>
      </c>
      <c r="L314" s="15">
        <v>10130.21982</v>
      </c>
    </row>
    <row r="315" spans="1:12" x14ac:dyDescent="0.25">
      <c r="A315" s="12">
        <v>73577883</v>
      </c>
      <c r="B315" s="12"/>
      <c r="C315" s="12" t="s">
        <v>979</v>
      </c>
      <c r="D315" s="4" t="s">
        <v>980</v>
      </c>
      <c r="E315" s="13">
        <v>3165267562</v>
      </c>
      <c r="F315" s="4" t="s">
        <v>981</v>
      </c>
      <c r="G315" s="7">
        <v>11001</v>
      </c>
      <c r="H315" s="12">
        <v>305</v>
      </c>
      <c r="I315" s="14">
        <v>1330552.8599999999</v>
      </c>
      <c r="J315" s="14">
        <v>133974.94199999998</v>
      </c>
      <c r="K315" s="3">
        <v>0</v>
      </c>
      <c r="L315" s="15">
        <v>9632.4522398999979</v>
      </c>
    </row>
    <row r="316" spans="1:12" x14ac:dyDescent="0.25">
      <c r="A316" s="12">
        <v>46374024</v>
      </c>
      <c r="B316" s="12"/>
      <c r="C316" s="12" t="s">
        <v>982</v>
      </c>
      <c r="D316" s="4" t="s">
        <v>983</v>
      </c>
      <c r="E316" s="13">
        <v>3144707208</v>
      </c>
      <c r="F316" s="4" t="s">
        <v>984</v>
      </c>
      <c r="G316" s="7" t="s">
        <v>422</v>
      </c>
      <c r="H316" s="12">
        <v>305</v>
      </c>
      <c r="I316" s="14">
        <v>1333336.1100000001</v>
      </c>
      <c r="J316" s="14">
        <v>0.15</v>
      </c>
      <c r="K316" s="3">
        <v>0</v>
      </c>
      <c r="L316" s="15">
        <v>10733.354478000003</v>
      </c>
    </row>
    <row r="317" spans="1:12" x14ac:dyDescent="0.25">
      <c r="A317" s="12">
        <v>41691299</v>
      </c>
      <c r="B317" s="12"/>
      <c r="C317" s="12" t="s">
        <v>985</v>
      </c>
      <c r="D317" s="4" t="s">
        <v>986</v>
      </c>
      <c r="E317" s="13">
        <v>3124804610</v>
      </c>
      <c r="F317" s="4" t="s">
        <v>987</v>
      </c>
      <c r="G317" s="7">
        <v>11001</v>
      </c>
      <c r="H317" s="12">
        <v>305</v>
      </c>
      <c r="I317" s="14">
        <v>1334236.52</v>
      </c>
      <c r="J317" s="14">
        <v>4407.3039999999992</v>
      </c>
      <c r="K317" s="3">
        <v>0</v>
      </c>
      <c r="L317" s="15">
        <v>10705.125188800001</v>
      </c>
    </row>
    <row r="318" spans="1:12" x14ac:dyDescent="0.25">
      <c r="A318" s="12">
        <v>72257296</v>
      </c>
      <c r="B318" s="12"/>
      <c r="C318" s="12" t="s">
        <v>988</v>
      </c>
      <c r="D318" s="4" t="s">
        <v>989</v>
      </c>
      <c r="E318" s="13">
        <v>3202479586</v>
      </c>
      <c r="F318" s="4" t="s">
        <v>990</v>
      </c>
      <c r="G318" s="7">
        <v>11001</v>
      </c>
      <c r="H318" s="12">
        <v>305</v>
      </c>
      <c r="I318" s="14">
        <v>1337628.04</v>
      </c>
      <c r="J318" s="14">
        <v>121389.302</v>
      </c>
      <c r="K318" s="3">
        <v>0</v>
      </c>
      <c r="L318" s="15">
        <v>9790.7218409000016</v>
      </c>
    </row>
    <row r="319" spans="1:12" x14ac:dyDescent="0.25">
      <c r="A319" s="12">
        <v>71578549</v>
      </c>
      <c r="B319" s="12"/>
      <c r="C319" s="12" t="s">
        <v>991</v>
      </c>
      <c r="D319" s="4" t="s">
        <v>992</v>
      </c>
      <c r="E319" s="13">
        <v>6147022</v>
      </c>
      <c r="F319" s="4" t="s">
        <v>993</v>
      </c>
      <c r="G319" s="7">
        <v>11001</v>
      </c>
      <c r="H319" s="12">
        <v>305</v>
      </c>
      <c r="I319" s="14">
        <v>1341289.03</v>
      </c>
      <c r="J319" s="14">
        <v>116277.80600000001</v>
      </c>
      <c r="K319" s="3">
        <v>0</v>
      </c>
      <c r="L319" s="15">
        <v>9861.3403531999993</v>
      </c>
    </row>
    <row r="320" spans="1:12" x14ac:dyDescent="0.25">
      <c r="A320" s="12">
        <v>40038441</v>
      </c>
      <c r="B320" s="12"/>
      <c r="C320" s="12" t="s">
        <v>994</v>
      </c>
      <c r="D320" s="4" t="s">
        <v>995</v>
      </c>
      <c r="E320" s="13">
        <v>3104222985</v>
      </c>
      <c r="F320" s="4" t="s">
        <v>996</v>
      </c>
      <c r="G320" s="7">
        <v>11001</v>
      </c>
      <c r="H320" s="12">
        <v>305</v>
      </c>
      <c r="I320" s="14">
        <v>1343608.31</v>
      </c>
      <c r="J320" s="14">
        <v>197401.66200000004</v>
      </c>
      <c r="K320" s="3">
        <v>0</v>
      </c>
      <c r="L320" s="15">
        <v>9226.963516400001</v>
      </c>
    </row>
    <row r="321" spans="1:12" x14ac:dyDescent="0.25">
      <c r="A321" s="12">
        <v>91236214</v>
      </c>
      <c r="B321" s="12"/>
      <c r="C321" s="12" t="s">
        <v>997</v>
      </c>
      <c r="D321" s="4" t="s">
        <v>998</v>
      </c>
      <c r="E321" s="13">
        <v>3004278316</v>
      </c>
      <c r="F321" s="4" t="s">
        <v>999</v>
      </c>
      <c r="G321" s="7">
        <v>11001</v>
      </c>
      <c r="H321" s="12">
        <v>305</v>
      </c>
      <c r="I321" s="14">
        <v>1344637.72</v>
      </c>
      <c r="J321" s="14">
        <v>76425.743999999992</v>
      </c>
      <c r="K321" s="3">
        <v>0</v>
      </c>
      <c r="L321" s="15">
        <v>10209.1064068</v>
      </c>
    </row>
    <row r="322" spans="1:12" x14ac:dyDescent="0.25">
      <c r="A322" s="12">
        <v>79569483</v>
      </c>
      <c r="B322" s="12"/>
      <c r="C322" s="12" t="s">
        <v>1000</v>
      </c>
      <c r="D322" s="4" t="s">
        <v>1001</v>
      </c>
      <c r="E322" s="13">
        <v>3214673925</v>
      </c>
      <c r="F322" s="4" t="s">
        <v>1002</v>
      </c>
      <c r="G322" s="7">
        <v>11001</v>
      </c>
      <c r="H322" s="12">
        <v>305</v>
      </c>
      <c r="I322" s="14">
        <v>1345173.6</v>
      </c>
      <c r="J322" s="14">
        <v>209802.6</v>
      </c>
      <c r="K322" s="3">
        <v>0</v>
      </c>
      <c r="L322" s="15">
        <v>9139.7365499999996</v>
      </c>
    </row>
    <row r="323" spans="1:12" x14ac:dyDescent="0.25">
      <c r="A323" s="12">
        <v>39783368</v>
      </c>
      <c r="B323" s="12"/>
      <c r="C323" s="12" t="s">
        <v>1003</v>
      </c>
      <c r="D323" s="4" t="s">
        <v>1004</v>
      </c>
      <c r="E323" s="13">
        <v>21033350</v>
      </c>
      <c r="F323" s="4" t="s">
        <v>1005</v>
      </c>
      <c r="G323" s="7">
        <v>11001</v>
      </c>
      <c r="H323" s="12">
        <v>305</v>
      </c>
      <c r="I323" s="14">
        <v>1347123</v>
      </c>
      <c r="J323" s="14">
        <v>149924.6</v>
      </c>
      <c r="K323" s="3">
        <v>0</v>
      </c>
      <c r="L323" s="15">
        <v>9637.4471199999989</v>
      </c>
    </row>
    <row r="324" spans="1:12" x14ac:dyDescent="0.25">
      <c r="A324" s="12">
        <v>92504335</v>
      </c>
      <c r="B324" s="12"/>
      <c r="C324" s="12" t="s">
        <v>1006</v>
      </c>
      <c r="D324" s="4" t="s">
        <v>1007</v>
      </c>
      <c r="E324" s="13">
        <v>3142711719</v>
      </c>
      <c r="F324" s="4" t="s">
        <v>1008</v>
      </c>
      <c r="G324" s="7">
        <v>11001</v>
      </c>
      <c r="H324" s="12">
        <v>305</v>
      </c>
      <c r="I324" s="14">
        <v>1349229.4299999995</v>
      </c>
      <c r="J324" s="14">
        <v>160032.43999999992</v>
      </c>
      <c r="K324" s="3">
        <v>0</v>
      </c>
      <c r="L324" s="15">
        <v>9573.0357694999966</v>
      </c>
    </row>
    <row r="325" spans="1:12" x14ac:dyDescent="0.25">
      <c r="A325" s="12">
        <v>71642918</v>
      </c>
      <c r="B325" s="12"/>
      <c r="C325" s="12" t="s">
        <v>1009</v>
      </c>
      <c r="D325" s="4" t="s">
        <v>1010</v>
      </c>
      <c r="E325" s="13">
        <v>3186031975</v>
      </c>
      <c r="F325" s="4" t="s">
        <v>1011</v>
      </c>
      <c r="G325" s="7">
        <v>11001</v>
      </c>
      <c r="H325" s="12">
        <v>305</v>
      </c>
      <c r="I325" s="14">
        <v>1356300.6499999997</v>
      </c>
      <c r="J325" s="14">
        <v>151124.49999999997</v>
      </c>
      <c r="K325" s="3">
        <v>0</v>
      </c>
      <c r="L325" s="15">
        <v>9701.6680074999967</v>
      </c>
    </row>
    <row r="326" spans="1:12" x14ac:dyDescent="0.25">
      <c r="A326" s="12">
        <v>80177906</v>
      </c>
      <c r="B326" s="12"/>
      <c r="C326" s="12" t="s">
        <v>1012</v>
      </c>
      <c r="D326" s="4" t="s">
        <v>1013</v>
      </c>
      <c r="E326" s="13">
        <v>3102791810</v>
      </c>
      <c r="F326" s="4" t="s">
        <v>1014</v>
      </c>
      <c r="G326" s="7">
        <v>11001</v>
      </c>
      <c r="H326" s="12">
        <v>305</v>
      </c>
      <c r="I326" s="14">
        <v>1357315.1500000001</v>
      </c>
      <c r="J326" s="14">
        <v>271463.03000000003</v>
      </c>
      <c r="K326" s="3">
        <v>0</v>
      </c>
      <c r="L326" s="15">
        <v>8741.109566000001</v>
      </c>
    </row>
    <row r="327" spans="1:12" x14ac:dyDescent="0.25">
      <c r="A327" s="12">
        <v>52323460</v>
      </c>
      <c r="B327" s="12"/>
      <c r="C327" s="12" t="s">
        <v>1015</v>
      </c>
      <c r="D327" s="4" t="s">
        <v>1016</v>
      </c>
      <c r="E327" s="13">
        <v>3006611702</v>
      </c>
      <c r="F327" s="4" t="s">
        <v>1017</v>
      </c>
      <c r="G327" s="7">
        <v>11001</v>
      </c>
      <c r="H327" s="12">
        <v>305</v>
      </c>
      <c r="I327" s="14">
        <v>1359063.59</v>
      </c>
      <c r="J327" s="14">
        <v>106757.92800000003</v>
      </c>
      <c r="K327" s="3">
        <v>0</v>
      </c>
      <c r="L327" s="15">
        <v>10081.060579100002</v>
      </c>
    </row>
    <row r="328" spans="1:12" x14ac:dyDescent="0.25">
      <c r="A328" s="12">
        <v>19341837</v>
      </c>
      <c r="B328" s="12"/>
      <c r="C328" s="12" t="s">
        <v>1018</v>
      </c>
      <c r="D328" s="4" t="s">
        <v>1019</v>
      </c>
      <c r="E328" s="13">
        <v>8014013</v>
      </c>
      <c r="F328" s="4" t="s">
        <v>1020</v>
      </c>
      <c r="G328" s="7">
        <v>11001</v>
      </c>
      <c r="H328" s="12">
        <v>305</v>
      </c>
      <c r="I328" s="14">
        <v>1359797.3000000003</v>
      </c>
      <c r="J328" s="14">
        <v>124685.34400000003</v>
      </c>
      <c r="K328" s="3">
        <v>0</v>
      </c>
      <c r="L328" s="15">
        <v>9942.6512458000034</v>
      </c>
    </row>
    <row r="329" spans="1:12" x14ac:dyDescent="0.25">
      <c r="A329" s="12">
        <v>17160243</v>
      </c>
      <c r="B329" s="12"/>
      <c r="C329" s="12" t="s">
        <v>1021</v>
      </c>
      <c r="D329" s="4" t="s">
        <v>1022</v>
      </c>
      <c r="E329" s="13">
        <v>3202165598</v>
      </c>
      <c r="F329" s="4" t="s">
        <v>1023</v>
      </c>
      <c r="G329" s="7">
        <v>11001</v>
      </c>
      <c r="H329" s="12">
        <v>305</v>
      </c>
      <c r="I329" s="14">
        <v>1368782.6099999999</v>
      </c>
      <c r="J329" s="14">
        <v>98092.859999999957</v>
      </c>
      <c r="K329" s="3">
        <v>0</v>
      </c>
      <c r="L329" s="15">
        <v>10229.052487500001</v>
      </c>
    </row>
    <row r="330" spans="1:12" x14ac:dyDescent="0.25">
      <c r="A330" s="12">
        <v>17185129</v>
      </c>
      <c r="B330" s="12"/>
      <c r="C330" s="12" t="s">
        <v>1024</v>
      </c>
      <c r="D330" s="4" t="s">
        <v>1025</v>
      </c>
      <c r="E330" s="13">
        <v>3864297</v>
      </c>
      <c r="F330" s="4" t="s">
        <v>1026</v>
      </c>
      <c r="G330" s="7">
        <v>11001</v>
      </c>
      <c r="H330" s="12">
        <v>305</v>
      </c>
      <c r="I330" s="14">
        <v>1370168.0000000005</v>
      </c>
      <c r="J330" s="14">
        <v>154113.60000000006</v>
      </c>
      <c r="K330" s="3">
        <v>0</v>
      </c>
      <c r="L330" s="15">
        <v>9789.2379200000032</v>
      </c>
    </row>
    <row r="331" spans="1:12" x14ac:dyDescent="0.25">
      <c r="A331" s="12">
        <v>1018454033</v>
      </c>
      <c r="B331" s="12"/>
      <c r="C331" s="12" t="s">
        <v>1027</v>
      </c>
      <c r="D331" s="4" t="s">
        <v>1028</v>
      </c>
      <c r="E331" s="13">
        <v>32030066372</v>
      </c>
      <c r="F331" s="4" t="s">
        <v>1029</v>
      </c>
      <c r="G331" s="7">
        <v>11001</v>
      </c>
      <c r="H331" s="12">
        <v>305</v>
      </c>
      <c r="I331" s="14">
        <v>1372000</v>
      </c>
      <c r="J331" s="14">
        <v>0.15</v>
      </c>
      <c r="K331" s="3">
        <v>0</v>
      </c>
      <c r="L331" s="15">
        <v>11044.598792500001</v>
      </c>
    </row>
    <row r="332" spans="1:12" x14ac:dyDescent="0.25">
      <c r="A332" s="12">
        <v>79262129</v>
      </c>
      <c r="B332" s="12"/>
      <c r="C332" s="12" t="s">
        <v>1030</v>
      </c>
      <c r="D332" s="4" t="s">
        <v>1031</v>
      </c>
      <c r="E332" s="13">
        <v>3212410053</v>
      </c>
      <c r="F332" s="4" t="s">
        <v>1032</v>
      </c>
      <c r="G332" s="7">
        <v>11001</v>
      </c>
      <c r="H332" s="12">
        <v>305</v>
      </c>
      <c r="I332" s="14">
        <v>1372125.61</v>
      </c>
      <c r="J332" s="14">
        <v>125000.58200000002</v>
      </c>
      <c r="K332" s="3">
        <v>0</v>
      </c>
      <c r="L332" s="15">
        <v>10039.3564754</v>
      </c>
    </row>
    <row r="333" spans="1:12" x14ac:dyDescent="0.25">
      <c r="A333" s="12">
        <v>52116042</v>
      </c>
      <c r="B333" s="12"/>
      <c r="C333" s="12" t="s">
        <v>1033</v>
      </c>
      <c r="D333" s="4" t="s">
        <v>1034</v>
      </c>
      <c r="E333" s="13">
        <v>3218203707</v>
      </c>
      <c r="F333" s="4" t="s">
        <v>1035</v>
      </c>
      <c r="G333" s="7">
        <v>11001</v>
      </c>
      <c r="H333" s="12">
        <v>305</v>
      </c>
      <c r="I333" s="14">
        <v>1374116.5699999998</v>
      </c>
      <c r="J333" s="14">
        <v>65797.467999999993</v>
      </c>
      <c r="K333" s="3">
        <v>0</v>
      </c>
      <c r="L333" s="15">
        <v>10531.968771100001</v>
      </c>
    </row>
    <row r="334" spans="1:12" x14ac:dyDescent="0.25">
      <c r="A334" s="12">
        <v>79050044</v>
      </c>
      <c r="B334" s="12"/>
      <c r="C334" s="12" t="s">
        <v>1036</v>
      </c>
      <c r="D334" s="4" t="s">
        <v>1037</v>
      </c>
      <c r="E334" s="13">
        <v>3014451893</v>
      </c>
      <c r="F334" s="4" t="s">
        <v>1038</v>
      </c>
      <c r="G334" s="7">
        <v>11001</v>
      </c>
      <c r="H334" s="12">
        <v>305</v>
      </c>
      <c r="I334" s="14">
        <v>1376671.6099999999</v>
      </c>
      <c r="J334" s="14">
        <v>53648.511999999995</v>
      </c>
      <c r="K334" s="3">
        <v>0</v>
      </c>
      <c r="L334" s="15">
        <v>10650.335938899998</v>
      </c>
    </row>
    <row r="335" spans="1:12" x14ac:dyDescent="0.25">
      <c r="A335" s="12">
        <v>51822871</v>
      </c>
      <c r="B335" s="12"/>
      <c r="C335" s="12" t="s">
        <v>1039</v>
      </c>
      <c r="D335" s="4" t="s">
        <v>1040</v>
      </c>
      <c r="E335" s="13">
        <v>3106366709</v>
      </c>
      <c r="F335" s="4" t="s">
        <v>1041</v>
      </c>
      <c r="G335" s="7">
        <v>11001</v>
      </c>
      <c r="H335" s="12">
        <v>305</v>
      </c>
      <c r="I335" s="14">
        <v>1377749.4</v>
      </c>
      <c r="J335" s="14">
        <v>120221.4</v>
      </c>
      <c r="K335" s="3">
        <v>0</v>
      </c>
      <c r="L335" s="15">
        <v>10123.100399999999</v>
      </c>
    </row>
    <row r="336" spans="1:12" x14ac:dyDescent="0.25">
      <c r="A336" s="12">
        <v>1363802</v>
      </c>
      <c r="B336" s="12"/>
      <c r="C336" s="12" t="s">
        <v>1042</v>
      </c>
      <c r="D336" s="4" t="s">
        <v>1043</v>
      </c>
      <c r="E336" s="13">
        <v>6195601</v>
      </c>
      <c r="F336" s="4" t="s">
        <v>1044</v>
      </c>
      <c r="G336" s="7">
        <v>11001</v>
      </c>
      <c r="H336" s="12">
        <v>305</v>
      </c>
      <c r="I336" s="14">
        <v>1380605</v>
      </c>
      <c r="J336" s="14">
        <v>152397</v>
      </c>
      <c r="K336" s="3">
        <v>0</v>
      </c>
      <c r="L336" s="15">
        <v>9887.0743999999995</v>
      </c>
    </row>
    <row r="337" spans="1:12" x14ac:dyDescent="0.25">
      <c r="A337" s="12">
        <v>19247704</v>
      </c>
      <c r="B337" s="12"/>
      <c r="C337" s="12" t="s">
        <v>1045</v>
      </c>
      <c r="D337" s="4" t="s">
        <v>1046</v>
      </c>
      <c r="E337" s="13">
        <v>3187158258</v>
      </c>
      <c r="F337" s="4" t="s">
        <v>1047</v>
      </c>
      <c r="G337" s="7">
        <v>11001</v>
      </c>
      <c r="H337" s="12">
        <v>305</v>
      </c>
      <c r="I337" s="14">
        <v>1383672.2700000005</v>
      </c>
      <c r="J337" s="14">
        <v>236213.44600000008</v>
      </c>
      <c r="K337" s="3">
        <v>0</v>
      </c>
      <c r="L337" s="15">
        <v>9237.0435332000052</v>
      </c>
    </row>
    <row r="338" spans="1:12" x14ac:dyDescent="0.25">
      <c r="A338" s="12">
        <v>32772186</v>
      </c>
      <c r="B338" s="12"/>
      <c r="C338" s="12" t="s">
        <v>1048</v>
      </c>
      <c r="D338" s="4" t="s">
        <v>1049</v>
      </c>
      <c r="E338" s="13">
        <v>6014933395</v>
      </c>
      <c r="F338" s="4" t="s">
        <v>1050</v>
      </c>
      <c r="G338" s="7">
        <v>11001</v>
      </c>
      <c r="H338" s="12">
        <v>305</v>
      </c>
      <c r="I338" s="14">
        <v>1384579.9300000002</v>
      </c>
      <c r="J338" s="14">
        <v>195291.152</v>
      </c>
      <c r="K338" s="3">
        <v>0</v>
      </c>
      <c r="L338" s="15">
        <v>9573.7746629000012</v>
      </c>
    </row>
    <row r="339" spans="1:12" x14ac:dyDescent="0.25">
      <c r="A339" s="12">
        <v>79865237</v>
      </c>
      <c r="B339" s="12"/>
      <c r="C339" s="12" t="s">
        <v>1051</v>
      </c>
      <c r="D339" s="4" t="s">
        <v>1052</v>
      </c>
      <c r="E339" s="13">
        <v>3143241809</v>
      </c>
      <c r="F339" s="4" t="s">
        <v>1053</v>
      </c>
      <c r="G339" s="7">
        <v>11001</v>
      </c>
      <c r="H339" s="12">
        <v>305</v>
      </c>
      <c r="I339" s="14">
        <v>1385063.1600000001</v>
      </c>
      <c r="J339" s="14">
        <v>56499.976000000031</v>
      </c>
      <c r="K339" s="3">
        <v>0</v>
      </c>
      <c r="L339" s="15">
        <v>10694.9336312</v>
      </c>
    </row>
    <row r="340" spans="1:12" x14ac:dyDescent="0.25">
      <c r="A340" s="12">
        <v>80066738</v>
      </c>
      <c r="B340" s="12"/>
      <c r="C340" s="12" t="s">
        <v>1054</v>
      </c>
      <c r="D340" s="4" t="s">
        <v>1055</v>
      </c>
      <c r="E340" s="13">
        <v>3103927808</v>
      </c>
      <c r="F340" s="4" t="s">
        <v>1056</v>
      </c>
      <c r="G340" s="7">
        <v>11001</v>
      </c>
      <c r="H340" s="12">
        <v>305</v>
      </c>
      <c r="I340" s="14">
        <v>1388459.8700000003</v>
      </c>
      <c r="J340" s="14">
        <v>233391.97400000005</v>
      </c>
      <c r="K340" s="3">
        <v>0</v>
      </c>
      <c r="L340" s="15">
        <v>9298.296562800002</v>
      </c>
    </row>
    <row r="341" spans="1:12" x14ac:dyDescent="0.25">
      <c r="A341" s="12">
        <v>79327498</v>
      </c>
      <c r="B341" s="12"/>
      <c r="C341" s="12" t="s">
        <v>1057</v>
      </c>
      <c r="D341" s="4" t="s">
        <v>1058</v>
      </c>
      <c r="E341" s="13">
        <v>3229025076</v>
      </c>
      <c r="F341" s="4" t="s">
        <v>1059</v>
      </c>
      <c r="G341" s="7">
        <v>11001</v>
      </c>
      <c r="H341" s="12">
        <v>305</v>
      </c>
      <c r="I341" s="14">
        <v>1388880.22</v>
      </c>
      <c r="J341" s="14">
        <v>172049.592</v>
      </c>
      <c r="K341" s="3">
        <v>0</v>
      </c>
      <c r="L341" s="15">
        <v>9795.4865553999989</v>
      </c>
    </row>
    <row r="342" spans="1:12" x14ac:dyDescent="0.25">
      <c r="A342" s="12">
        <v>41338789</v>
      </c>
      <c r="B342" s="12"/>
      <c r="C342" s="12" t="s">
        <v>1060</v>
      </c>
      <c r="D342" s="4" t="s">
        <v>1061</v>
      </c>
      <c r="E342" s="13">
        <v>3153403437</v>
      </c>
      <c r="F342" s="4" t="s">
        <v>1062</v>
      </c>
      <c r="G342" s="7" t="s">
        <v>1063</v>
      </c>
      <c r="H342" s="12">
        <v>305</v>
      </c>
      <c r="I342" s="14">
        <v>1390152.2000000002</v>
      </c>
      <c r="J342" s="14">
        <v>114443.54800000004</v>
      </c>
      <c r="K342" s="3">
        <v>0</v>
      </c>
      <c r="L342" s="15">
        <v>10269.454648600004</v>
      </c>
    </row>
    <row r="343" spans="1:12" x14ac:dyDescent="0.25">
      <c r="A343" s="12">
        <v>20254057</v>
      </c>
      <c r="B343" s="12"/>
      <c r="C343" s="12" t="s">
        <v>1064</v>
      </c>
      <c r="D343" s="4" t="s">
        <v>1065</v>
      </c>
      <c r="E343" s="13">
        <v>6144354</v>
      </c>
      <c r="F343" s="4" t="s">
        <v>1066</v>
      </c>
      <c r="G343" s="7">
        <v>11001</v>
      </c>
      <c r="H343" s="12">
        <v>305</v>
      </c>
      <c r="I343" s="14">
        <v>1391851.32</v>
      </c>
      <c r="J343" s="14">
        <v>117293.83200000005</v>
      </c>
      <c r="K343" s="3">
        <v>0</v>
      </c>
      <c r="L343" s="15">
        <v>10260.187778399999</v>
      </c>
    </row>
    <row r="344" spans="1:12" x14ac:dyDescent="0.25">
      <c r="A344" s="12">
        <v>93452645</v>
      </c>
      <c r="B344" s="12"/>
      <c r="C344" s="12" t="s">
        <v>1067</v>
      </c>
      <c r="D344" s="4" t="s">
        <v>1068</v>
      </c>
      <c r="E344" s="13">
        <v>3174044388</v>
      </c>
      <c r="F344" s="4" t="s">
        <v>1069</v>
      </c>
      <c r="G344" s="7">
        <v>11001</v>
      </c>
      <c r="H344" s="12">
        <v>305</v>
      </c>
      <c r="I344" s="14">
        <v>1393094.0000000005</v>
      </c>
      <c r="J344" s="14">
        <v>135978.80000000008</v>
      </c>
      <c r="K344" s="3">
        <v>0</v>
      </c>
      <c r="L344" s="15">
        <v>10119.777360000004</v>
      </c>
    </row>
    <row r="345" spans="1:12" x14ac:dyDescent="0.25">
      <c r="A345" s="12">
        <v>2938771</v>
      </c>
      <c r="B345" s="12"/>
      <c r="C345" s="12" t="s">
        <v>1070</v>
      </c>
      <c r="D345" s="4" t="s">
        <v>472</v>
      </c>
      <c r="E345" s="13">
        <v>3005696903</v>
      </c>
      <c r="F345" s="4" t="s">
        <v>473</v>
      </c>
      <c r="G345" s="7">
        <v>11001</v>
      </c>
      <c r="H345" s="12">
        <v>305</v>
      </c>
      <c r="I345" s="14">
        <v>1393572.2</v>
      </c>
      <c r="J345" s="14">
        <v>98834.44</v>
      </c>
      <c r="K345" s="3">
        <v>0</v>
      </c>
      <c r="L345" s="15">
        <v>10422.638967999999</v>
      </c>
    </row>
    <row r="346" spans="1:12" x14ac:dyDescent="0.25">
      <c r="A346" s="12">
        <v>41696345</v>
      </c>
      <c r="B346" s="12"/>
      <c r="C346" s="12" t="s">
        <v>1071</v>
      </c>
      <c r="D346" s="4" t="s">
        <v>1072</v>
      </c>
      <c r="E346" s="13">
        <v>6135470</v>
      </c>
      <c r="F346" s="4" t="s">
        <v>1073</v>
      </c>
      <c r="G346" s="7">
        <v>11001</v>
      </c>
      <c r="H346" s="12">
        <v>305</v>
      </c>
      <c r="I346" s="14">
        <v>1393680.4</v>
      </c>
      <c r="J346" s="14">
        <v>25962.97</v>
      </c>
      <c r="K346" s="3">
        <v>0</v>
      </c>
      <c r="L346" s="15">
        <v>11010.1253115</v>
      </c>
    </row>
    <row r="347" spans="1:12" x14ac:dyDescent="0.25">
      <c r="A347" s="12">
        <v>1144148532</v>
      </c>
      <c r="B347" s="12"/>
      <c r="C347" s="12" t="s">
        <v>1074</v>
      </c>
      <c r="D347" s="4" t="s">
        <v>1075</v>
      </c>
      <c r="E347" s="13">
        <v>3207212402</v>
      </c>
      <c r="F347" s="4" t="s">
        <v>1076</v>
      </c>
      <c r="G347" s="7" t="s">
        <v>1077</v>
      </c>
      <c r="H347" s="12">
        <v>305</v>
      </c>
      <c r="I347" s="14">
        <v>1394183.33</v>
      </c>
      <c r="J347" s="14">
        <v>65851.791999999987</v>
      </c>
      <c r="K347" s="3">
        <v>0</v>
      </c>
      <c r="L347" s="15">
        <v>10693.0688809</v>
      </c>
    </row>
    <row r="348" spans="1:12" x14ac:dyDescent="0.25">
      <c r="A348" s="12">
        <v>7179188</v>
      </c>
      <c r="B348" s="12"/>
      <c r="C348" s="12" t="s">
        <v>1078</v>
      </c>
      <c r="D348" s="4" t="s">
        <v>1079</v>
      </c>
      <c r="E348" s="13">
        <v>3108546398</v>
      </c>
      <c r="F348" s="4" t="s">
        <v>1080</v>
      </c>
      <c r="G348" s="7">
        <v>11001</v>
      </c>
      <c r="H348" s="12">
        <v>305</v>
      </c>
      <c r="I348" s="14">
        <v>1397433.7599999998</v>
      </c>
      <c r="J348" s="14">
        <v>57389.297999999973</v>
      </c>
      <c r="K348" s="3">
        <v>0</v>
      </c>
      <c r="L348" s="15">
        <v>10787.357919099999</v>
      </c>
    </row>
    <row r="349" spans="1:12" x14ac:dyDescent="0.25">
      <c r="A349" s="12">
        <v>74381557</v>
      </c>
      <c r="B349" s="12"/>
      <c r="C349" s="12" t="s">
        <v>1081</v>
      </c>
      <c r="D349" s="4" t="s">
        <v>1082</v>
      </c>
      <c r="E349" s="13">
        <v>3166257116</v>
      </c>
      <c r="F349" s="4" t="s">
        <v>1083</v>
      </c>
      <c r="G349" s="7" t="s">
        <v>422</v>
      </c>
      <c r="H349" s="12">
        <v>305</v>
      </c>
      <c r="I349" s="14">
        <v>1398908.6700000002</v>
      </c>
      <c r="J349" s="14">
        <v>156037.19200000001</v>
      </c>
      <c r="K349" s="3">
        <v>0</v>
      </c>
      <c r="L349" s="15">
        <v>10005.115397900001</v>
      </c>
    </row>
    <row r="350" spans="1:12" x14ac:dyDescent="0.25">
      <c r="A350" s="12">
        <v>28427998</v>
      </c>
      <c r="B350" s="12"/>
      <c r="C350" s="12" t="s">
        <v>1084</v>
      </c>
      <c r="D350" s="4" t="s">
        <v>1085</v>
      </c>
      <c r="E350" s="13">
        <v>3019801159</v>
      </c>
      <c r="F350" s="4" t="s">
        <v>1086</v>
      </c>
      <c r="G350" s="7" t="s">
        <v>333</v>
      </c>
      <c r="H350" s="12">
        <v>305</v>
      </c>
      <c r="I350" s="14">
        <v>1400636</v>
      </c>
      <c r="J350" s="14">
        <v>171038.2</v>
      </c>
      <c r="K350" s="3">
        <v>0</v>
      </c>
      <c r="L350" s="15">
        <v>9898.2622900000006</v>
      </c>
    </row>
    <row r="351" spans="1:12" x14ac:dyDescent="0.25">
      <c r="A351" s="12">
        <v>80098069</v>
      </c>
      <c r="B351" s="12"/>
      <c r="C351" s="12" t="s">
        <v>1087</v>
      </c>
      <c r="D351" s="4" t="s">
        <v>1088</v>
      </c>
      <c r="E351" s="13">
        <v>3142443790</v>
      </c>
      <c r="F351" s="4" t="s">
        <v>1089</v>
      </c>
      <c r="G351" s="7" t="s">
        <v>367</v>
      </c>
      <c r="H351" s="12">
        <v>305</v>
      </c>
      <c r="I351" s="14">
        <v>1400721.87</v>
      </c>
      <c r="J351" s="14">
        <v>15611.673999999999</v>
      </c>
      <c r="K351" s="3">
        <v>0</v>
      </c>
      <c r="L351" s="15">
        <v>11150.137077800002</v>
      </c>
    </row>
    <row r="352" spans="1:12" x14ac:dyDescent="0.25">
      <c r="A352" s="12">
        <v>4192325</v>
      </c>
      <c r="B352" s="12"/>
      <c r="C352" s="12" t="s">
        <v>1090</v>
      </c>
      <c r="D352" s="4" t="s">
        <v>1091</v>
      </c>
      <c r="E352" s="13">
        <v>3114672260</v>
      </c>
      <c r="F352" s="4" t="s">
        <v>1092</v>
      </c>
      <c r="G352" s="7">
        <v>11001</v>
      </c>
      <c r="H352" s="12">
        <v>305</v>
      </c>
      <c r="I352" s="14">
        <v>1401521.28</v>
      </c>
      <c r="J352" s="14">
        <v>123484.25600000001</v>
      </c>
      <c r="K352" s="3">
        <v>0</v>
      </c>
      <c r="L352" s="15">
        <v>10288.1980432</v>
      </c>
    </row>
    <row r="353" spans="1:12" x14ac:dyDescent="0.25">
      <c r="A353" s="12">
        <v>17074773</v>
      </c>
      <c r="B353" s="12"/>
      <c r="C353" s="12" t="s">
        <v>1093</v>
      </c>
      <c r="D353" s="4" t="s">
        <v>1094</v>
      </c>
      <c r="E353" s="13">
        <v>3176673450</v>
      </c>
      <c r="F353" s="4" t="s">
        <v>1095</v>
      </c>
      <c r="G353" s="7">
        <v>11001</v>
      </c>
      <c r="H353" s="12">
        <v>305</v>
      </c>
      <c r="I353" s="14">
        <v>1403010.5</v>
      </c>
      <c r="J353" s="14">
        <v>102648.15</v>
      </c>
      <c r="K353" s="3">
        <v>0</v>
      </c>
      <c r="L353" s="15">
        <v>10467.916917500002</v>
      </c>
    </row>
    <row r="354" spans="1:12" x14ac:dyDescent="0.25">
      <c r="A354" s="12">
        <v>52343287</v>
      </c>
      <c r="B354" s="12"/>
      <c r="C354" s="12" t="s">
        <v>1096</v>
      </c>
      <c r="D354" s="4" t="s">
        <v>1097</v>
      </c>
      <c r="E354" s="13">
        <v>3219034563</v>
      </c>
      <c r="F354" s="4" t="s">
        <v>1098</v>
      </c>
      <c r="G354" s="7" t="s">
        <v>1099</v>
      </c>
      <c r="H354" s="12">
        <v>305</v>
      </c>
      <c r="I354" s="14">
        <v>1403022.75</v>
      </c>
      <c r="J354" s="14">
        <v>94445.72600000001</v>
      </c>
      <c r="K354" s="3">
        <v>0</v>
      </c>
      <c r="L354" s="15">
        <v>10534.0450432</v>
      </c>
    </row>
    <row r="355" spans="1:12" x14ac:dyDescent="0.25">
      <c r="A355" s="12">
        <v>52852013</v>
      </c>
      <c r="B355" s="12"/>
      <c r="C355" s="12" t="s">
        <v>1100</v>
      </c>
      <c r="D355" s="4" t="s">
        <v>1101</v>
      </c>
      <c r="E355" s="13">
        <v>3214916970</v>
      </c>
      <c r="F355" s="4" t="s">
        <v>1102</v>
      </c>
      <c r="G355" s="7">
        <v>11001</v>
      </c>
      <c r="H355" s="12">
        <v>305</v>
      </c>
      <c r="I355" s="14">
        <v>1407767.0600000003</v>
      </c>
      <c r="J355" s="14">
        <v>103920.90000000002</v>
      </c>
      <c r="K355" s="3">
        <v>0</v>
      </c>
      <c r="L355" s="15">
        <v>10495.961588000002</v>
      </c>
    </row>
    <row r="356" spans="1:12" x14ac:dyDescent="0.25">
      <c r="A356" s="12">
        <v>7218980</v>
      </c>
      <c r="B356" s="12"/>
      <c r="C356" s="12" t="s">
        <v>1103</v>
      </c>
      <c r="D356" s="4" t="s">
        <v>1104</v>
      </c>
      <c r="E356" s="13">
        <v>3112075251</v>
      </c>
      <c r="F356" s="4" t="s">
        <v>1105</v>
      </c>
      <c r="G356" s="7">
        <v>11001</v>
      </c>
      <c r="H356" s="12">
        <v>305</v>
      </c>
      <c r="I356" s="14">
        <v>1410367.02</v>
      </c>
      <c r="J356" s="14">
        <v>132648.86400000003</v>
      </c>
      <c r="K356" s="3">
        <v>0</v>
      </c>
      <c r="L356" s="15">
        <v>10285.6311558</v>
      </c>
    </row>
    <row r="357" spans="1:12" x14ac:dyDescent="0.25">
      <c r="A357" s="12">
        <v>79685560</v>
      </c>
      <c r="B357" s="12"/>
      <c r="C357" s="12" t="s">
        <v>1106</v>
      </c>
      <c r="D357" s="4" t="s">
        <v>1107</v>
      </c>
      <c r="E357" s="13">
        <v>3108667744</v>
      </c>
      <c r="F357" s="4" t="s">
        <v>1108</v>
      </c>
      <c r="G357" s="7">
        <v>11001</v>
      </c>
      <c r="H357" s="12">
        <v>305</v>
      </c>
      <c r="I357" s="14">
        <v>1411732.9700000002</v>
      </c>
      <c r="J357" s="14">
        <v>154106.08600000004</v>
      </c>
      <c r="K357" s="3">
        <v>0</v>
      </c>
      <c r="L357" s="15">
        <v>10123.896416200001</v>
      </c>
    </row>
    <row r="358" spans="1:12" x14ac:dyDescent="0.25">
      <c r="A358" s="12">
        <v>3063253</v>
      </c>
      <c r="B358" s="12"/>
      <c r="C358" s="12" t="s">
        <v>1109</v>
      </c>
      <c r="D358" s="4" t="s">
        <v>1110</v>
      </c>
      <c r="E358" s="13">
        <v>3106199347</v>
      </c>
      <c r="F358" s="4" t="s">
        <v>1111</v>
      </c>
      <c r="G358" s="7">
        <v>11001</v>
      </c>
      <c r="H358" s="12">
        <v>305</v>
      </c>
      <c r="I358" s="14">
        <v>1416619.75</v>
      </c>
      <c r="J358" s="14">
        <v>55722.774000000005</v>
      </c>
      <c r="K358" s="3">
        <v>0</v>
      </c>
      <c r="L358" s="15">
        <v>10955.2206568</v>
      </c>
    </row>
    <row r="359" spans="1:12" x14ac:dyDescent="0.25">
      <c r="A359" s="12">
        <v>19214514</v>
      </c>
      <c r="B359" s="12"/>
      <c r="C359" s="12" t="s">
        <v>1112</v>
      </c>
      <c r="D359" s="4" t="s">
        <v>1113</v>
      </c>
      <c r="E359" s="13">
        <v>7911332</v>
      </c>
      <c r="F359" s="4" t="s">
        <v>1114</v>
      </c>
      <c r="G359" s="7">
        <v>11001</v>
      </c>
      <c r="H359" s="12">
        <v>305</v>
      </c>
      <c r="I359" s="14">
        <v>1418543.23</v>
      </c>
      <c r="J359" s="14">
        <v>142740.08800000002</v>
      </c>
      <c r="K359" s="3">
        <v>0</v>
      </c>
      <c r="L359" s="15">
        <v>10270.215293100002</v>
      </c>
    </row>
    <row r="360" spans="1:12" x14ac:dyDescent="0.25">
      <c r="A360" s="12">
        <v>79663623</v>
      </c>
      <c r="B360" s="12"/>
      <c r="C360" s="12" t="s">
        <v>1115</v>
      </c>
      <c r="D360" s="4" t="s">
        <v>1116</v>
      </c>
      <c r="E360" s="13">
        <v>3108746602</v>
      </c>
      <c r="F360" s="4" t="s">
        <v>1117</v>
      </c>
      <c r="G360" s="7">
        <v>11001</v>
      </c>
      <c r="H360" s="12">
        <v>305</v>
      </c>
      <c r="I360" s="14">
        <v>1421075.4699999995</v>
      </c>
      <c r="J360" s="14">
        <v>209332.06599999993</v>
      </c>
      <c r="K360" s="3">
        <v>0</v>
      </c>
      <c r="L360" s="15">
        <v>9754.5344021999972</v>
      </c>
    </row>
    <row r="361" spans="1:12" x14ac:dyDescent="0.25">
      <c r="A361" s="12">
        <v>74185889</v>
      </c>
      <c r="B361" s="12"/>
      <c r="C361" s="12" t="s">
        <v>1118</v>
      </c>
      <c r="D361" s="4" t="s">
        <v>1119</v>
      </c>
      <c r="E361" s="13">
        <v>3175695845</v>
      </c>
      <c r="F361" s="4" t="s">
        <v>1120</v>
      </c>
      <c r="G361" s="7">
        <v>11001</v>
      </c>
      <c r="H361" s="12">
        <v>305</v>
      </c>
      <c r="I361" s="14">
        <v>1422673.0900000003</v>
      </c>
      <c r="J361" s="14">
        <v>96612.090000000026</v>
      </c>
      <c r="K361" s="3">
        <v>0</v>
      </c>
      <c r="L361" s="15">
        <v>10674.791050000002</v>
      </c>
    </row>
    <row r="362" spans="1:12" x14ac:dyDescent="0.25">
      <c r="A362" s="12">
        <v>900336188</v>
      </c>
      <c r="B362" s="12">
        <v>3</v>
      </c>
      <c r="C362" s="12" t="s">
        <v>1121</v>
      </c>
      <c r="D362" s="4" t="s">
        <v>1122</v>
      </c>
      <c r="E362" s="13">
        <v>3164178802</v>
      </c>
      <c r="F362" s="4" t="s">
        <v>1123</v>
      </c>
      <c r="G362" s="7">
        <v>11001</v>
      </c>
      <c r="H362" s="12">
        <v>305</v>
      </c>
      <c r="I362" s="14">
        <v>1423921.86</v>
      </c>
      <c r="J362" s="14">
        <v>0.15</v>
      </c>
      <c r="K362" s="3">
        <v>0</v>
      </c>
      <c r="L362" s="15">
        <v>11462.569765500002</v>
      </c>
    </row>
    <row r="363" spans="1:12" x14ac:dyDescent="0.25">
      <c r="A363" s="12">
        <v>93381049</v>
      </c>
      <c r="B363" s="12"/>
      <c r="C363" s="12" t="s">
        <v>1124</v>
      </c>
      <c r="D363" s="4" t="s">
        <v>1125</v>
      </c>
      <c r="E363" s="13">
        <v>3024489856</v>
      </c>
      <c r="F363" s="4" t="s">
        <v>1126</v>
      </c>
      <c r="G363" s="7">
        <v>11001</v>
      </c>
      <c r="H363" s="12">
        <v>305</v>
      </c>
      <c r="I363" s="14">
        <v>1424697.8200000003</v>
      </c>
      <c r="J363" s="14">
        <v>160872.67200000005</v>
      </c>
      <c r="K363" s="3">
        <v>0</v>
      </c>
      <c r="L363" s="15">
        <v>10173.792441400004</v>
      </c>
    </row>
    <row r="364" spans="1:12" x14ac:dyDescent="0.25">
      <c r="A364" s="12">
        <v>79957384</v>
      </c>
      <c r="B364" s="12"/>
      <c r="C364" s="12" t="s">
        <v>1127</v>
      </c>
      <c r="D364" s="4" t="s">
        <v>1128</v>
      </c>
      <c r="E364" s="13">
        <v>3134220086</v>
      </c>
      <c r="F364" s="4" t="s">
        <v>1129</v>
      </c>
      <c r="G364" s="7">
        <v>11001</v>
      </c>
      <c r="H364" s="12">
        <v>305</v>
      </c>
      <c r="I364" s="14">
        <v>1427782.0300000003</v>
      </c>
      <c r="J364" s="14">
        <v>81255.230000000025</v>
      </c>
      <c r="K364" s="3">
        <v>0</v>
      </c>
      <c r="L364" s="15">
        <v>10839.540740000004</v>
      </c>
    </row>
    <row r="365" spans="1:12" x14ac:dyDescent="0.25">
      <c r="A365" s="12">
        <v>1006794780</v>
      </c>
      <c r="B365" s="12"/>
      <c r="C365" s="12" t="s">
        <v>1130</v>
      </c>
      <c r="D365" s="4" t="s">
        <v>1131</v>
      </c>
      <c r="E365" s="13">
        <v>3184066281</v>
      </c>
      <c r="F365" s="4" t="s">
        <v>1132</v>
      </c>
      <c r="G365" s="7" t="s">
        <v>350</v>
      </c>
      <c r="H365" s="12">
        <v>305</v>
      </c>
      <c r="I365" s="14">
        <v>1432199</v>
      </c>
      <c r="J365" s="14">
        <v>112439.8</v>
      </c>
      <c r="K365" s="3">
        <v>0</v>
      </c>
      <c r="L365" s="15">
        <v>10624.061559999998</v>
      </c>
    </row>
    <row r="366" spans="1:12" x14ac:dyDescent="0.25">
      <c r="A366" s="12">
        <v>79435054</v>
      </c>
      <c r="B366" s="12"/>
      <c r="C366" s="12" t="s">
        <v>1133</v>
      </c>
      <c r="D366" s="4" t="s">
        <v>1134</v>
      </c>
      <c r="E366" s="13">
        <v>3124087512</v>
      </c>
      <c r="F366" s="4" t="s">
        <v>1135</v>
      </c>
      <c r="G366" s="7">
        <v>11001</v>
      </c>
      <c r="H366" s="12">
        <v>305</v>
      </c>
      <c r="I366" s="14">
        <v>1433948.3399999999</v>
      </c>
      <c r="J366" s="14">
        <v>171869.66799999998</v>
      </c>
      <c r="K366" s="3">
        <v>0</v>
      </c>
      <c r="L366" s="15">
        <v>10159.7333096</v>
      </c>
    </row>
    <row r="367" spans="1:12" x14ac:dyDescent="0.25">
      <c r="A367" s="12">
        <v>72311271</v>
      </c>
      <c r="B367" s="12"/>
      <c r="C367" s="12" t="s">
        <v>1136</v>
      </c>
      <c r="D367" s="4" t="s">
        <v>1137</v>
      </c>
      <c r="E367" s="13">
        <v>3135856556</v>
      </c>
      <c r="F367" s="4" t="s">
        <v>1138</v>
      </c>
      <c r="G367" s="7" t="s">
        <v>403</v>
      </c>
      <c r="H367" s="12">
        <v>305</v>
      </c>
      <c r="I367" s="14">
        <v>1434068.2499999995</v>
      </c>
      <c r="J367" s="14">
        <v>168371.46599999993</v>
      </c>
      <c r="K367" s="3">
        <v>0</v>
      </c>
      <c r="L367" s="15">
        <v>10188.859111199996</v>
      </c>
    </row>
    <row r="368" spans="1:12" x14ac:dyDescent="0.25">
      <c r="A368" s="12">
        <v>40034257</v>
      </c>
      <c r="B368" s="12"/>
      <c r="C368" s="12" t="s">
        <v>1139</v>
      </c>
      <c r="D368" s="4" t="s">
        <v>1140</v>
      </c>
      <c r="E368" s="13">
        <v>3204956685</v>
      </c>
      <c r="F368" s="4" t="s">
        <v>1141</v>
      </c>
      <c r="G368" s="7" t="s">
        <v>1142</v>
      </c>
      <c r="H368" s="12">
        <v>305</v>
      </c>
      <c r="I368" s="14">
        <v>1436827.4699999997</v>
      </c>
      <c r="J368" s="14">
        <v>28111.088</v>
      </c>
      <c r="K368" s="3">
        <v>0</v>
      </c>
      <c r="L368" s="15">
        <v>11340.166875099998</v>
      </c>
    </row>
    <row r="369" spans="1:12" x14ac:dyDescent="0.25">
      <c r="A369" s="12">
        <v>17041061</v>
      </c>
      <c r="B369" s="12"/>
      <c r="C369" s="12" t="s">
        <v>1143</v>
      </c>
      <c r="D369" s="4" t="s">
        <v>1144</v>
      </c>
      <c r="E369" s="13">
        <v>3138021156</v>
      </c>
      <c r="F369" s="4" t="s">
        <v>1145</v>
      </c>
      <c r="G369" s="7">
        <v>11001</v>
      </c>
      <c r="H369" s="12">
        <v>305</v>
      </c>
      <c r="I369" s="14">
        <v>1438876.36</v>
      </c>
      <c r="J369" s="14">
        <v>51761.825999999994</v>
      </c>
      <c r="K369" s="3">
        <v>0</v>
      </c>
      <c r="L369" s="15">
        <v>11166.271998700002</v>
      </c>
    </row>
    <row r="370" spans="1:12" x14ac:dyDescent="0.25">
      <c r="A370" s="12">
        <v>80400315</v>
      </c>
      <c r="B370" s="12"/>
      <c r="C370" s="12" t="s">
        <v>1146</v>
      </c>
      <c r="D370" s="4" t="s">
        <v>1147</v>
      </c>
      <c r="E370" s="13">
        <v>8851815</v>
      </c>
      <c r="F370" s="4" t="s">
        <v>1148</v>
      </c>
      <c r="G370" s="7" t="s">
        <v>144</v>
      </c>
      <c r="H370" s="12">
        <v>305</v>
      </c>
      <c r="I370" s="14">
        <v>1439427.8800000004</v>
      </c>
      <c r="J370" s="14">
        <v>155022.04800000004</v>
      </c>
      <c r="K370" s="3">
        <v>0</v>
      </c>
      <c r="L370" s="15">
        <v>10339.466947600004</v>
      </c>
    </row>
    <row r="371" spans="1:12" x14ac:dyDescent="0.25">
      <c r="A371" s="12">
        <v>79239984</v>
      </c>
      <c r="B371" s="12"/>
      <c r="C371" s="12" t="s">
        <v>1149</v>
      </c>
      <c r="D371" s="4" t="s">
        <v>1150</v>
      </c>
      <c r="E371" s="13">
        <v>6431250</v>
      </c>
      <c r="F371" s="4" t="s">
        <v>1151</v>
      </c>
      <c r="G371" s="7">
        <v>11001</v>
      </c>
      <c r="H371" s="12">
        <v>305</v>
      </c>
      <c r="I371" s="14">
        <v>1441116.4000000001</v>
      </c>
      <c r="J371" s="14">
        <v>126388.49000000003</v>
      </c>
      <c r="K371" s="3">
        <v>0</v>
      </c>
      <c r="L371" s="15">
        <v>10583.559675500001</v>
      </c>
    </row>
    <row r="372" spans="1:12" x14ac:dyDescent="0.25">
      <c r="A372" s="12">
        <v>1053767819</v>
      </c>
      <c r="B372" s="12"/>
      <c r="C372" s="12" t="s">
        <v>1152</v>
      </c>
      <c r="D372" s="4" t="s">
        <v>1153</v>
      </c>
      <c r="E372" s="13">
        <v>3137869156</v>
      </c>
      <c r="F372" s="4" t="s">
        <v>1154</v>
      </c>
      <c r="G372" s="7">
        <v>11001</v>
      </c>
      <c r="H372" s="12">
        <v>305</v>
      </c>
      <c r="I372" s="14">
        <v>1442967.94</v>
      </c>
      <c r="J372" s="14">
        <v>181613.58800000002</v>
      </c>
      <c r="K372" s="3">
        <v>0</v>
      </c>
      <c r="L372" s="15">
        <v>10153.902533600001</v>
      </c>
    </row>
    <row r="373" spans="1:12" x14ac:dyDescent="0.25">
      <c r="A373" s="12">
        <v>1069712894</v>
      </c>
      <c r="B373" s="12"/>
      <c r="C373" s="12" t="s">
        <v>1155</v>
      </c>
      <c r="D373" s="4" t="s">
        <v>1156</v>
      </c>
      <c r="E373" s="13">
        <v>3144134014</v>
      </c>
      <c r="F373" s="4" t="s">
        <v>1157</v>
      </c>
      <c r="G373" s="7">
        <v>11001</v>
      </c>
      <c r="H373" s="12">
        <v>305</v>
      </c>
      <c r="I373" s="14">
        <v>1443097</v>
      </c>
      <c r="J373" s="14">
        <v>89869.799999999988</v>
      </c>
      <c r="K373" s="3">
        <v>0</v>
      </c>
      <c r="L373" s="15">
        <v>10893.478959999999</v>
      </c>
    </row>
    <row r="374" spans="1:12" x14ac:dyDescent="0.25">
      <c r="A374" s="12">
        <v>5824073</v>
      </c>
      <c r="B374" s="12"/>
      <c r="C374" s="12" t="s">
        <v>1158</v>
      </c>
      <c r="D374" s="4" t="s">
        <v>1159</v>
      </c>
      <c r="E374" s="13">
        <v>3144730432</v>
      </c>
      <c r="F374" s="4" t="s">
        <v>1160</v>
      </c>
      <c r="G374" s="7">
        <v>11001</v>
      </c>
      <c r="H374" s="12">
        <v>305</v>
      </c>
      <c r="I374" s="14">
        <v>1443130.01</v>
      </c>
      <c r="J374" s="14">
        <v>163926.00199999998</v>
      </c>
      <c r="K374" s="3">
        <v>0</v>
      </c>
      <c r="L374" s="15">
        <v>10297.592264399998</v>
      </c>
    </row>
    <row r="375" spans="1:12" x14ac:dyDescent="0.25">
      <c r="A375" s="12">
        <v>79754286</v>
      </c>
      <c r="B375" s="12"/>
      <c r="C375" s="12" t="s">
        <v>1161</v>
      </c>
      <c r="D375" s="4" t="s">
        <v>1162</v>
      </c>
      <c r="E375" s="13">
        <v>4598296</v>
      </c>
      <c r="F375" s="4" t="s">
        <v>1163</v>
      </c>
      <c r="G375" s="7">
        <v>11001</v>
      </c>
      <c r="H375" s="12">
        <v>305</v>
      </c>
      <c r="I375" s="14">
        <v>1444071.8399999999</v>
      </c>
      <c r="J375" s="14">
        <v>187054.36800000002</v>
      </c>
      <c r="K375" s="3">
        <v>0</v>
      </c>
      <c r="L375" s="15">
        <v>10118.990649599999</v>
      </c>
    </row>
    <row r="376" spans="1:12" x14ac:dyDescent="0.25">
      <c r="A376" s="12">
        <v>39684818</v>
      </c>
      <c r="B376" s="12"/>
      <c r="C376" s="12" t="s">
        <v>1164</v>
      </c>
      <c r="D376" s="4" t="s">
        <v>1165</v>
      </c>
      <c r="E376" s="13">
        <v>3003257082</v>
      </c>
      <c r="F376" s="4" t="s">
        <v>1166</v>
      </c>
      <c r="G376" s="7">
        <v>11001</v>
      </c>
      <c r="H376" s="12">
        <v>305</v>
      </c>
      <c r="I376" s="14">
        <v>1445804.8800000001</v>
      </c>
      <c r="J376" s="14">
        <v>139220.97600000002</v>
      </c>
      <c r="K376" s="3">
        <v>0</v>
      </c>
      <c r="L376" s="15">
        <v>10518.000427200002</v>
      </c>
    </row>
    <row r="377" spans="1:12" x14ac:dyDescent="0.25">
      <c r="A377" s="12">
        <v>79263709</v>
      </c>
      <c r="B377" s="12"/>
      <c r="C377" s="12" t="s">
        <v>1167</v>
      </c>
      <c r="D377" s="4" t="s">
        <v>1168</v>
      </c>
      <c r="E377" s="13">
        <v>3114747952</v>
      </c>
      <c r="F377" s="4" t="s">
        <v>1169</v>
      </c>
      <c r="G377" s="7">
        <v>11001</v>
      </c>
      <c r="H377" s="12">
        <v>305</v>
      </c>
      <c r="I377" s="14">
        <v>1446783.25</v>
      </c>
      <c r="J377" s="14">
        <v>158976.45000000001</v>
      </c>
      <c r="K377" s="3">
        <v>0</v>
      </c>
      <c r="L377" s="15">
        <v>10366.84474</v>
      </c>
    </row>
    <row r="378" spans="1:12" x14ac:dyDescent="0.25">
      <c r="A378" s="12">
        <v>16610008</v>
      </c>
      <c r="B378" s="12"/>
      <c r="C378" s="12" t="s">
        <v>1170</v>
      </c>
      <c r="D378" s="4" t="s">
        <v>1171</v>
      </c>
      <c r="E378" s="13">
        <v>8145949</v>
      </c>
      <c r="F378" s="4" t="s">
        <v>1172</v>
      </c>
      <c r="G378" s="7">
        <v>11001</v>
      </c>
      <c r="H378" s="12">
        <v>305</v>
      </c>
      <c r="I378" s="14">
        <v>1448241.06</v>
      </c>
      <c r="J378" s="14">
        <v>142778.79999999999</v>
      </c>
      <c r="K378" s="3">
        <v>0</v>
      </c>
      <c r="L378" s="15">
        <v>10508.971192999999</v>
      </c>
    </row>
    <row r="379" spans="1:12" x14ac:dyDescent="0.25">
      <c r="A379" s="12">
        <v>41617783</v>
      </c>
      <c r="B379" s="12"/>
      <c r="C379" s="12" t="s">
        <v>1173</v>
      </c>
      <c r="D379" s="4" t="s">
        <v>1174</v>
      </c>
      <c r="E379" s="13">
        <v>3153476492</v>
      </c>
      <c r="F379" s="4" t="s">
        <v>1175</v>
      </c>
      <c r="G379" s="7">
        <v>11001</v>
      </c>
      <c r="H379" s="12">
        <v>305</v>
      </c>
      <c r="I379" s="14">
        <v>1449517.5100000002</v>
      </c>
      <c r="J379" s="14">
        <v>106443.67200000004</v>
      </c>
      <c r="K379" s="3">
        <v>0</v>
      </c>
      <c r="L379" s="15">
        <v>10811.744395900001</v>
      </c>
    </row>
    <row r="380" spans="1:12" x14ac:dyDescent="0.25">
      <c r="A380" s="12">
        <v>35469663</v>
      </c>
      <c r="B380" s="12"/>
      <c r="C380" s="12" t="s">
        <v>1176</v>
      </c>
      <c r="D380" s="4" t="s">
        <v>1177</v>
      </c>
      <c r="E380" s="13">
        <v>2538634</v>
      </c>
      <c r="F380" s="4" t="s">
        <v>1178</v>
      </c>
      <c r="G380" s="7">
        <v>11001</v>
      </c>
      <c r="H380" s="12">
        <v>305</v>
      </c>
      <c r="I380" s="14">
        <v>1451286.11</v>
      </c>
      <c r="J380" s="14">
        <v>48499.744000000006</v>
      </c>
      <c r="K380" s="3">
        <v>0</v>
      </c>
      <c r="L380" s="15">
        <v>11292.430246300002</v>
      </c>
    </row>
    <row r="381" spans="1:12" x14ac:dyDescent="0.25">
      <c r="A381" s="12">
        <v>52709401</v>
      </c>
      <c r="B381" s="12"/>
      <c r="C381" s="12" t="s">
        <v>1179</v>
      </c>
      <c r="D381" s="4" t="s">
        <v>1180</v>
      </c>
      <c r="E381" s="13">
        <v>2552161</v>
      </c>
      <c r="F381" s="4" t="s">
        <v>1181</v>
      </c>
      <c r="G381" s="7">
        <v>11001</v>
      </c>
      <c r="H381" s="12">
        <v>305</v>
      </c>
      <c r="I381" s="14">
        <v>1454126.0899999999</v>
      </c>
      <c r="J381" s="14">
        <v>153130.61799999996</v>
      </c>
      <c r="K381" s="3">
        <v>0</v>
      </c>
      <c r="L381" s="15">
        <v>10473.013549599998</v>
      </c>
    </row>
    <row r="382" spans="1:12" x14ac:dyDescent="0.25">
      <c r="A382" s="12">
        <v>19298461</v>
      </c>
      <c r="B382" s="12"/>
      <c r="C382" s="12" t="s">
        <v>1182</v>
      </c>
      <c r="D382" s="4" t="s">
        <v>1183</v>
      </c>
      <c r="E382" s="13">
        <v>315833518</v>
      </c>
      <c r="F382" s="4" t="s">
        <v>1184</v>
      </c>
      <c r="G382" s="7">
        <v>11001</v>
      </c>
      <c r="H382" s="12">
        <v>305</v>
      </c>
      <c r="I382" s="14">
        <v>1455359.47</v>
      </c>
      <c r="J382" s="14">
        <v>108979.43799999999</v>
      </c>
      <c r="K382" s="3">
        <v>0</v>
      </c>
      <c r="L382" s="15">
        <v>10838.359257599999</v>
      </c>
    </row>
    <row r="383" spans="1:12" x14ac:dyDescent="0.25">
      <c r="A383" s="12">
        <v>79698773</v>
      </c>
      <c r="B383" s="12"/>
      <c r="C383" s="12" t="s">
        <v>1185</v>
      </c>
      <c r="D383" s="4" t="s">
        <v>1186</v>
      </c>
      <c r="E383" s="13">
        <v>2579902</v>
      </c>
      <c r="F383" s="4" t="s">
        <v>1187</v>
      </c>
      <c r="G383" s="7">
        <v>11001</v>
      </c>
      <c r="H383" s="12">
        <v>305</v>
      </c>
      <c r="I383" s="14">
        <v>1456867.24</v>
      </c>
      <c r="J383" s="14">
        <v>274583.53399999999</v>
      </c>
      <c r="K383" s="3">
        <v>0</v>
      </c>
      <c r="L383" s="15">
        <v>9517.3838332999985</v>
      </c>
    </row>
    <row r="384" spans="1:12" x14ac:dyDescent="0.25">
      <c r="A384" s="12">
        <v>41590340</v>
      </c>
      <c r="B384" s="12"/>
      <c r="C384" s="12" t="s">
        <v>1188</v>
      </c>
      <c r="D384" s="4" t="s">
        <v>1189</v>
      </c>
      <c r="E384" s="13">
        <v>8854720</v>
      </c>
      <c r="F384" s="4" t="s">
        <v>1190</v>
      </c>
      <c r="G384" s="7" t="s">
        <v>144</v>
      </c>
      <c r="H384" s="12">
        <v>305</v>
      </c>
      <c r="I384" s="14">
        <v>1457270</v>
      </c>
      <c r="J384" s="14">
        <v>178159.4</v>
      </c>
      <c r="K384" s="3">
        <v>0</v>
      </c>
      <c r="L384" s="15">
        <v>10296.840330000003</v>
      </c>
    </row>
    <row r="385" spans="1:12" x14ac:dyDescent="0.25">
      <c r="A385" s="12">
        <v>29673103</v>
      </c>
      <c r="B385" s="12"/>
      <c r="C385" s="12" t="s">
        <v>1191</v>
      </c>
      <c r="D385" s="4" t="s">
        <v>1192</v>
      </c>
      <c r="E385" s="13">
        <v>3214588052</v>
      </c>
      <c r="F385" s="4" t="s">
        <v>1193</v>
      </c>
      <c r="G385" s="7" t="s">
        <v>925</v>
      </c>
      <c r="H385" s="12">
        <v>305</v>
      </c>
      <c r="I385" s="14">
        <v>1458247.0699999998</v>
      </c>
      <c r="J385" s="14">
        <v>151053.78400000001</v>
      </c>
      <c r="K385" s="3">
        <v>0</v>
      </c>
      <c r="L385" s="15">
        <v>10522.9059523</v>
      </c>
    </row>
    <row r="386" spans="1:12" x14ac:dyDescent="0.25">
      <c r="A386" s="12">
        <v>79444850</v>
      </c>
      <c r="B386" s="12"/>
      <c r="C386" s="12" t="s">
        <v>1194</v>
      </c>
      <c r="D386" s="4" t="s">
        <v>1195</v>
      </c>
      <c r="E386" s="13">
        <v>3124501750</v>
      </c>
      <c r="F386" s="4" t="s">
        <v>1196</v>
      </c>
      <c r="G386" s="7">
        <v>11001</v>
      </c>
      <c r="H386" s="12">
        <v>305</v>
      </c>
      <c r="I386" s="14">
        <v>1462005</v>
      </c>
      <c r="J386" s="14">
        <v>149761</v>
      </c>
      <c r="K386" s="3">
        <v>0</v>
      </c>
      <c r="L386" s="15">
        <v>10563.564200000001</v>
      </c>
    </row>
    <row r="387" spans="1:12" x14ac:dyDescent="0.25">
      <c r="A387" s="12">
        <v>79600058</v>
      </c>
      <c r="B387" s="12"/>
      <c r="C387" s="12" t="s">
        <v>1197</v>
      </c>
      <c r="D387" s="4" t="s">
        <v>1198</v>
      </c>
      <c r="E387" s="13">
        <v>3144623774</v>
      </c>
      <c r="F387" s="4" t="s">
        <v>1199</v>
      </c>
      <c r="G387" s="7">
        <v>11001</v>
      </c>
      <c r="H387" s="12">
        <v>305</v>
      </c>
      <c r="I387" s="14">
        <v>1466645.8100000003</v>
      </c>
      <c r="J387" s="14">
        <v>62740.582000000046</v>
      </c>
      <c r="K387" s="3">
        <v>0</v>
      </c>
      <c r="L387" s="15">
        <v>11301.437085400003</v>
      </c>
    </row>
    <row r="388" spans="1:12" x14ac:dyDescent="0.25">
      <c r="A388" s="12">
        <v>73549544</v>
      </c>
      <c r="B388" s="12"/>
      <c r="C388" s="12" t="s">
        <v>1200</v>
      </c>
      <c r="D388" s="4" t="s">
        <v>1201</v>
      </c>
      <c r="E388" s="13">
        <v>3173804996</v>
      </c>
      <c r="F388" s="4" t="s">
        <v>1202</v>
      </c>
      <c r="G388" s="7">
        <v>11001</v>
      </c>
      <c r="H388" s="12">
        <v>305</v>
      </c>
      <c r="I388" s="14">
        <v>1469116</v>
      </c>
      <c r="J388" s="14">
        <v>70073.600000000006</v>
      </c>
      <c r="K388" s="3">
        <v>0</v>
      </c>
      <c r="L388" s="15">
        <v>11262.29132</v>
      </c>
    </row>
    <row r="389" spans="1:12" x14ac:dyDescent="0.25">
      <c r="A389" s="12">
        <v>19341429</v>
      </c>
      <c r="B389" s="12"/>
      <c r="C389" s="12" t="s">
        <v>1203</v>
      </c>
      <c r="D389" s="4" t="s">
        <v>1204</v>
      </c>
      <c r="E389" s="13">
        <v>3105512298</v>
      </c>
      <c r="F389" s="4" t="s">
        <v>1205</v>
      </c>
      <c r="G389" s="7" t="s">
        <v>1206</v>
      </c>
      <c r="H389" s="12">
        <v>305</v>
      </c>
      <c r="I389" s="14">
        <v>1470772</v>
      </c>
      <c r="J389" s="14">
        <v>41574.449999999997</v>
      </c>
      <c r="K389" s="3">
        <v>0</v>
      </c>
      <c r="L389" s="15">
        <v>11505.0402775</v>
      </c>
    </row>
    <row r="390" spans="1:12" x14ac:dyDescent="0.25">
      <c r="A390" s="12">
        <v>17194554</v>
      </c>
      <c r="B390" s="12"/>
      <c r="C390" s="12" t="s">
        <v>1207</v>
      </c>
      <c r="D390" s="4" t="s">
        <v>1208</v>
      </c>
      <c r="E390" s="13">
        <v>4729167</v>
      </c>
      <c r="F390" s="4" t="s">
        <v>1209</v>
      </c>
      <c r="G390" s="7">
        <v>11001</v>
      </c>
      <c r="H390" s="12">
        <v>305</v>
      </c>
      <c r="I390" s="14">
        <v>1471934.8699999999</v>
      </c>
      <c r="J390" s="14">
        <v>175007.64600000001</v>
      </c>
      <c r="K390" s="3">
        <v>0</v>
      </c>
      <c r="L390" s="15">
        <v>10440.2641532</v>
      </c>
    </row>
    <row r="391" spans="1:12" x14ac:dyDescent="0.25">
      <c r="A391" s="12">
        <v>11290931</v>
      </c>
      <c r="B391" s="12"/>
      <c r="C391" s="12" t="s">
        <v>1210</v>
      </c>
      <c r="D391" s="4" t="s">
        <v>1211</v>
      </c>
      <c r="E391" s="13">
        <v>3250200</v>
      </c>
      <c r="F391" s="4" t="s">
        <v>1212</v>
      </c>
      <c r="G391" s="7">
        <v>11001</v>
      </c>
      <c r="H391" s="12">
        <v>305</v>
      </c>
      <c r="I391" s="14">
        <v>1472928</v>
      </c>
      <c r="J391" s="14">
        <v>105795.6</v>
      </c>
      <c r="K391" s="3">
        <v>0</v>
      </c>
      <c r="L391" s="15">
        <v>11005.415819999998</v>
      </c>
    </row>
    <row r="392" spans="1:12" x14ac:dyDescent="0.25">
      <c r="A392" s="12">
        <v>52046922</v>
      </c>
      <c r="B392" s="12"/>
      <c r="C392" s="12" t="s">
        <v>1213</v>
      </c>
      <c r="D392" s="4" t="s">
        <v>1214</v>
      </c>
      <c r="E392" s="13">
        <v>3138546356</v>
      </c>
      <c r="F392" s="4" t="s">
        <v>1215</v>
      </c>
      <c r="G392" s="7">
        <v>11001</v>
      </c>
      <c r="H392" s="12">
        <v>305</v>
      </c>
      <c r="I392" s="14">
        <v>1473939.9999999998</v>
      </c>
      <c r="J392" s="14">
        <v>111387.99999999996</v>
      </c>
      <c r="K392" s="3">
        <v>0</v>
      </c>
      <c r="L392" s="15">
        <v>10968.543599999997</v>
      </c>
    </row>
    <row r="393" spans="1:12" x14ac:dyDescent="0.25">
      <c r="A393" s="12">
        <v>17340176</v>
      </c>
      <c r="B393" s="12"/>
      <c r="C393" s="12" t="s">
        <v>1216</v>
      </c>
      <c r="D393" s="4" t="s">
        <v>1217</v>
      </c>
      <c r="E393" s="13">
        <v>6191552</v>
      </c>
      <c r="F393" s="4" t="s">
        <v>1218</v>
      </c>
      <c r="G393" s="7">
        <v>11001</v>
      </c>
      <c r="H393" s="12">
        <v>305</v>
      </c>
      <c r="I393" s="14">
        <v>1475960.23</v>
      </c>
      <c r="J393" s="14">
        <v>142666.32999999999</v>
      </c>
      <c r="K393" s="3">
        <v>0</v>
      </c>
      <c r="L393" s="15">
        <v>10733.015895</v>
      </c>
    </row>
    <row r="394" spans="1:12" x14ac:dyDescent="0.25">
      <c r="A394" s="12">
        <v>7224751</v>
      </c>
      <c r="B394" s="12"/>
      <c r="C394" s="12" t="s">
        <v>1219</v>
      </c>
      <c r="D394" s="4" t="s">
        <v>1220</v>
      </c>
      <c r="E394" s="13">
        <v>3187353870</v>
      </c>
      <c r="F394" s="4" t="s">
        <v>1221</v>
      </c>
      <c r="G394" s="7">
        <v>11001</v>
      </c>
      <c r="H394" s="12">
        <v>305</v>
      </c>
      <c r="I394" s="14">
        <v>1476770.8900000001</v>
      </c>
      <c r="J394" s="14">
        <v>198494.17800000004</v>
      </c>
      <c r="K394" s="3">
        <v>0</v>
      </c>
      <c r="L394" s="15">
        <v>10290.127531599999</v>
      </c>
    </row>
    <row r="395" spans="1:12" x14ac:dyDescent="0.25">
      <c r="A395" s="12">
        <v>33126546</v>
      </c>
      <c r="B395" s="12"/>
      <c r="C395" s="12" t="s">
        <v>1222</v>
      </c>
      <c r="D395" s="4" t="s">
        <v>1223</v>
      </c>
      <c r="E395" s="13">
        <v>3006005995</v>
      </c>
      <c r="F395" s="4" t="s">
        <v>1224</v>
      </c>
      <c r="G395" s="7" t="s">
        <v>403</v>
      </c>
      <c r="H395" s="12">
        <v>305</v>
      </c>
      <c r="I395" s="14">
        <v>1477310.46</v>
      </c>
      <c r="J395" s="14">
        <v>73342.09199999999</v>
      </c>
      <c r="K395" s="3">
        <v>0</v>
      </c>
      <c r="L395" s="15">
        <v>11301.945362400002</v>
      </c>
    </row>
    <row r="396" spans="1:12" x14ac:dyDescent="0.25">
      <c r="A396" s="12">
        <v>79789322</v>
      </c>
      <c r="B396" s="12"/>
      <c r="C396" s="12" t="s">
        <v>1225</v>
      </c>
      <c r="D396" s="4" t="s">
        <v>1226</v>
      </c>
      <c r="E396" s="13">
        <v>3114660883</v>
      </c>
      <c r="F396" s="4" t="s">
        <v>1227</v>
      </c>
      <c r="G396" s="7">
        <v>11001</v>
      </c>
      <c r="H396" s="12">
        <v>305</v>
      </c>
      <c r="I396" s="14">
        <v>1477677</v>
      </c>
      <c r="J396" s="14">
        <v>145539.6</v>
      </c>
      <c r="K396" s="3">
        <v>0</v>
      </c>
      <c r="L396" s="15">
        <v>10723.706069999998</v>
      </c>
    </row>
    <row r="397" spans="1:12" x14ac:dyDescent="0.25">
      <c r="A397" s="12">
        <v>19388010</v>
      </c>
      <c r="B397" s="12"/>
      <c r="C397" s="12" t="s">
        <v>1228</v>
      </c>
      <c r="D397" s="4" t="s">
        <v>1229</v>
      </c>
      <c r="E397" s="13">
        <v>3192559778</v>
      </c>
      <c r="F397" s="4" t="s">
        <v>1230</v>
      </c>
      <c r="G397" s="7">
        <v>11001</v>
      </c>
      <c r="H397" s="12">
        <v>305</v>
      </c>
      <c r="I397" s="14">
        <v>1481658.8499999999</v>
      </c>
      <c r="J397" s="14">
        <v>41890.921999999999</v>
      </c>
      <c r="K397" s="3">
        <v>0</v>
      </c>
      <c r="L397" s="15">
        <v>11590.131820399998</v>
      </c>
    </row>
    <row r="398" spans="1:12" x14ac:dyDescent="0.25">
      <c r="A398" s="12">
        <v>73110514</v>
      </c>
      <c r="B398" s="12"/>
      <c r="C398" s="12" t="s">
        <v>1231</v>
      </c>
      <c r="D398" s="4" t="s">
        <v>1232</v>
      </c>
      <c r="E398" s="13">
        <v>7588229</v>
      </c>
      <c r="F398" s="4" t="s">
        <v>1233</v>
      </c>
      <c r="G398" s="7">
        <v>11001</v>
      </c>
      <c r="H398" s="12">
        <v>305</v>
      </c>
      <c r="I398" s="14">
        <v>1483468.19</v>
      </c>
      <c r="J398" s="14">
        <v>146333.63800000001</v>
      </c>
      <c r="K398" s="3">
        <v>0</v>
      </c>
      <c r="L398" s="15">
        <v>10763.933143600001</v>
      </c>
    </row>
    <row r="399" spans="1:12" x14ac:dyDescent="0.25">
      <c r="A399" s="12">
        <v>51857775</v>
      </c>
      <c r="B399" s="12"/>
      <c r="C399" s="12" t="s">
        <v>1234</v>
      </c>
      <c r="D399" s="4" t="s">
        <v>1235</v>
      </c>
      <c r="E399" s="13">
        <v>3153491209</v>
      </c>
      <c r="F399" s="4" t="s">
        <v>1236</v>
      </c>
      <c r="G399" s="7">
        <v>11001</v>
      </c>
      <c r="H399" s="12">
        <v>305</v>
      </c>
      <c r="I399" s="14">
        <v>1485967.85</v>
      </c>
      <c r="J399" s="14">
        <v>8833.5700000000052</v>
      </c>
      <c r="K399" s="3">
        <v>0</v>
      </c>
      <c r="L399" s="15">
        <v>11890.930953999999</v>
      </c>
    </row>
    <row r="400" spans="1:12" x14ac:dyDescent="0.25">
      <c r="A400" s="12">
        <v>80411289</v>
      </c>
      <c r="B400" s="12"/>
      <c r="C400" s="12" t="s">
        <v>1237</v>
      </c>
      <c r="D400" s="4" t="s">
        <v>1238</v>
      </c>
      <c r="E400" s="13">
        <v>8851112</v>
      </c>
      <c r="F400" s="4" t="s">
        <v>1239</v>
      </c>
      <c r="G400" s="7" t="s">
        <v>603</v>
      </c>
      <c r="H400" s="12">
        <v>305</v>
      </c>
      <c r="I400" s="14">
        <v>1489000.9999999995</v>
      </c>
      <c r="J400" s="14">
        <v>171777.39999999994</v>
      </c>
      <c r="K400" s="3">
        <v>0</v>
      </c>
      <c r="L400" s="15">
        <v>10603.649979999997</v>
      </c>
    </row>
    <row r="401" spans="1:12" x14ac:dyDescent="0.25">
      <c r="A401" s="12">
        <v>3797268</v>
      </c>
      <c r="B401" s="12"/>
      <c r="C401" s="12" t="s">
        <v>1240</v>
      </c>
      <c r="D401" s="4" t="s">
        <v>1241</v>
      </c>
      <c r="E401" s="13">
        <v>3153250831</v>
      </c>
      <c r="F401" s="4" t="s">
        <v>1242</v>
      </c>
      <c r="G401" s="7">
        <v>11001</v>
      </c>
      <c r="H401" s="12">
        <v>305</v>
      </c>
      <c r="I401" s="14">
        <v>1490538.63</v>
      </c>
      <c r="J401" s="14">
        <v>120907.726</v>
      </c>
      <c r="K401" s="3">
        <v>0</v>
      </c>
      <c r="L401" s="15">
        <v>11025.528777199999</v>
      </c>
    </row>
    <row r="402" spans="1:12" x14ac:dyDescent="0.25">
      <c r="A402" s="12">
        <v>52516021</v>
      </c>
      <c r="B402" s="12"/>
      <c r="C402" s="12" t="s">
        <v>1243</v>
      </c>
      <c r="D402" s="4" t="s">
        <v>1244</v>
      </c>
      <c r="E402" s="13">
        <v>3103349109</v>
      </c>
      <c r="F402" s="4" t="s">
        <v>1245</v>
      </c>
      <c r="G402" s="7">
        <v>11001</v>
      </c>
      <c r="H402" s="12">
        <v>305</v>
      </c>
      <c r="I402" s="14">
        <v>1490671.13</v>
      </c>
      <c r="J402" s="14">
        <v>74426.325999999972</v>
      </c>
      <c r="K402" s="3">
        <v>0</v>
      </c>
      <c r="L402" s="15">
        <v>11400.7706722</v>
      </c>
    </row>
    <row r="403" spans="1:12" x14ac:dyDescent="0.25">
      <c r="A403" s="12">
        <v>860350003</v>
      </c>
      <c r="B403" s="12">
        <v>3</v>
      </c>
      <c r="C403" s="12" t="s">
        <v>1246</v>
      </c>
      <c r="D403" s="4" t="s">
        <v>1247</v>
      </c>
      <c r="E403" s="13">
        <v>3009765782</v>
      </c>
      <c r="F403" s="4" t="s">
        <v>1248</v>
      </c>
      <c r="G403" s="7">
        <v>11001</v>
      </c>
      <c r="H403" s="12">
        <v>305</v>
      </c>
      <c r="I403" s="14">
        <v>1491440</v>
      </c>
      <c r="J403" s="14">
        <v>0.15</v>
      </c>
      <c r="K403" s="3">
        <v>0</v>
      </c>
      <c r="L403" s="15">
        <v>12006.090792500001</v>
      </c>
    </row>
    <row r="404" spans="1:12" x14ac:dyDescent="0.25">
      <c r="A404" s="12">
        <v>79409533</v>
      </c>
      <c r="B404" s="12"/>
      <c r="C404" s="12" t="s">
        <v>1249</v>
      </c>
      <c r="D404" s="4" t="s">
        <v>1250</v>
      </c>
      <c r="E404" s="13">
        <v>3134319249</v>
      </c>
      <c r="F404" s="4" t="s">
        <v>1251</v>
      </c>
      <c r="G404" s="7" t="s">
        <v>1252</v>
      </c>
      <c r="H404" s="12">
        <v>305</v>
      </c>
      <c r="I404" s="14">
        <v>1494685.15</v>
      </c>
      <c r="J404" s="14">
        <v>2537.0299999999993</v>
      </c>
      <c r="K404" s="3">
        <v>0</v>
      </c>
      <c r="L404" s="15">
        <v>12011.792365999998</v>
      </c>
    </row>
    <row r="405" spans="1:12" x14ac:dyDescent="0.25">
      <c r="A405" s="12">
        <v>3181541</v>
      </c>
      <c r="B405" s="12"/>
      <c r="C405" s="12" t="s">
        <v>1253</v>
      </c>
      <c r="D405" s="4" t="s">
        <v>1254</v>
      </c>
      <c r="E405" s="13">
        <v>2747437</v>
      </c>
      <c r="F405" s="4" t="s">
        <v>1255</v>
      </c>
      <c r="G405" s="7" t="s">
        <v>294</v>
      </c>
      <c r="H405" s="12">
        <v>305</v>
      </c>
      <c r="I405" s="14">
        <v>1496695.1800000004</v>
      </c>
      <c r="J405" s="14">
        <v>154907.94400000002</v>
      </c>
      <c r="K405" s="3">
        <v>0</v>
      </c>
      <c r="L405" s="15">
        <v>10801.387249800006</v>
      </c>
    </row>
    <row r="406" spans="1:12" x14ac:dyDescent="0.25">
      <c r="A406" s="12">
        <v>52518218</v>
      </c>
      <c r="B406" s="12"/>
      <c r="C406" s="12" t="s">
        <v>1256</v>
      </c>
      <c r="D406" s="4" t="s">
        <v>1257</v>
      </c>
      <c r="E406" s="13">
        <v>3155143777</v>
      </c>
      <c r="F406" s="4" t="s">
        <v>1258</v>
      </c>
      <c r="G406" s="7">
        <v>11001</v>
      </c>
      <c r="H406" s="12">
        <v>305</v>
      </c>
      <c r="I406" s="14">
        <v>1497384.2500000002</v>
      </c>
      <c r="J406" s="14">
        <v>211571.30400000006</v>
      </c>
      <c r="K406" s="3">
        <v>0</v>
      </c>
      <c r="L406" s="15">
        <v>10350.794215300002</v>
      </c>
    </row>
    <row r="407" spans="1:12" x14ac:dyDescent="0.25">
      <c r="A407" s="12">
        <v>73072869</v>
      </c>
      <c r="B407" s="12"/>
      <c r="C407" s="12" t="s">
        <v>1259</v>
      </c>
      <c r="D407" s="4" t="s">
        <v>1260</v>
      </c>
      <c r="E407" s="13">
        <v>3175126601</v>
      </c>
      <c r="F407" s="4" t="s">
        <v>1261</v>
      </c>
      <c r="G407" s="7">
        <v>11001</v>
      </c>
      <c r="H407" s="12">
        <v>305</v>
      </c>
      <c r="I407" s="14">
        <v>1503236.0000000009</v>
      </c>
      <c r="J407" s="14">
        <v>148907.20000000016</v>
      </c>
      <c r="K407" s="3">
        <v>0</v>
      </c>
      <c r="L407" s="15">
        <v>10902.346840000007</v>
      </c>
    </row>
    <row r="408" spans="1:12" x14ac:dyDescent="0.25">
      <c r="A408" s="12">
        <v>79780114</v>
      </c>
      <c r="B408" s="12"/>
      <c r="C408" s="12" t="s">
        <v>1262</v>
      </c>
      <c r="D408" s="4" t="s">
        <v>1263</v>
      </c>
      <c r="E408" s="13">
        <v>3157744090</v>
      </c>
      <c r="F408" s="4" t="s">
        <v>1264</v>
      </c>
      <c r="G408" s="7">
        <v>11001</v>
      </c>
      <c r="H408" s="12">
        <v>305</v>
      </c>
      <c r="I408" s="14">
        <v>1505945.6399999997</v>
      </c>
      <c r="J408" s="14">
        <v>171587.44799999997</v>
      </c>
      <c r="K408" s="3">
        <v>0</v>
      </c>
      <c r="L408" s="15">
        <v>10741.583445599999</v>
      </c>
    </row>
    <row r="409" spans="1:12" x14ac:dyDescent="0.25">
      <c r="A409" s="12">
        <v>1015458004</v>
      </c>
      <c r="B409" s="12"/>
      <c r="C409" s="12" t="s">
        <v>1265</v>
      </c>
      <c r="D409" s="4" t="s">
        <v>1266</v>
      </c>
      <c r="E409" s="13">
        <v>3118621479</v>
      </c>
      <c r="F409" s="4" t="s">
        <v>1267</v>
      </c>
      <c r="G409" s="7">
        <v>11001</v>
      </c>
      <c r="H409" s="12">
        <v>305</v>
      </c>
      <c r="I409" s="14">
        <v>1514387.2000000002</v>
      </c>
      <c r="J409" s="14">
        <v>105277.44000000003</v>
      </c>
      <c r="K409" s="3">
        <v>0</v>
      </c>
      <c r="L409" s="15">
        <v>11343.333568000002</v>
      </c>
    </row>
    <row r="410" spans="1:12" x14ac:dyDescent="0.25">
      <c r="A410" s="12">
        <v>52999294</v>
      </c>
      <c r="B410" s="12"/>
      <c r="C410" s="12" t="s">
        <v>1268</v>
      </c>
      <c r="D410" s="4" t="s">
        <v>1269</v>
      </c>
      <c r="E410" s="13">
        <v>3184449297</v>
      </c>
      <c r="F410" s="4" t="s">
        <v>196</v>
      </c>
      <c r="G410" s="7">
        <v>11001</v>
      </c>
      <c r="H410" s="12">
        <v>305</v>
      </c>
      <c r="I410" s="14">
        <v>1514389.8000000003</v>
      </c>
      <c r="J410" s="14">
        <v>231557.96000000008</v>
      </c>
      <c r="K410" s="3">
        <v>0</v>
      </c>
      <c r="L410" s="15">
        <v>10326.796312000002</v>
      </c>
    </row>
    <row r="411" spans="1:12" x14ac:dyDescent="0.25">
      <c r="A411" s="12">
        <v>80147362</v>
      </c>
      <c r="B411" s="12"/>
      <c r="C411" s="12" t="s">
        <v>1270</v>
      </c>
      <c r="D411" s="4" t="s">
        <v>1271</v>
      </c>
      <c r="E411" s="13">
        <v>3122875289</v>
      </c>
      <c r="F411" s="4" t="s">
        <v>1272</v>
      </c>
      <c r="G411" s="7">
        <v>11001</v>
      </c>
      <c r="H411" s="12">
        <v>305</v>
      </c>
      <c r="I411" s="14">
        <v>1517176.23</v>
      </c>
      <c r="J411" s="14">
        <v>205476.59</v>
      </c>
      <c r="K411" s="3">
        <v>0</v>
      </c>
      <c r="L411" s="15">
        <v>10559.182101999999</v>
      </c>
    </row>
    <row r="412" spans="1:12" x14ac:dyDescent="0.25">
      <c r="A412" s="12">
        <v>1057580635</v>
      </c>
      <c r="B412" s="12"/>
      <c r="C412" s="12" t="s">
        <v>1273</v>
      </c>
      <c r="D412" s="4" t="s">
        <v>1274</v>
      </c>
      <c r="E412" s="13">
        <v>3132038436</v>
      </c>
      <c r="F412" s="4" t="s">
        <v>1275</v>
      </c>
      <c r="G412" s="7" t="s">
        <v>1276</v>
      </c>
      <c r="H412" s="12">
        <v>305</v>
      </c>
      <c r="I412" s="14">
        <v>1519582.88</v>
      </c>
      <c r="J412" s="14">
        <v>117776.576</v>
      </c>
      <c r="K412" s="3">
        <v>0</v>
      </c>
      <c r="L412" s="15">
        <v>11284.540747200001</v>
      </c>
    </row>
    <row r="413" spans="1:12" x14ac:dyDescent="0.25">
      <c r="A413" s="12">
        <v>80056621</v>
      </c>
      <c r="B413" s="12"/>
      <c r="C413" s="12" t="s">
        <v>1277</v>
      </c>
      <c r="D413" s="4" t="s">
        <v>1278</v>
      </c>
      <c r="E413" s="13">
        <v>8062576</v>
      </c>
      <c r="F413" s="4" t="s">
        <v>1279</v>
      </c>
      <c r="G413" s="7">
        <v>11001</v>
      </c>
      <c r="H413" s="12">
        <v>305</v>
      </c>
      <c r="I413" s="14">
        <v>1521996.9600000004</v>
      </c>
      <c r="J413" s="14">
        <v>136999.39200000008</v>
      </c>
      <c r="K413" s="3">
        <v>0</v>
      </c>
      <c r="L413" s="15">
        <v>11149.230422400004</v>
      </c>
    </row>
    <row r="414" spans="1:12" x14ac:dyDescent="0.25">
      <c r="A414" s="12">
        <v>1036956226</v>
      </c>
      <c r="B414" s="12"/>
      <c r="C414" s="12" t="s">
        <v>1280</v>
      </c>
      <c r="D414" s="4" t="s">
        <v>1281</v>
      </c>
      <c r="E414" s="13">
        <v>3135944247</v>
      </c>
      <c r="F414" s="4" t="s">
        <v>1282</v>
      </c>
      <c r="G414" s="7" t="s">
        <v>553</v>
      </c>
      <c r="H414" s="12">
        <v>305</v>
      </c>
      <c r="I414" s="14">
        <v>1524816.65</v>
      </c>
      <c r="J414" s="14">
        <v>173443.33</v>
      </c>
      <c r="K414" s="3">
        <v>0</v>
      </c>
      <c r="L414" s="15">
        <v>10878.555225999999</v>
      </c>
    </row>
    <row r="415" spans="1:12" x14ac:dyDescent="0.25">
      <c r="A415" s="12">
        <v>5960311</v>
      </c>
      <c r="B415" s="12"/>
      <c r="C415" s="12" t="s">
        <v>1283</v>
      </c>
      <c r="D415" s="4" t="s">
        <v>1284</v>
      </c>
      <c r="E415" s="13">
        <v>3102125101</v>
      </c>
      <c r="F415" s="4" t="s">
        <v>1285</v>
      </c>
      <c r="G415" s="7">
        <v>11001</v>
      </c>
      <c r="H415" s="12">
        <v>305</v>
      </c>
      <c r="I415" s="14">
        <v>1525294.7600000002</v>
      </c>
      <c r="J415" s="14">
        <v>125178.95200000003</v>
      </c>
      <c r="K415" s="3">
        <v>0</v>
      </c>
      <c r="L415" s="15">
        <v>11270.932254400002</v>
      </c>
    </row>
    <row r="416" spans="1:12" x14ac:dyDescent="0.25">
      <c r="A416" s="12">
        <v>32427288</v>
      </c>
      <c r="B416" s="12"/>
      <c r="C416" s="12" t="s">
        <v>1286</v>
      </c>
      <c r="D416" s="4" t="s">
        <v>1287</v>
      </c>
      <c r="E416" s="13">
        <v>2150306</v>
      </c>
      <c r="F416" s="4" t="s">
        <v>1288</v>
      </c>
      <c r="G416" s="7">
        <v>11001</v>
      </c>
      <c r="H416" s="12">
        <v>305</v>
      </c>
      <c r="I416" s="14">
        <v>1526465.5699999998</v>
      </c>
      <c r="J416" s="14">
        <v>146148.23999999996</v>
      </c>
      <c r="K416" s="3">
        <v>0</v>
      </c>
      <c r="L416" s="15">
        <v>11111.554506499999</v>
      </c>
    </row>
    <row r="417" spans="1:12" x14ac:dyDescent="0.25">
      <c r="A417" s="12">
        <v>74380763</v>
      </c>
      <c r="B417" s="12"/>
      <c r="C417" s="12" t="s">
        <v>1289</v>
      </c>
      <c r="D417" s="4" t="s">
        <v>1290</v>
      </c>
      <c r="E417" s="13">
        <v>3104037213</v>
      </c>
      <c r="F417" s="4" t="s">
        <v>1291</v>
      </c>
      <c r="G417" s="7" t="s">
        <v>422</v>
      </c>
      <c r="H417" s="12">
        <v>305</v>
      </c>
      <c r="I417" s="14">
        <v>1529659.67</v>
      </c>
      <c r="J417" s="14">
        <v>305931.93400000001</v>
      </c>
      <c r="K417" s="3">
        <v>0</v>
      </c>
      <c r="L417" s="15">
        <v>9851.0082747999986</v>
      </c>
    </row>
    <row r="418" spans="1:12" x14ac:dyDescent="0.25">
      <c r="A418" s="12">
        <v>5530492</v>
      </c>
      <c r="B418" s="12"/>
      <c r="C418" s="12" t="s">
        <v>1292</v>
      </c>
      <c r="D418" s="4" t="s">
        <v>1293</v>
      </c>
      <c r="E418" s="13">
        <v>3154560</v>
      </c>
      <c r="F418" s="4" t="s">
        <v>1294</v>
      </c>
      <c r="G418" s="7">
        <v>11001</v>
      </c>
      <c r="H418" s="12">
        <v>305</v>
      </c>
      <c r="I418" s="14">
        <v>1537721.3400000003</v>
      </c>
      <c r="J418" s="14">
        <v>67851.662000000026</v>
      </c>
      <c r="K418" s="3">
        <v>0</v>
      </c>
      <c r="L418" s="15">
        <v>11832.450907900004</v>
      </c>
    </row>
    <row r="419" spans="1:12" x14ac:dyDescent="0.25">
      <c r="A419" s="12">
        <v>74375513</v>
      </c>
      <c r="B419" s="12"/>
      <c r="C419" s="12" t="s">
        <v>1295</v>
      </c>
      <c r="D419" s="4" t="s">
        <v>1296</v>
      </c>
      <c r="E419" s="13">
        <v>3206776057</v>
      </c>
      <c r="F419" s="4" t="s">
        <v>1297</v>
      </c>
      <c r="G419" s="7">
        <v>11001</v>
      </c>
      <c r="H419" s="12">
        <v>305</v>
      </c>
      <c r="I419" s="14">
        <v>1539364.8900000006</v>
      </c>
      <c r="J419" s="14">
        <v>134223.73400000008</v>
      </c>
      <c r="K419" s="3">
        <v>0</v>
      </c>
      <c r="L419" s="15">
        <v>11311.386305800004</v>
      </c>
    </row>
    <row r="420" spans="1:12" x14ac:dyDescent="0.25">
      <c r="A420" s="12">
        <v>79402471</v>
      </c>
      <c r="B420" s="12"/>
      <c r="C420" s="12" t="s">
        <v>1298</v>
      </c>
      <c r="D420" s="4" t="s">
        <v>1299</v>
      </c>
      <c r="E420" s="13">
        <v>3203827326</v>
      </c>
      <c r="F420" s="4" t="s">
        <v>1300</v>
      </c>
      <c r="G420" s="7">
        <v>11001</v>
      </c>
      <c r="H420" s="12">
        <v>305</v>
      </c>
      <c r="I420" s="14">
        <v>1539690.6300000004</v>
      </c>
      <c r="J420" s="14">
        <v>206618.12600000005</v>
      </c>
      <c r="K420" s="3">
        <v>0</v>
      </c>
      <c r="L420" s="15">
        <v>10731.233657200002</v>
      </c>
    </row>
    <row r="421" spans="1:12" x14ac:dyDescent="0.25">
      <c r="A421" s="12">
        <v>16787453</v>
      </c>
      <c r="B421" s="12"/>
      <c r="C421" s="12" t="s">
        <v>1301</v>
      </c>
      <c r="D421" s="4" t="s">
        <v>1302</v>
      </c>
      <c r="E421" s="13">
        <v>3208257974</v>
      </c>
      <c r="F421" s="4" t="s">
        <v>1303</v>
      </c>
      <c r="G421" s="7" t="s">
        <v>1304</v>
      </c>
      <c r="H421" s="12">
        <v>305</v>
      </c>
      <c r="I421" s="14">
        <v>1539921.12</v>
      </c>
      <c r="J421" s="14">
        <v>80439.000000000015</v>
      </c>
      <c r="K421" s="3">
        <v>0</v>
      </c>
      <c r="L421" s="15">
        <v>11748.831066000001</v>
      </c>
    </row>
    <row r="422" spans="1:12" x14ac:dyDescent="0.25">
      <c r="A422" s="12">
        <v>1032479937</v>
      </c>
      <c r="B422" s="12"/>
      <c r="C422" s="12" t="s">
        <v>1305</v>
      </c>
      <c r="D422" s="4" t="s">
        <v>1306</v>
      </c>
      <c r="E422" s="13">
        <v>3132936691</v>
      </c>
      <c r="F422" s="4" t="s">
        <v>1307</v>
      </c>
      <c r="G422" s="7">
        <v>11001</v>
      </c>
      <c r="H422" s="12">
        <v>305</v>
      </c>
      <c r="I422" s="14">
        <v>1540479.7100000002</v>
      </c>
      <c r="J422" s="14">
        <v>29556.6</v>
      </c>
      <c r="K422" s="3">
        <v>0</v>
      </c>
      <c r="L422" s="15">
        <v>12162.931035500002</v>
      </c>
    </row>
    <row r="423" spans="1:12" x14ac:dyDescent="0.25">
      <c r="A423" s="12">
        <v>1032452421</v>
      </c>
      <c r="B423" s="12"/>
      <c r="C423" s="12" t="s">
        <v>1308</v>
      </c>
      <c r="D423" s="4" t="s">
        <v>1309</v>
      </c>
      <c r="E423" s="13">
        <v>3102341250</v>
      </c>
      <c r="F423" s="4" t="s">
        <v>1310</v>
      </c>
      <c r="G423" s="7">
        <v>11001</v>
      </c>
      <c r="H423" s="12">
        <v>305</v>
      </c>
      <c r="I423" s="14">
        <v>1541676.55</v>
      </c>
      <c r="J423" s="14">
        <v>160149.092</v>
      </c>
      <c r="K423" s="3">
        <v>0</v>
      </c>
      <c r="L423" s="15">
        <v>11121.296036900001</v>
      </c>
    </row>
    <row r="424" spans="1:12" x14ac:dyDescent="0.25">
      <c r="A424" s="12">
        <v>46454036</v>
      </c>
      <c r="B424" s="12"/>
      <c r="C424" s="12" t="s">
        <v>1311</v>
      </c>
      <c r="D424" s="4" t="s">
        <v>1312</v>
      </c>
      <c r="E424" s="13">
        <v>3142981562</v>
      </c>
      <c r="F424" s="4" t="s">
        <v>1313</v>
      </c>
      <c r="G424" s="7">
        <v>11001</v>
      </c>
      <c r="H424" s="12">
        <v>305</v>
      </c>
      <c r="I424" s="14">
        <v>1545788.6</v>
      </c>
      <c r="J424" s="14">
        <v>166517.72000000003</v>
      </c>
      <c r="K424" s="3">
        <v>0</v>
      </c>
      <c r="L424" s="15">
        <v>11103.130584</v>
      </c>
    </row>
    <row r="425" spans="1:12" x14ac:dyDescent="0.25">
      <c r="A425" s="12">
        <v>3181600</v>
      </c>
      <c r="B425" s="12"/>
      <c r="C425" s="12" t="s">
        <v>1314</v>
      </c>
      <c r="D425" s="4" t="s">
        <v>1315</v>
      </c>
      <c r="E425" s="13">
        <v>3186264631</v>
      </c>
      <c r="F425" s="4" t="s">
        <v>1316</v>
      </c>
      <c r="G425" s="7">
        <v>11001</v>
      </c>
      <c r="H425" s="12">
        <v>305</v>
      </c>
      <c r="I425" s="14">
        <v>1546389</v>
      </c>
      <c r="J425" s="14">
        <v>61277.8</v>
      </c>
      <c r="K425" s="3">
        <v>0</v>
      </c>
      <c r="L425" s="15">
        <v>11955.14516</v>
      </c>
    </row>
    <row r="426" spans="1:12" x14ac:dyDescent="0.25">
      <c r="A426" s="12">
        <v>79482428</v>
      </c>
      <c r="B426" s="12"/>
      <c r="C426" s="12" t="s">
        <v>1317</v>
      </c>
      <c r="D426" s="4" t="s">
        <v>1318</v>
      </c>
      <c r="E426" s="13">
        <v>2229132</v>
      </c>
      <c r="F426" s="4" t="s">
        <v>1319</v>
      </c>
      <c r="G426" s="7">
        <v>11001</v>
      </c>
      <c r="H426" s="12">
        <v>305</v>
      </c>
      <c r="I426" s="14">
        <v>1548468.8399999999</v>
      </c>
      <c r="J426" s="14">
        <v>214844.35599999994</v>
      </c>
      <c r="K426" s="3">
        <v>0</v>
      </c>
      <c r="L426" s="15">
        <v>10735.677096199999</v>
      </c>
    </row>
    <row r="427" spans="1:12" x14ac:dyDescent="0.25">
      <c r="A427" s="12">
        <v>9071628</v>
      </c>
      <c r="B427" s="12"/>
      <c r="C427" s="12" t="s">
        <v>1320</v>
      </c>
      <c r="D427" s="4" t="s">
        <v>1321</v>
      </c>
      <c r="E427" s="13">
        <v>2183870</v>
      </c>
      <c r="F427" s="4" t="s">
        <v>1322</v>
      </c>
      <c r="G427" s="7">
        <v>11001</v>
      </c>
      <c r="H427" s="12">
        <v>305</v>
      </c>
      <c r="I427" s="14">
        <v>1550252.04</v>
      </c>
      <c r="J427" s="14">
        <v>94630.408000000025</v>
      </c>
      <c r="K427" s="3">
        <v>0</v>
      </c>
      <c r="L427" s="15">
        <v>11717.754137600001</v>
      </c>
    </row>
    <row r="428" spans="1:12" x14ac:dyDescent="0.25">
      <c r="A428" s="12">
        <v>1019069205</v>
      </c>
      <c r="B428" s="12"/>
      <c r="C428" s="12" t="s">
        <v>1323</v>
      </c>
      <c r="D428" s="4" t="s">
        <v>1324</v>
      </c>
      <c r="E428" s="13">
        <v>3046305377</v>
      </c>
      <c r="F428" s="4" t="s">
        <v>1325</v>
      </c>
      <c r="G428" s="7">
        <v>11001</v>
      </c>
      <c r="H428" s="12">
        <v>305</v>
      </c>
      <c r="I428" s="14">
        <v>1557825.4600000004</v>
      </c>
      <c r="J428" s="14">
        <v>179537.02400000006</v>
      </c>
      <c r="K428" s="3">
        <v>0</v>
      </c>
      <c r="L428" s="15">
        <v>11095.221909800004</v>
      </c>
    </row>
    <row r="429" spans="1:12" x14ac:dyDescent="0.25">
      <c r="A429" s="12">
        <v>79517171</v>
      </c>
      <c r="B429" s="12"/>
      <c r="C429" s="12" t="s">
        <v>1326</v>
      </c>
      <c r="D429" s="4" t="s">
        <v>1327</v>
      </c>
      <c r="E429" s="13">
        <v>3006270470</v>
      </c>
      <c r="F429" s="4" t="s">
        <v>1328</v>
      </c>
      <c r="G429" s="7">
        <v>11001</v>
      </c>
      <c r="H429" s="12">
        <v>305</v>
      </c>
      <c r="I429" s="14">
        <v>1558707.2500000002</v>
      </c>
      <c r="J429" s="14">
        <v>206647.33200000002</v>
      </c>
      <c r="K429" s="3">
        <v>0</v>
      </c>
      <c r="L429" s="15">
        <v>10884.082339900002</v>
      </c>
    </row>
    <row r="430" spans="1:12" x14ac:dyDescent="0.25">
      <c r="A430" s="12">
        <v>9063891</v>
      </c>
      <c r="B430" s="12"/>
      <c r="C430" s="12" t="s">
        <v>1329</v>
      </c>
      <c r="D430" s="4" t="s">
        <v>1330</v>
      </c>
      <c r="E430" s="13">
        <v>3102941607</v>
      </c>
      <c r="F430" s="4" t="s">
        <v>1331</v>
      </c>
      <c r="G430" s="7">
        <v>11001</v>
      </c>
      <c r="H430" s="12">
        <v>305</v>
      </c>
      <c r="I430" s="14">
        <v>1563757.33</v>
      </c>
      <c r="J430" s="14">
        <v>197351.46600000001</v>
      </c>
      <c r="K430" s="3">
        <v>0</v>
      </c>
      <c r="L430" s="15">
        <v>10999.567205200001</v>
      </c>
    </row>
    <row r="431" spans="1:12" x14ac:dyDescent="0.25">
      <c r="A431" s="12">
        <v>52787129</v>
      </c>
      <c r="B431" s="12"/>
      <c r="C431" s="12" t="s">
        <v>1332</v>
      </c>
      <c r="D431" s="4" t="s">
        <v>1333</v>
      </c>
      <c r="E431" s="13">
        <v>3173777755</v>
      </c>
      <c r="F431" s="4" t="s">
        <v>1334</v>
      </c>
      <c r="G431" s="7" t="s">
        <v>1335</v>
      </c>
      <c r="H431" s="12">
        <v>305</v>
      </c>
      <c r="I431" s="14">
        <v>1568397.5300000003</v>
      </c>
      <c r="J431" s="14">
        <v>156108.35200000004</v>
      </c>
      <c r="K431" s="3">
        <v>0</v>
      </c>
      <c r="L431" s="15">
        <v>11368.927882900003</v>
      </c>
    </row>
    <row r="432" spans="1:12" x14ac:dyDescent="0.25">
      <c r="A432" s="12">
        <v>17057375</v>
      </c>
      <c r="B432" s="12"/>
      <c r="C432" s="12" t="s">
        <v>1336</v>
      </c>
      <c r="D432" s="4" t="s">
        <v>1337</v>
      </c>
      <c r="E432" s="13">
        <v>6362180</v>
      </c>
      <c r="F432" s="4" t="s">
        <v>1338</v>
      </c>
      <c r="G432" s="7">
        <v>11001</v>
      </c>
      <c r="H432" s="12">
        <v>305</v>
      </c>
      <c r="I432" s="14">
        <v>1568971.2900000003</v>
      </c>
      <c r="J432" s="14">
        <v>193797.22200000004</v>
      </c>
      <c r="K432" s="3">
        <v>0</v>
      </c>
      <c r="L432" s="15">
        <v>11070.151247400001</v>
      </c>
    </row>
    <row r="433" spans="1:12" x14ac:dyDescent="0.25">
      <c r="A433" s="12">
        <v>19488846</v>
      </c>
      <c r="B433" s="12"/>
      <c r="C433" s="12" t="s">
        <v>1339</v>
      </c>
      <c r="D433" s="4" t="s">
        <v>1340</v>
      </c>
      <c r="E433" s="13">
        <v>6731884</v>
      </c>
      <c r="F433" s="4" t="s">
        <v>1341</v>
      </c>
      <c r="G433" s="7">
        <v>11001</v>
      </c>
      <c r="H433" s="12">
        <v>305</v>
      </c>
      <c r="I433" s="14">
        <v>1569340.99</v>
      </c>
      <c r="J433" s="14">
        <v>199141.98</v>
      </c>
      <c r="K433" s="3">
        <v>0</v>
      </c>
      <c r="L433" s="15">
        <v>11030.1020305</v>
      </c>
    </row>
    <row r="434" spans="1:12" x14ac:dyDescent="0.25">
      <c r="A434" s="12">
        <v>65699266</v>
      </c>
      <c r="B434" s="12"/>
      <c r="C434" s="12" t="s">
        <v>1342</v>
      </c>
      <c r="D434" s="4" t="s">
        <v>1343</v>
      </c>
      <c r="E434" s="13">
        <v>3176471763</v>
      </c>
      <c r="F434" s="4" t="s">
        <v>1344</v>
      </c>
      <c r="G434" s="7" t="s">
        <v>1345</v>
      </c>
      <c r="H434" s="12">
        <v>305</v>
      </c>
      <c r="I434" s="14">
        <v>1572478.13</v>
      </c>
      <c r="J434" s="14">
        <v>62518.81799999997</v>
      </c>
      <c r="K434" s="3">
        <v>0</v>
      </c>
      <c r="L434" s="15">
        <v>12155.172461599999</v>
      </c>
    </row>
    <row r="435" spans="1:12" x14ac:dyDescent="0.25">
      <c r="A435" s="12">
        <v>1057592681</v>
      </c>
      <c r="B435" s="12"/>
      <c r="C435" s="12" t="s">
        <v>1346</v>
      </c>
      <c r="D435" s="4" t="s">
        <v>1347</v>
      </c>
      <c r="E435" s="13">
        <v>3125463412</v>
      </c>
      <c r="F435" s="4" t="s">
        <v>1348</v>
      </c>
      <c r="G435" s="7" t="s">
        <v>15</v>
      </c>
      <c r="H435" s="12">
        <v>305</v>
      </c>
      <c r="I435" s="14">
        <v>1573165.0099999986</v>
      </c>
      <c r="J435" s="14">
        <v>0.15</v>
      </c>
      <c r="K435" s="3">
        <v>0</v>
      </c>
      <c r="L435" s="15">
        <v>12663.97712299999</v>
      </c>
    </row>
    <row r="436" spans="1:12" x14ac:dyDescent="0.25">
      <c r="A436" s="12">
        <v>79237639</v>
      </c>
      <c r="B436" s="12"/>
      <c r="C436" s="12" t="s">
        <v>1349</v>
      </c>
      <c r="D436" s="4" t="s">
        <v>1350</v>
      </c>
      <c r="E436" s="13">
        <v>4629630</v>
      </c>
      <c r="F436" s="4" t="s">
        <v>1351</v>
      </c>
      <c r="G436" s="7">
        <v>11001</v>
      </c>
      <c r="H436" s="12">
        <v>305</v>
      </c>
      <c r="I436" s="14">
        <v>1578111.01</v>
      </c>
      <c r="J436" s="14">
        <v>30649.764000000003</v>
      </c>
      <c r="K436" s="3">
        <v>0</v>
      </c>
      <c r="L436" s="15">
        <v>12457.0630303</v>
      </c>
    </row>
    <row r="437" spans="1:12" x14ac:dyDescent="0.25">
      <c r="A437" s="12">
        <v>79909250</v>
      </c>
      <c r="B437" s="12"/>
      <c r="C437" s="12" t="s">
        <v>1352</v>
      </c>
      <c r="D437" s="4" t="s">
        <v>1353</v>
      </c>
      <c r="E437" s="13">
        <v>3164495429</v>
      </c>
      <c r="F437" s="4" t="s">
        <v>1354</v>
      </c>
      <c r="G437" s="7">
        <v>11001</v>
      </c>
      <c r="H437" s="12">
        <v>305</v>
      </c>
      <c r="I437" s="14">
        <v>1578775.9600000004</v>
      </c>
      <c r="J437" s="14">
        <v>140629.48000000007</v>
      </c>
      <c r="K437" s="3">
        <v>0</v>
      </c>
      <c r="L437" s="15">
        <v>11577.079164000004</v>
      </c>
    </row>
    <row r="438" spans="1:12" x14ac:dyDescent="0.25">
      <c r="A438" s="12">
        <v>52451163</v>
      </c>
      <c r="B438" s="12"/>
      <c r="C438" s="12" t="s">
        <v>1355</v>
      </c>
      <c r="D438" s="4" t="s">
        <v>1356</v>
      </c>
      <c r="E438" s="13">
        <v>3202713000</v>
      </c>
      <c r="F438" s="4" t="s">
        <v>1357</v>
      </c>
      <c r="G438" s="7">
        <v>11001</v>
      </c>
      <c r="H438" s="12">
        <v>305</v>
      </c>
      <c r="I438" s="14">
        <v>1581658.15</v>
      </c>
      <c r="J438" s="14">
        <v>96491.629999999976</v>
      </c>
      <c r="K438" s="3">
        <v>0</v>
      </c>
      <c r="L438" s="15">
        <v>11955.590486000001</v>
      </c>
    </row>
    <row r="439" spans="1:12" x14ac:dyDescent="0.25">
      <c r="A439" s="12">
        <v>79982386</v>
      </c>
      <c r="B439" s="12"/>
      <c r="C439" s="12" t="s">
        <v>1358</v>
      </c>
      <c r="D439" s="4" t="s">
        <v>1359</v>
      </c>
      <c r="E439" s="13">
        <v>3158843911</v>
      </c>
      <c r="F439" s="4" t="s">
        <v>1360</v>
      </c>
      <c r="G439" s="7">
        <v>11001</v>
      </c>
      <c r="H439" s="12">
        <v>305</v>
      </c>
      <c r="I439" s="14">
        <v>1582136.58</v>
      </c>
      <c r="J439" s="14">
        <v>105167.31600000002</v>
      </c>
      <c r="K439" s="3">
        <v>0</v>
      </c>
      <c r="L439" s="15">
        <v>11889.602575199999</v>
      </c>
    </row>
    <row r="440" spans="1:12" x14ac:dyDescent="0.25">
      <c r="A440" s="12">
        <v>79957208</v>
      </c>
      <c r="B440" s="12"/>
      <c r="C440" s="12" t="s">
        <v>1361</v>
      </c>
      <c r="D440" s="4" t="s">
        <v>1362</v>
      </c>
      <c r="E440" s="13">
        <v>3014131709</v>
      </c>
      <c r="F440" s="4" t="s">
        <v>1363</v>
      </c>
      <c r="G440" s="7" t="s">
        <v>1364</v>
      </c>
      <c r="H440" s="12">
        <v>305</v>
      </c>
      <c r="I440" s="14">
        <v>1583458.02</v>
      </c>
      <c r="J440" s="14">
        <v>185586.22399999999</v>
      </c>
      <c r="K440" s="3">
        <v>0</v>
      </c>
      <c r="L440" s="15">
        <v>11252.867957800001</v>
      </c>
    </row>
    <row r="441" spans="1:12" x14ac:dyDescent="0.25">
      <c r="A441" s="12">
        <v>17102709</v>
      </c>
      <c r="B441" s="12"/>
      <c r="C441" s="12" t="s">
        <v>1365</v>
      </c>
      <c r="D441" s="4" t="s">
        <v>1366</v>
      </c>
      <c r="E441" s="13">
        <v>3123570407</v>
      </c>
      <c r="F441" s="4" t="s">
        <v>1367</v>
      </c>
      <c r="G441" s="7">
        <v>11001</v>
      </c>
      <c r="H441" s="12">
        <v>305</v>
      </c>
      <c r="I441" s="14">
        <v>1584000</v>
      </c>
      <c r="J441" s="14">
        <v>0.15</v>
      </c>
      <c r="K441" s="3">
        <v>0</v>
      </c>
      <c r="L441" s="15">
        <v>12751.198792500001</v>
      </c>
    </row>
    <row r="442" spans="1:12" x14ac:dyDescent="0.25">
      <c r="A442" s="12">
        <v>79428561</v>
      </c>
      <c r="B442" s="12"/>
      <c r="C442" s="12" t="s">
        <v>1368</v>
      </c>
      <c r="D442" s="4" t="s">
        <v>1369</v>
      </c>
      <c r="E442" s="13">
        <v>2851150</v>
      </c>
      <c r="F442" s="4" t="s">
        <v>1370</v>
      </c>
      <c r="G442" s="7">
        <v>11001</v>
      </c>
      <c r="H442" s="12">
        <v>305</v>
      </c>
      <c r="I442" s="14">
        <v>1585469.8099999998</v>
      </c>
      <c r="J442" s="14">
        <v>278660.76199999993</v>
      </c>
      <c r="K442" s="3">
        <v>0</v>
      </c>
      <c r="L442" s="15">
        <v>10519.8128364</v>
      </c>
    </row>
    <row r="443" spans="1:12" x14ac:dyDescent="0.25">
      <c r="A443" s="12">
        <v>19383022</v>
      </c>
      <c r="B443" s="12"/>
      <c r="C443" s="12" t="s">
        <v>1371</v>
      </c>
      <c r="D443" s="4" t="s">
        <v>1372</v>
      </c>
      <c r="E443" s="13">
        <v>3154704445</v>
      </c>
      <c r="F443" s="4" t="s">
        <v>1373</v>
      </c>
      <c r="G443" s="7" t="s">
        <v>925</v>
      </c>
      <c r="H443" s="12">
        <v>305</v>
      </c>
      <c r="I443" s="14">
        <v>1586082.67</v>
      </c>
      <c r="J443" s="14">
        <v>28666.733999999993</v>
      </c>
      <c r="K443" s="3">
        <v>0</v>
      </c>
      <c r="L443" s="15">
        <v>12537.198284799999</v>
      </c>
    </row>
    <row r="444" spans="1:12" x14ac:dyDescent="0.25">
      <c r="A444" s="12">
        <v>1030542356</v>
      </c>
      <c r="B444" s="12"/>
      <c r="C444" s="12" t="s">
        <v>1374</v>
      </c>
      <c r="D444" s="4" t="s">
        <v>1375</v>
      </c>
      <c r="E444" s="13">
        <v>3183186804</v>
      </c>
      <c r="F444" s="4" t="s">
        <v>165</v>
      </c>
      <c r="G444" s="7">
        <v>11001</v>
      </c>
      <c r="H444" s="12">
        <v>305</v>
      </c>
      <c r="I444" s="14">
        <v>1587600</v>
      </c>
      <c r="J444" s="14">
        <v>0.15</v>
      </c>
      <c r="K444" s="3">
        <v>0</v>
      </c>
      <c r="L444" s="15">
        <v>12780.178792500003</v>
      </c>
    </row>
    <row r="445" spans="1:12" x14ac:dyDescent="0.25">
      <c r="A445" s="12">
        <v>2962308</v>
      </c>
      <c r="B445" s="12"/>
      <c r="C445" s="12" t="s">
        <v>1376</v>
      </c>
      <c r="D445" s="4" t="s">
        <v>1377</v>
      </c>
      <c r="E445" s="13">
        <v>2145313</v>
      </c>
      <c r="F445" s="4" t="s">
        <v>1378</v>
      </c>
      <c r="G445" s="7">
        <v>11001</v>
      </c>
      <c r="H445" s="12">
        <v>305</v>
      </c>
      <c r="I445" s="14">
        <v>1587980.3199999998</v>
      </c>
      <c r="J445" s="14">
        <v>66346.487999999998</v>
      </c>
      <c r="K445" s="3">
        <v>0</v>
      </c>
      <c r="L445" s="15">
        <v>12249.1523476</v>
      </c>
    </row>
    <row r="446" spans="1:12" x14ac:dyDescent="0.25">
      <c r="A446" s="12">
        <v>52790037</v>
      </c>
      <c r="B446" s="12"/>
      <c r="C446" s="12" t="s">
        <v>1379</v>
      </c>
      <c r="D446" s="4" t="s">
        <v>1380</v>
      </c>
      <c r="E446" s="13">
        <v>3202725047</v>
      </c>
      <c r="F446" s="4" t="s">
        <v>1381</v>
      </c>
      <c r="G446" s="7">
        <v>11001</v>
      </c>
      <c r="H446" s="12">
        <v>305</v>
      </c>
      <c r="I446" s="14">
        <v>1588187</v>
      </c>
      <c r="J446" s="14">
        <v>174997.4</v>
      </c>
      <c r="K446" s="3">
        <v>0</v>
      </c>
      <c r="L446" s="15">
        <v>11376.176280000001</v>
      </c>
    </row>
    <row r="447" spans="1:12" x14ac:dyDescent="0.25">
      <c r="A447" s="12">
        <v>19257785</v>
      </c>
      <c r="B447" s="12"/>
      <c r="C447" s="12" t="s">
        <v>1382</v>
      </c>
      <c r="D447" s="4" t="s">
        <v>1383</v>
      </c>
      <c r="E447" s="13">
        <v>2148729</v>
      </c>
      <c r="F447" s="4" t="s">
        <v>1384</v>
      </c>
      <c r="G447" s="7">
        <v>11001</v>
      </c>
      <c r="H447" s="12">
        <v>305</v>
      </c>
      <c r="I447" s="14">
        <v>1589321.93</v>
      </c>
      <c r="J447" s="14">
        <v>167711.77999999997</v>
      </c>
      <c r="K447" s="3">
        <v>0</v>
      </c>
      <c r="L447" s="15">
        <v>11443.961707499999</v>
      </c>
    </row>
    <row r="448" spans="1:12" x14ac:dyDescent="0.25">
      <c r="A448" s="12">
        <v>32630215</v>
      </c>
      <c r="B448" s="12"/>
      <c r="C448" s="12" t="s">
        <v>1385</v>
      </c>
      <c r="D448" s="4" t="s">
        <v>1386</v>
      </c>
      <c r="E448" s="13">
        <v>3105819618</v>
      </c>
      <c r="F448" s="4" t="s">
        <v>1387</v>
      </c>
      <c r="G448" s="7">
        <v>11001</v>
      </c>
      <c r="H448" s="12">
        <v>305</v>
      </c>
      <c r="I448" s="14">
        <v>1589919.46</v>
      </c>
      <c r="J448" s="14">
        <v>165761.304</v>
      </c>
      <c r="K448" s="3">
        <v>0</v>
      </c>
      <c r="L448" s="15">
        <v>11464.4731558</v>
      </c>
    </row>
    <row r="449" spans="1:12" x14ac:dyDescent="0.25">
      <c r="A449" s="12">
        <v>88001557</v>
      </c>
      <c r="B449" s="12"/>
      <c r="C449" s="12" t="s">
        <v>1388</v>
      </c>
      <c r="D449" s="4" t="s">
        <v>1389</v>
      </c>
      <c r="E449" s="13">
        <v>3147717794</v>
      </c>
      <c r="F449" s="4" t="s">
        <v>1390</v>
      </c>
      <c r="G449" s="7">
        <v>11001</v>
      </c>
      <c r="H449" s="12">
        <v>305</v>
      </c>
      <c r="I449" s="14">
        <v>1592302.75</v>
      </c>
      <c r="J449" s="14">
        <v>95424.920000000042</v>
      </c>
      <c r="K449" s="3">
        <v>0</v>
      </c>
      <c r="L449" s="15">
        <v>12049.866531500002</v>
      </c>
    </row>
    <row r="450" spans="1:12" x14ac:dyDescent="0.25">
      <c r="A450" s="12">
        <v>21225746</v>
      </c>
      <c r="B450" s="12"/>
      <c r="C450" s="12" t="s">
        <v>1391</v>
      </c>
      <c r="D450" s="4" t="s">
        <v>1392</v>
      </c>
      <c r="E450" s="13">
        <v>3102687686</v>
      </c>
      <c r="F450" s="4" t="s">
        <v>1393</v>
      </c>
      <c r="G450" s="7" t="s">
        <v>1394</v>
      </c>
      <c r="H450" s="12">
        <v>305</v>
      </c>
      <c r="I450" s="14">
        <v>1595695</v>
      </c>
      <c r="J450" s="14">
        <v>143647.6</v>
      </c>
      <c r="K450" s="3">
        <v>0</v>
      </c>
      <c r="L450" s="15">
        <v>11688.98157</v>
      </c>
    </row>
    <row r="451" spans="1:12" x14ac:dyDescent="0.25">
      <c r="A451" s="12">
        <v>9074970</v>
      </c>
      <c r="B451" s="12"/>
      <c r="C451" s="12" t="s">
        <v>1395</v>
      </c>
      <c r="D451" s="4" t="s">
        <v>1396</v>
      </c>
      <c r="E451" s="13">
        <v>2267899</v>
      </c>
      <c r="F451" s="4" t="s">
        <v>428</v>
      </c>
      <c r="G451" s="7">
        <v>11001</v>
      </c>
      <c r="H451" s="12">
        <v>305</v>
      </c>
      <c r="I451" s="14">
        <v>1606600.3900000001</v>
      </c>
      <c r="J451" s="14">
        <v>187320.07800000001</v>
      </c>
      <c r="K451" s="3">
        <v>0</v>
      </c>
      <c r="L451" s="15">
        <v>11425.206511600001</v>
      </c>
    </row>
    <row r="452" spans="1:12" x14ac:dyDescent="0.25">
      <c r="A452" s="12">
        <v>28810211</v>
      </c>
      <c r="B452" s="12"/>
      <c r="C452" s="12" t="s">
        <v>1397</v>
      </c>
      <c r="D452" s="4" t="s">
        <v>1398</v>
      </c>
      <c r="E452" s="13">
        <v>3134730020</v>
      </c>
      <c r="F452" s="4" t="s">
        <v>1399</v>
      </c>
      <c r="G452" s="7">
        <v>11001</v>
      </c>
      <c r="H452" s="12">
        <v>305</v>
      </c>
      <c r="I452" s="14">
        <v>1606912.3399999996</v>
      </c>
      <c r="J452" s="14">
        <v>291402.46799999994</v>
      </c>
      <c r="K452" s="3">
        <v>0</v>
      </c>
      <c r="L452" s="15">
        <v>10589.854469599999</v>
      </c>
    </row>
    <row r="453" spans="1:12" x14ac:dyDescent="0.25">
      <c r="A453" s="12">
        <v>7517775</v>
      </c>
      <c r="B453" s="12"/>
      <c r="C453" s="12" t="s">
        <v>1400</v>
      </c>
      <c r="D453" s="4" t="s">
        <v>1401</v>
      </c>
      <c r="E453" s="13">
        <v>3102600808</v>
      </c>
      <c r="F453" s="4" t="s">
        <v>1402</v>
      </c>
      <c r="G453" s="7">
        <v>11001</v>
      </c>
      <c r="H453" s="12">
        <v>305</v>
      </c>
      <c r="I453" s="14">
        <v>1610739.8</v>
      </c>
      <c r="J453" s="14">
        <v>145499.21600000001</v>
      </c>
      <c r="K453" s="3">
        <v>0</v>
      </c>
      <c r="L453" s="15">
        <v>11795.1867012</v>
      </c>
    </row>
    <row r="454" spans="1:12" x14ac:dyDescent="0.25">
      <c r="A454" s="12">
        <v>51821366</v>
      </c>
      <c r="B454" s="12"/>
      <c r="C454" s="12" t="s">
        <v>1403</v>
      </c>
      <c r="D454" s="4" t="s">
        <v>1404</v>
      </c>
      <c r="E454" s="13">
        <v>3115708117</v>
      </c>
      <c r="F454" s="4" t="s">
        <v>1405</v>
      </c>
      <c r="G454" s="7" t="s">
        <v>1406</v>
      </c>
      <c r="H454" s="12">
        <v>305</v>
      </c>
      <c r="I454" s="14">
        <v>1613722.1599999997</v>
      </c>
      <c r="J454" s="14">
        <v>149057.70799999993</v>
      </c>
      <c r="K454" s="3">
        <v>0</v>
      </c>
      <c r="L454" s="15">
        <v>11790.5488386</v>
      </c>
    </row>
    <row r="455" spans="1:12" x14ac:dyDescent="0.25">
      <c r="A455" s="12">
        <v>79324084</v>
      </c>
      <c r="B455" s="12"/>
      <c r="C455" s="12" t="s">
        <v>1407</v>
      </c>
      <c r="D455" s="4" t="s">
        <v>1408</v>
      </c>
      <c r="E455" s="13">
        <v>3135756595</v>
      </c>
      <c r="F455" s="4" t="s">
        <v>1409</v>
      </c>
      <c r="G455" s="7">
        <v>11001</v>
      </c>
      <c r="H455" s="12">
        <v>305</v>
      </c>
      <c r="I455" s="14">
        <v>1613852.149999999</v>
      </c>
      <c r="J455" s="14">
        <v>277130.24399999977</v>
      </c>
      <c r="K455" s="3">
        <v>0</v>
      </c>
      <c r="L455" s="15">
        <v>10760.611343299995</v>
      </c>
    </row>
    <row r="456" spans="1:12" x14ac:dyDescent="0.25">
      <c r="A456" s="12">
        <v>17109743</v>
      </c>
      <c r="B456" s="12"/>
      <c r="C456" s="12" t="s">
        <v>1410</v>
      </c>
      <c r="D456" s="4" t="s">
        <v>1411</v>
      </c>
      <c r="E456" s="13">
        <v>3166991454</v>
      </c>
      <c r="F456" s="4" t="s">
        <v>1412</v>
      </c>
      <c r="G456" s="7">
        <v>11001</v>
      </c>
      <c r="H456" s="12">
        <v>305</v>
      </c>
      <c r="I456" s="14">
        <v>1613904.6400000001</v>
      </c>
      <c r="J456" s="14">
        <v>103926.13999999998</v>
      </c>
      <c r="K456" s="3">
        <v>0</v>
      </c>
      <c r="L456" s="15">
        <v>12155.326925000003</v>
      </c>
    </row>
    <row r="457" spans="1:12" x14ac:dyDescent="0.25">
      <c r="A457" s="12" t="s">
        <v>1413</v>
      </c>
      <c r="B457" s="12"/>
      <c r="C457" s="12" t="s">
        <v>1414</v>
      </c>
      <c r="D457" s="4" t="s">
        <v>1415</v>
      </c>
      <c r="E457" s="13">
        <v>3017391426</v>
      </c>
      <c r="F457" s="4" t="s">
        <v>1416</v>
      </c>
      <c r="G457" s="7">
        <v>11001</v>
      </c>
      <c r="H457" s="12">
        <v>305</v>
      </c>
      <c r="I457" s="14">
        <v>1620835</v>
      </c>
      <c r="J457" s="14">
        <v>0.15</v>
      </c>
      <c r="K457" s="3">
        <v>0</v>
      </c>
      <c r="L457" s="15">
        <v>13047.720542500001</v>
      </c>
    </row>
    <row r="458" spans="1:12" x14ac:dyDescent="0.25">
      <c r="A458" s="12">
        <v>51870474</v>
      </c>
      <c r="B458" s="12"/>
      <c r="C458" s="12" t="s">
        <v>1417</v>
      </c>
      <c r="D458" s="4" t="s">
        <v>1418</v>
      </c>
      <c r="E458" s="13">
        <v>3113249006</v>
      </c>
      <c r="F458" s="4" t="s">
        <v>1419</v>
      </c>
      <c r="G458" s="7" t="s">
        <v>144</v>
      </c>
      <c r="H458" s="12">
        <v>305</v>
      </c>
      <c r="I458" s="14">
        <v>1623410.95</v>
      </c>
      <c r="J458" s="14">
        <v>20742.189999999999</v>
      </c>
      <c r="K458" s="3">
        <v>0</v>
      </c>
      <c r="L458" s="15">
        <v>12901.483517999999</v>
      </c>
    </row>
    <row r="459" spans="1:12" x14ac:dyDescent="0.25">
      <c r="A459" s="12">
        <v>900958371</v>
      </c>
      <c r="B459" s="12">
        <v>4</v>
      </c>
      <c r="C459" s="12" t="s">
        <v>1420</v>
      </c>
      <c r="D459" s="4" t="s">
        <v>1421</v>
      </c>
      <c r="E459" s="13">
        <v>3002239238</v>
      </c>
      <c r="F459" s="4" t="s">
        <v>1422</v>
      </c>
      <c r="G459" s="7">
        <v>11001</v>
      </c>
      <c r="H459" s="12">
        <v>305</v>
      </c>
      <c r="I459" s="14">
        <v>1626400</v>
      </c>
      <c r="J459" s="14">
        <v>0.15</v>
      </c>
      <c r="K459" s="3">
        <v>0</v>
      </c>
      <c r="L459" s="15">
        <v>13092.518792500001</v>
      </c>
    </row>
    <row r="460" spans="1:12" x14ac:dyDescent="0.25">
      <c r="A460" s="12">
        <v>79150747</v>
      </c>
      <c r="B460" s="12"/>
      <c r="C460" s="12" t="s">
        <v>1423</v>
      </c>
      <c r="D460" s="4" t="s">
        <v>1424</v>
      </c>
      <c r="E460" s="13">
        <v>6296523</v>
      </c>
      <c r="F460" s="4" t="s">
        <v>1425</v>
      </c>
      <c r="G460" s="7">
        <v>11001</v>
      </c>
      <c r="H460" s="12">
        <v>305</v>
      </c>
      <c r="I460" s="14">
        <v>1628738.18</v>
      </c>
      <c r="J460" s="14">
        <v>151303.09599999999</v>
      </c>
      <c r="K460" s="3">
        <v>0</v>
      </c>
      <c r="L460" s="15">
        <v>11893.352426200001</v>
      </c>
    </row>
    <row r="461" spans="1:12" x14ac:dyDescent="0.25">
      <c r="A461" s="12">
        <v>80195557</v>
      </c>
      <c r="B461" s="12"/>
      <c r="C461" s="12" t="s">
        <v>1426</v>
      </c>
      <c r="D461" s="4" t="s">
        <v>1427</v>
      </c>
      <c r="E461" s="13">
        <v>3173795557</v>
      </c>
      <c r="F461" s="4" t="s">
        <v>1428</v>
      </c>
      <c r="G461" s="7">
        <v>11001</v>
      </c>
      <c r="H461" s="12">
        <v>305</v>
      </c>
      <c r="I461" s="14">
        <v>1630694.65</v>
      </c>
      <c r="J461" s="14">
        <v>201438.93</v>
      </c>
      <c r="K461" s="3">
        <v>0</v>
      </c>
      <c r="L461" s="15">
        <v>11505.508546000001</v>
      </c>
    </row>
    <row r="462" spans="1:12" x14ac:dyDescent="0.25">
      <c r="A462" s="12">
        <v>1019132991</v>
      </c>
      <c r="B462" s="12"/>
      <c r="C462" s="12" t="s">
        <v>1429</v>
      </c>
      <c r="D462" s="4" t="s">
        <v>1430</v>
      </c>
      <c r="E462" s="13">
        <v>3123010316</v>
      </c>
      <c r="F462" s="4" t="s">
        <v>1431</v>
      </c>
      <c r="G462" s="7">
        <v>11001</v>
      </c>
      <c r="H462" s="12">
        <v>305</v>
      </c>
      <c r="I462" s="14">
        <v>1632312.4</v>
      </c>
      <c r="J462" s="14">
        <v>42722.144</v>
      </c>
      <c r="K462" s="3">
        <v>0</v>
      </c>
      <c r="L462" s="15">
        <v>12796.201560799998</v>
      </c>
    </row>
    <row r="463" spans="1:12" x14ac:dyDescent="0.25">
      <c r="A463" s="12">
        <v>79291384</v>
      </c>
      <c r="B463" s="12"/>
      <c r="C463" s="12" t="s">
        <v>1432</v>
      </c>
      <c r="D463" s="4" t="s">
        <v>1433</v>
      </c>
      <c r="E463" s="13">
        <v>9307299</v>
      </c>
      <c r="F463" s="4" t="s">
        <v>1434</v>
      </c>
      <c r="G463" s="7">
        <v>11001</v>
      </c>
      <c r="H463" s="12">
        <v>305</v>
      </c>
      <c r="I463" s="14">
        <v>1635927.4800000002</v>
      </c>
      <c r="J463" s="14">
        <v>195665.49600000004</v>
      </c>
      <c r="K463" s="3">
        <v>0</v>
      </c>
      <c r="L463" s="15">
        <v>11594.108971200001</v>
      </c>
    </row>
    <row r="464" spans="1:12" x14ac:dyDescent="0.25">
      <c r="A464" s="12">
        <v>80871528</v>
      </c>
      <c r="B464" s="12"/>
      <c r="C464" s="12" t="s">
        <v>1435</v>
      </c>
      <c r="D464" s="4" t="s">
        <v>1436</v>
      </c>
      <c r="E464" s="13">
        <v>3015221102</v>
      </c>
      <c r="F464" s="4" t="s">
        <v>1437</v>
      </c>
      <c r="G464" s="7">
        <v>11001</v>
      </c>
      <c r="H464" s="12">
        <v>305</v>
      </c>
      <c r="I464" s="14">
        <v>1639721.3800000006</v>
      </c>
      <c r="J464" s="14">
        <v>199933.99600000013</v>
      </c>
      <c r="K464" s="3">
        <v>0</v>
      </c>
      <c r="L464" s="15">
        <v>11590.288441200006</v>
      </c>
    </row>
    <row r="465" spans="1:12" x14ac:dyDescent="0.25">
      <c r="A465" s="12">
        <v>1007861905</v>
      </c>
      <c r="B465" s="12"/>
      <c r="C465" s="12" t="s">
        <v>1438</v>
      </c>
      <c r="D465" s="4" t="s">
        <v>1439</v>
      </c>
      <c r="E465" s="13">
        <v>3005066489</v>
      </c>
      <c r="F465" s="4" t="s">
        <v>1440</v>
      </c>
      <c r="G465" s="7" t="s">
        <v>333</v>
      </c>
      <c r="H465" s="12">
        <v>305</v>
      </c>
      <c r="I465" s="14">
        <v>1642598.5699999998</v>
      </c>
      <c r="J465" s="14">
        <v>104259.37800000001</v>
      </c>
      <c r="K465" s="3">
        <v>0</v>
      </c>
      <c r="L465" s="15">
        <v>12383.630495599999</v>
      </c>
    </row>
    <row r="466" spans="1:12" x14ac:dyDescent="0.25">
      <c r="A466" s="12">
        <v>14438180</v>
      </c>
      <c r="B466" s="12"/>
      <c r="C466" s="12" t="s">
        <v>1441</v>
      </c>
      <c r="D466" s="4" t="s">
        <v>1442</v>
      </c>
      <c r="E466" s="13">
        <v>6154570</v>
      </c>
      <c r="F466" s="4" t="s">
        <v>1443</v>
      </c>
      <c r="G466" s="7">
        <v>11001</v>
      </c>
      <c r="H466" s="12">
        <v>305</v>
      </c>
      <c r="I466" s="14">
        <v>1645049.65</v>
      </c>
      <c r="J466" s="14">
        <v>185075.81199999995</v>
      </c>
      <c r="K466" s="3">
        <v>0</v>
      </c>
      <c r="L466" s="15">
        <v>11752.789395900001</v>
      </c>
    </row>
    <row r="467" spans="1:12" x14ac:dyDescent="0.25">
      <c r="A467" s="12">
        <v>41312769</v>
      </c>
      <c r="B467" s="12"/>
      <c r="C467" s="12" t="s">
        <v>1444</v>
      </c>
      <c r="D467" s="4" t="s">
        <v>1445</v>
      </c>
      <c r="E467" s="13">
        <v>3007875565</v>
      </c>
      <c r="F467" s="4" t="s">
        <v>1446</v>
      </c>
      <c r="G467" s="7" t="s">
        <v>1447</v>
      </c>
      <c r="H467" s="12">
        <v>305</v>
      </c>
      <c r="I467" s="14">
        <v>1646517</v>
      </c>
      <c r="J467" s="14">
        <v>95963.4</v>
      </c>
      <c r="K467" s="3">
        <v>0</v>
      </c>
      <c r="L467" s="15">
        <v>12481.956480000001</v>
      </c>
    </row>
    <row r="468" spans="1:12" x14ac:dyDescent="0.25">
      <c r="A468" s="12">
        <v>7317415</v>
      </c>
      <c r="B468" s="12"/>
      <c r="C468" s="12" t="s">
        <v>1448</v>
      </c>
      <c r="D468" s="4" t="s">
        <v>1449</v>
      </c>
      <c r="E468" s="13">
        <v>3043901346</v>
      </c>
      <c r="F468" s="4" t="s">
        <v>1450</v>
      </c>
      <c r="G468" s="7" t="s">
        <v>603</v>
      </c>
      <c r="H468" s="12">
        <v>305</v>
      </c>
      <c r="I468" s="14">
        <v>1653218.2999999998</v>
      </c>
      <c r="J468" s="14">
        <v>183124.29599999994</v>
      </c>
      <c r="K468" s="3">
        <v>0</v>
      </c>
      <c r="L468" s="15">
        <v>11834.2567322</v>
      </c>
    </row>
    <row r="469" spans="1:12" x14ac:dyDescent="0.25">
      <c r="A469" s="12">
        <v>88143404</v>
      </c>
      <c r="B469" s="12"/>
      <c r="C469" s="12" t="s">
        <v>1451</v>
      </c>
      <c r="D469" s="4" t="s">
        <v>1452</v>
      </c>
      <c r="E469" s="13">
        <v>3153296496</v>
      </c>
      <c r="F469" s="4" t="s">
        <v>1453</v>
      </c>
      <c r="G469" s="7">
        <v>11001</v>
      </c>
      <c r="H469" s="12">
        <v>305</v>
      </c>
      <c r="I469" s="14">
        <v>1655734.3000000003</v>
      </c>
      <c r="J469" s="14">
        <v>87087.276000000027</v>
      </c>
      <c r="K469" s="3">
        <v>0</v>
      </c>
      <c r="L469" s="15">
        <v>12627.6085432</v>
      </c>
    </row>
    <row r="470" spans="1:12" x14ac:dyDescent="0.25">
      <c r="A470" s="12">
        <v>80770334</v>
      </c>
      <c r="B470" s="12"/>
      <c r="C470" s="12" t="s">
        <v>1454</v>
      </c>
      <c r="D470" s="4" t="s">
        <v>1455</v>
      </c>
      <c r="E470" s="13">
        <v>3379820</v>
      </c>
      <c r="F470" s="4" t="s">
        <v>1456</v>
      </c>
      <c r="G470" s="7">
        <v>11001</v>
      </c>
      <c r="H470" s="12">
        <v>305</v>
      </c>
      <c r="I470" s="14">
        <v>1658436.2800000003</v>
      </c>
      <c r="J470" s="14">
        <v>120427.25600000005</v>
      </c>
      <c r="K470" s="3">
        <v>0</v>
      </c>
      <c r="L470" s="15">
        <v>12380.972643200002</v>
      </c>
    </row>
    <row r="471" spans="1:12" x14ac:dyDescent="0.25">
      <c r="A471" s="12">
        <v>8709543</v>
      </c>
      <c r="B471" s="12"/>
      <c r="C471" s="12" t="s">
        <v>1457</v>
      </c>
      <c r="D471" s="4" t="s">
        <v>1458</v>
      </c>
      <c r="E471" s="13">
        <v>3008172310</v>
      </c>
      <c r="F471" s="4" t="s">
        <v>1459</v>
      </c>
      <c r="G471" s="7">
        <v>11001</v>
      </c>
      <c r="H471" s="12">
        <v>305</v>
      </c>
      <c r="I471" s="14">
        <v>1658670</v>
      </c>
      <c r="J471" s="14">
        <v>229974</v>
      </c>
      <c r="K471" s="3">
        <v>0</v>
      </c>
      <c r="L471" s="15">
        <v>11501.002799999998</v>
      </c>
    </row>
    <row r="472" spans="1:12" x14ac:dyDescent="0.25">
      <c r="A472" s="12">
        <v>79514787</v>
      </c>
      <c r="B472" s="12"/>
      <c r="C472" s="12" t="s">
        <v>1460</v>
      </c>
      <c r="D472" s="4" t="s">
        <v>1461</v>
      </c>
      <c r="E472" s="13">
        <v>3159274261</v>
      </c>
      <c r="F472" s="4" t="s">
        <v>1462</v>
      </c>
      <c r="G472" s="7">
        <v>11001</v>
      </c>
      <c r="H472" s="12">
        <v>305</v>
      </c>
      <c r="I472" s="14">
        <v>1660039.7099999997</v>
      </c>
      <c r="J472" s="14">
        <v>213509.58999999994</v>
      </c>
      <c r="K472" s="3">
        <v>0</v>
      </c>
      <c r="L472" s="15">
        <v>11644.567466</v>
      </c>
    </row>
    <row r="473" spans="1:12" x14ac:dyDescent="0.25">
      <c r="A473" s="12">
        <v>91427079</v>
      </c>
      <c r="B473" s="12"/>
      <c r="C473" s="12" t="s">
        <v>1463</v>
      </c>
      <c r="D473" s="4" t="s">
        <v>1464</v>
      </c>
      <c r="E473" s="13">
        <v>3006548600</v>
      </c>
      <c r="F473" s="4" t="s">
        <v>1465</v>
      </c>
      <c r="G473" s="7" t="s">
        <v>301</v>
      </c>
      <c r="H473" s="12">
        <v>305</v>
      </c>
      <c r="I473" s="14">
        <v>1660517.4400000002</v>
      </c>
      <c r="J473" s="14">
        <v>119092.228</v>
      </c>
      <c r="K473" s="3">
        <v>0</v>
      </c>
      <c r="L473" s="15">
        <v>12408.472956600002</v>
      </c>
    </row>
    <row r="474" spans="1:12" x14ac:dyDescent="0.25">
      <c r="A474" s="12">
        <v>79390353</v>
      </c>
      <c r="B474" s="12"/>
      <c r="C474" s="12" t="s">
        <v>1466</v>
      </c>
      <c r="D474" s="4" t="s">
        <v>1467</v>
      </c>
      <c r="E474" s="13">
        <v>3106912067</v>
      </c>
      <c r="F474" s="4" t="s">
        <v>1468</v>
      </c>
      <c r="G474" s="7">
        <v>11001</v>
      </c>
      <c r="H474" s="12">
        <v>305</v>
      </c>
      <c r="I474" s="14">
        <v>1661349.6999999997</v>
      </c>
      <c r="J474" s="14">
        <v>123277.66999999994</v>
      </c>
      <c r="K474" s="3">
        <v>0</v>
      </c>
      <c r="L474" s="15">
        <v>12381.479841499999</v>
      </c>
    </row>
    <row r="475" spans="1:12" x14ac:dyDescent="0.25">
      <c r="A475" s="12">
        <v>19392670</v>
      </c>
      <c r="B475" s="12"/>
      <c r="C475" s="12" t="s">
        <v>1469</v>
      </c>
      <c r="D475" s="4" t="s">
        <v>1470</v>
      </c>
      <c r="E475" s="13">
        <v>3002663513</v>
      </c>
      <c r="F475" s="4" t="s">
        <v>1471</v>
      </c>
      <c r="G475" s="7">
        <v>11001</v>
      </c>
      <c r="H475" s="12">
        <v>305</v>
      </c>
      <c r="I475" s="14">
        <v>1663547.3900000001</v>
      </c>
      <c r="J475" s="14">
        <v>175409.478</v>
      </c>
      <c r="K475" s="3">
        <v>0</v>
      </c>
      <c r="L475" s="15">
        <v>11979.5101916</v>
      </c>
    </row>
    <row r="476" spans="1:12" x14ac:dyDescent="0.25">
      <c r="A476" s="12">
        <v>51639406</v>
      </c>
      <c r="B476" s="12"/>
      <c r="C476" s="12" t="s">
        <v>1472</v>
      </c>
      <c r="D476" s="4" t="s">
        <v>1473</v>
      </c>
      <c r="E476" s="13">
        <v>3138076747</v>
      </c>
      <c r="F476" s="4" t="s">
        <v>1474</v>
      </c>
      <c r="G476" s="7">
        <v>11001</v>
      </c>
      <c r="H476" s="12">
        <v>305</v>
      </c>
      <c r="I476" s="14">
        <v>1667739.8899999997</v>
      </c>
      <c r="J476" s="14">
        <v>198958.56599999993</v>
      </c>
      <c r="K476" s="3">
        <v>0</v>
      </c>
      <c r="L476" s="15">
        <v>11823.689658199999</v>
      </c>
    </row>
    <row r="477" spans="1:12" x14ac:dyDescent="0.25">
      <c r="A477" s="12">
        <v>7225759</v>
      </c>
      <c r="B477" s="12"/>
      <c r="C477" s="12" t="s">
        <v>1475</v>
      </c>
      <c r="D477" s="4" t="s">
        <v>1476</v>
      </c>
      <c r="E477" s="13">
        <v>3164761297</v>
      </c>
      <c r="F477" s="4" t="s">
        <v>1477</v>
      </c>
      <c r="G477" s="7" t="s">
        <v>422</v>
      </c>
      <c r="H477" s="12">
        <v>305</v>
      </c>
      <c r="I477" s="14">
        <v>1669138.3799999997</v>
      </c>
      <c r="J477" s="14">
        <v>262507.67599999992</v>
      </c>
      <c r="K477" s="3">
        <v>0</v>
      </c>
      <c r="L477" s="15">
        <v>11323.377167199998</v>
      </c>
    </row>
    <row r="478" spans="1:12" x14ac:dyDescent="0.25">
      <c r="A478" s="12">
        <v>52786381</v>
      </c>
      <c r="B478" s="12"/>
      <c r="C478" s="12" t="s">
        <v>1478</v>
      </c>
      <c r="D478" s="4" t="s">
        <v>1479</v>
      </c>
      <c r="E478" s="13">
        <v>3146162406</v>
      </c>
      <c r="F478" s="4" t="s">
        <v>1480</v>
      </c>
      <c r="G478" s="7">
        <v>11001</v>
      </c>
      <c r="H478" s="12">
        <v>305</v>
      </c>
      <c r="I478" s="14">
        <v>1671444.51</v>
      </c>
      <c r="J478" s="14">
        <v>37888.902000000002</v>
      </c>
      <c r="K478" s="3">
        <v>0</v>
      </c>
      <c r="L478" s="15">
        <v>13150.1226444</v>
      </c>
    </row>
    <row r="479" spans="1:12" x14ac:dyDescent="0.25">
      <c r="A479" s="12">
        <v>900977045</v>
      </c>
      <c r="B479" s="12">
        <v>9</v>
      </c>
      <c r="C479" s="12" t="s">
        <v>1481</v>
      </c>
      <c r="D479" s="4" t="s">
        <v>1482</v>
      </c>
      <c r="E479" s="13">
        <v>3184572884</v>
      </c>
      <c r="F479" s="4" t="s">
        <v>1483</v>
      </c>
      <c r="G479" s="7">
        <v>11001</v>
      </c>
      <c r="H479" s="12">
        <v>305</v>
      </c>
      <c r="I479" s="14">
        <v>1674000</v>
      </c>
      <c r="J479" s="14">
        <v>0.15</v>
      </c>
      <c r="K479" s="3">
        <v>0</v>
      </c>
      <c r="L479" s="15">
        <v>13475.698792500001</v>
      </c>
    </row>
    <row r="480" spans="1:12" x14ac:dyDescent="0.25">
      <c r="A480" s="12">
        <v>79980217</v>
      </c>
      <c r="B480" s="12"/>
      <c r="C480" s="12" t="s">
        <v>1484</v>
      </c>
      <c r="D480" s="4" t="s">
        <v>1485</v>
      </c>
      <c r="E480" s="13">
        <v>3002160474</v>
      </c>
      <c r="F480" s="4" t="s">
        <v>1486</v>
      </c>
      <c r="G480" s="7">
        <v>11001</v>
      </c>
      <c r="H480" s="12">
        <v>305</v>
      </c>
      <c r="I480" s="14">
        <v>1678670.5700000003</v>
      </c>
      <c r="J480" s="14">
        <v>149127.04400000005</v>
      </c>
      <c r="K480" s="3">
        <v>0</v>
      </c>
      <c r="L480" s="15">
        <v>12312.825384300002</v>
      </c>
    </row>
    <row r="481" spans="1:12" x14ac:dyDescent="0.25">
      <c r="A481" s="12">
        <v>79689174</v>
      </c>
      <c r="B481" s="12"/>
      <c r="C481" s="12" t="s">
        <v>1487</v>
      </c>
      <c r="D481" s="4" t="s">
        <v>1488</v>
      </c>
      <c r="E481" s="13">
        <v>3102272427</v>
      </c>
      <c r="F481" s="4" t="s">
        <v>1489</v>
      </c>
      <c r="G481" s="7">
        <v>11001</v>
      </c>
      <c r="H481" s="12">
        <v>305</v>
      </c>
      <c r="I481" s="14">
        <v>1681334</v>
      </c>
      <c r="J481" s="14">
        <v>143266.79999999999</v>
      </c>
      <c r="K481" s="3">
        <v>0</v>
      </c>
      <c r="L481" s="15">
        <v>12381.44096</v>
      </c>
    </row>
    <row r="482" spans="1:12" x14ac:dyDescent="0.25">
      <c r="A482" s="12">
        <v>12991334</v>
      </c>
      <c r="B482" s="12"/>
      <c r="C482" s="12" t="s">
        <v>1490</v>
      </c>
      <c r="D482" s="4" t="s">
        <v>1491</v>
      </c>
      <c r="E482" s="13">
        <v>3219723610</v>
      </c>
      <c r="F482" s="4" t="s">
        <v>1492</v>
      </c>
      <c r="G482" s="7">
        <v>11001</v>
      </c>
      <c r="H482" s="12">
        <v>305</v>
      </c>
      <c r="I482" s="14">
        <v>1683062.5700000005</v>
      </c>
      <c r="J482" s="14">
        <v>150425.45600000009</v>
      </c>
      <c r="K482" s="3">
        <v>0</v>
      </c>
      <c r="L482" s="15">
        <v>12337.728767700004</v>
      </c>
    </row>
    <row r="483" spans="1:12" x14ac:dyDescent="0.25">
      <c r="A483" s="12">
        <v>66706366</v>
      </c>
      <c r="B483" s="12"/>
      <c r="C483" s="12" t="s">
        <v>1493</v>
      </c>
      <c r="D483" s="4" t="s">
        <v>1494</v>
      </c>
      <c r="E483" s="13">
        <v>3125205066</v>
      </c>
      <c r="F483" s="4" t="s">
        <v>1495</v>
      </c>
      <c r="G483" s="7">
        <v>11001</v>
      </c>
      <c r="H483" s="12">
        <v>305</v>
      </c>
      <c r="I483" s="14">
        <v>1684046</v>
      </c>
      <c r="J483" s="14">
        <v>67128.000000000015</v>
      </c>
      <c r="K483" s="3">
        <v>0</v>
      </c>
      <c r="L483" s="15">
        <v>13016.189899999999</v>
      </c>
    </row>
    <row r="484" spans="1:12" x14ac:dyDescent="0.25">
      <c r="A484" s="12">
        <v>13363642</v>
      </c>
      <c r="B484" s="12"/>
      <c r="C484" s="12" t="s">
        <v>1496</v>
      </c>
      <c r="D484" s="4" t="s">
        <v>1497</v>
      </c>
      <c r="E484" s="13">
        <v>3208464865</v>
      </c>
      <c r="F484" s="4" t="s">
        <v>1498</v>
      </c>
      <c r="G484" s="7">
        <v>11001</v>
      </c>
      <c r="H484" s="12">
        <v>305</v>
      </c>
      <c r="I484" s="14">
        <v>1685630.7</v>
      </c>
      <c r="J484" s="14">
        <v>48686.14</v>
      </c>
      <c r="K484" s="3">
        <v>0</v>
      </c>
      <c r="L484" s="15">
        <v>13177.403708000002</v>
      </c>
    </row>
    <row r="485" spans="1:12" x14ac:dyDescent="0.25">
      <c r="A485" s="12">
        <v>19320304</v>
      </c>
      <c r="B485" s="12"/>
      <c r="C485" s="12" t="s">
        <v>1499</v>
      </c>
      <c r="D485" s="4" t="s">
        <v>1500</v>
      </c>
      <c r="E485" s="13">
        <v>4505267</v>
      </c>
      <c r="F485" s="4" t="s">
        <v>1501</v>
      </c>
      <c r="G485" s="7">
        <v>11001</v>
      </c>
      <c r="H485" s="12">
        <v>305</v>
      </c>
      <c r="I485" s="14">
        <v>1689067.6499999997</v>
      </c>
      <c r="J485" s="14">
        <v>161797.89999999997</v>
      </c>
      <c r="K485" s="3">
        <v>0</v>
      </c>
      <c r="L485" s="15">
        <v>12294.521487499998</v>
      </c>
    </row>
    <row r="486" spans="1:12" x14ac:dyDescent="0.25">
      <c r="A486" s="12">
        <v>19331256</v>
      </c>
      <c r="B486" s="12"/>
      <c r="C486" s="12" t="s">
        <v>1502</v>
      </c>
      <c r="D486" s="4" t="s">
        <v>1503</v>
      </c>
      <c r="E486" s="13">
        <v>3134181602</v>
      </c>
      <c r="F486" s="4" t="s">
        <v>1504</v>
      </c>
      <c r="G486" s="7">
        <v>11001</v>
      </c>
      <c r="H486" s="12">
        <v>305</v>
      </c>
      <c r="I486" s="14">
        <v>1692625.0000000002</v>
      </c>
      <c r="J486" s="14">
        <v>201458.78200000001</v>
      </c>
      <c r="K486" s="3">
        <v>0</v>
      </c>
      <c r="L486" s="15">
        <v>12003.888054900002</v>
      </c>
    </row>
    <row r="487" spans="1:12" x14ac:dyDescent="0.25">
      <c r="A487" s="12">
        <v>1022405125</v>
      </c>
      <c r="B487" s="12"/>
      <c r="C487" s="12" t="s">
        <v>1505</v>
      </c>
      <c r="D487" s="4" t="s">
        <v>1506</v>
      </c>
      <c r="E487" s="13">
        <v>3124341278</v>
      </c>
      <c r="F487" s="4" t="s">
        <v>1507</v>
      </c>
      <c r="G487" s="7">
        <v>11001</v>
      </c>
      <c r="H487" s="12">
        <v>305</v>
      </c>
      <c r="I487" s="14">
        <v>1696104.6399999997</v>
      </c>
      <c r="J487" s="14">
        <v>85532.271999999997</v>
      </c>
      <c r="K487" s="3">
        <v>0</v>
      </c>
      <c r="L487" s="15">
        <v>12965.107562399997</v>
      </c>
    </row>
    <row r="488" spans="1:12" x14ac:dyDescent="0.25">
      <c r="A488" s="12">
        <v>88255180</v>
      </c>
      <c r="B488" s="12"/>
      <c r="C488" s="12" t="s">
        <v>1508</v>
      </c>
      <c r="D488" s="4" t="s">
        <v>1509</v>
      </c>
      <c r="E488" s="13">
        <v>3105773619</v>
      </c>
      <c r="F488" s="4" t="s">
        <v>1510</v>
      </c>
      <c r="G488" s="7" t="s">
        <v>603</v>
      </c>
      <c r="H488" s="12">
        <v>305</v>
      </c>
      <c r="I488" s="14">
        <v>1697896.92</v>
      </c>
      <c r="J488" s="14">
        <v>14500</v>
      </c>
      <c r="K488" s="3">
        <v>0</v>
      </c>
      <c r="L488" s="15">
        <v>13551.345206</v>
      </c>
    </row>
    <row r="489" spans="1:12" x14ac:dyDescent="0.25">
      <c r="A489" s="12">
        <v>1051266261</v>
      </c>
      <c r="B489" s="12"/>
      <c r="C489" s="12" t="s">
        <v>1511</v>
      </c>
      <c r="D489" s="4" t="s">
        <v>1512</v>
      </c>
      <c r="E489" s="13">
        <v>3212718811</v>
      </c>
      <c r="F489" s="4" t="s">
        <v>1513</v>
      </c>
      <c r="G489" s="7" t="s">
        <v>1514</v>
      </c>
      <c r="H489" s="12">
        <v>305</v>
      </c>
      <c r="I489" s="14">
        <v>1698621.9</v>
      </c>
      <c r="J489" s="14">
        <v>190679.67399999991</v>
      </c>
      <c r="K489" s="3">
        <v>0</v>
      </c>
      <c r="L489" s="15">
        <v>12138.9349193</v>
      </c>
    </row>
    <row r="490" spans="1:12" x14ac:dyDescent="0.25">
      <c r="A490" s="12">
        <v>1032400389</v>
      </c>
      <c r="B490" s="12"/>
      <c r="C490" s="12" t="s">
        <v>1515</v>
      </c>
      <c r="D490" s="4" t="s">
        <v>1516</v>
      </c>
      <c r="E490" s="13">
        <v>3143223927</v>
      </c>
      <c r="F490" s="4" t="s">
        <v>1517</v>
      </c>
      <c r="G490" s="7">
        <v>11001</v>
      </c>
      <c r="H490" s="12">
        <v>305</v>
      </c>
      <c r="I490" s="14">
        <v>1702045.12</v>
      </c>
      <c r="J490" s="14">
        <v>111501.96600000001</v>
      </c>
      <c r="K490" s="3">
        <v>0</v>
      </c>
      <c r="L490" s="15">
        <v>12803.8723897</v>
      </c>
    </row>
    <row r="491" spans="1:12" x14ac:dyDescent="0.25">
      <c r="A491" s="12">
        <v>3438784</v>
      </c>
      <c r="B491" s="12"/>
      <c r="C491" s="12" t="s">
        <v>1518</v>
      </c>
      <c r="D491" s="4" t="s">
        <v>1519</v>
      </c>
      <c r="E491" s="13">
        <v>3168730078</v>
      </c>
      <c r="F491" s="4" t="s">
        <v>1520</v>
      </c>
      <c r="G491" s="7">
        <v>11001</v>
      </c>
      <c r="H491" s="12">
        <v>305</v>
      </c>
      <c r="I491" s="14">
        <v>1703703.7099999997</v>
      </c>
      <c r="J491" s="14">
        <v>0.15</v>
      </c>
      <c r="K491" s="3">
        <v>0</v>
      </c>
      <c r="L491" s="15">
        <v>13714.813657999999</v>
      </c>
    </row>
    <row r="492" spans="1:12" x14ac:dyDescent="0.25">
      <c r="A492" s="12">
        <v>52353626</v>
      </c>
      <c r="B492" s="12"/>
      <c r="C492" s="12" t="s">
        <v>1521</v>
      </c>
      <c r="D492" s="4" t="s">
        <v>1522</v>
      </c>
      <c r="E492" s="13">
        <v>3208089163</v>
      </c>
      <c r="F492" s="4" t="s">
        <v>1523</v>
      </c>
      <c r="G492" s="7">
        <v>11001</v>
      </c>
      <c r="H492" s="12">
        <v>305</v>
      </c>
      <c r="I492" s="14">
        <v>1706289.9100000004</v>
      </c>
      <c r="J492" s="14">
        <v>189593.2760000001</v>
      </c>
      <c r="K492" s="3">
        <v>0</v>
      </c>
      <c r="L492" s="15">
        <v>12209.407903700003</v>
      </c>
    </row>
    <row r="493" spans="1:12" x14ac:dyDescent="0.25">
      <c r="A493" s="12">
        <v>1094931499</v>
      </c>
      <c r="B493" s="12"/>
      <c r="C493" s="12" t="s">
        <v>1524</v>
      </c>
      <c r="D493" s="4" t="s">
        <v>1525</v>
      </c>
      <c r="E493" s="13">
        <v>3105893167</v>
      </c>
      <c r="F493" s="4" t="s">
        <v>1526</v>
      </c>
      <c r="G493" s="7" t="s">
        <v>925</v>
      </c>
      <c r="H493" s="12">
        <v>305</v>
      </c>
      <c r="I493" s="14">
        <v>1706670.8099999998</v>
      </c>
      <c r="J493" s="14">
        <v>123907.53399999999</v>
      </c>
      <c r="K493" s="3">
        <v>0</v>
      </c>
      <c r="L493" s="15">
        <v>12741.244371799999</v>
      </c>
    </row>
    <row r="494" spans="1:12" x14ac:dyDescent="0.25">
      <c r="A494" s="12">
        <v>17066840</v>
      </c>
      <c r="B494" s="12"/>
      <c r="C494" s="12" t="s">
        <v>1527</v>
      </c>
      <c r="D494" s="4" t="s">
        <v>1528</v>
      </c>
      <c r="E494" s="13">
        <v>3158005713</v>
      </c>
      <c r="F494" s="4" t="s">
        <v>1529</v>
      </c>
      <c r="G494" s="7">
        <v>11001</v>
      </c>
      <c r="H494" s="12">
        <v>305</v>
      </c>
      <c r="I494" s="14">
        <v>1712130.2999999998</v>
      </c>
      <c r="J494" s="14">
        <v>210530.09199999995</v>
      </c>
      <c r="K494" s="3">
        <v>0</v>
      </c>
      <c r="L494" s="15">
        <v>12087.8816744</v>
      </c>
    </row>
    <row r="495" spans="1:12" x14ac:dyDescent="0.25">
      <c r="A495" s="12">
        <v>80418416</v>
      </c>
      <c r="B495" s="12"/>
      <c r="C495" s="12" t="s">
        <v>1530</v>
      </c>
      <c r="D495" s="4" t="s">
        <v>1531</v>
      </c>
      <c r="E495" s="13">
        <v>3157652589</v>
      </c>
      <c r="F495" s="4" t="s">
        <v>1532</v>
      </c>
      <c r="G495" s="7">
        <v>11001</v>
      </c>
      <c r="H495" s="12">
        <v>305</v>
      </c>
      <c r="I495" s="14">
        <v>1713169.81</v>
      </c>
      <c r="J495" s="14">
        <v>122351.20999999998</v>
      </c>
      <c r="K495" s="3">
        <v>0</v>
      </c>
      <c r="L495" s="15">
        <v>12806.089730000002</v>
      </c>
    </row>
    <row r="496" spans="1:12" x14ac:dyDescent="0.25">
      <c r="A496" s="12">
        <v>52739669</v>
      </c>
      <c r="B496" s="12"/>
      <c r="C496" s="12" t="s">
        <v>1533</v>
      </c>
      <c r="D496" s="4" t="s">
        <v>1534</v>
      </c>
      <c r="E496" s="13">
        <v>3164262318</v>
      </c>
      <c r="F496" s="4" t="s">
        <v>1535</v>
      </c>
      <c r="G496" s="7">
        <v>11001</v>
      </c>
      <c r="H496" s="12">
        <v>305</v>
      </c>
      <c r="I496" s="14">
        <v>1715650.5600000001</v>
      </c>
      <c r="J496" s="14">
        <v>54630.112000000001</v>
      </c>
      <c r="K496" s="3">
        <v>0</v>
      </c>
      <c r="L496" s="15">
        <v>13371.214606400001</v>
      </c>
    </row>
    <row r="497" spans="1:12" x14ac:dyDescent="0.25">
      <c r="A497" s="12">
        <v>135872</v>
      </c>
      <c r="B497" s="12"/>
      <c r="C497" s="12" t="s">
        <v>1536</v>
      </c>
      <c r="D497" s="4" t="s">
        <v>1537</v>
      </c>
      <c r="E497" s="13">
        <v>3007574050</v>
      </c>
      <c r="F497" s="4" t="s">
        <v>1538</v>
      </c>
      <c r="G497" s="7">
        <v>11001</v>
      </c>
      <c r="H497" s="12">
        <v>305</v>
      </c>
      <c r="I497" s="14">
        <v>1718976.8</v>
      </c>
      <c r="J497" s="14">
        <v>150295.35999999999</v>
      </c>
      <c r="K497" s="3">
        <v>0</v>
      </c>
      <c r="L497" s="15">
        <v>12627.885592000001</v>
      </c>
    </row>
    <row r="498" spans="1:12" x14ac:dyDescent="0.25">
      <c r="A498" s="12">
        <v>80133646</v>
      </c>
      <c r="B498" s="12"/>
      <c r="C498" s="12" t="s">
        <v>1539</v>
      </c>
      <c r="D498" s="4" t="s">
        <v>1540</v>
      </c>
      <c r="E498" s="13">
        <v>3118510863</v>
      </c>
      <c r="F498" s="4" t="s">
        <v>1541</v>
      </c>
      <c r="G498" s="7">
        <v>11001</v>
      </c>
      <c r="H498" s="12">
        <v>305</v>
      </c>
      <c r="I498" s="14">
        <v>1719258.1100000003</v>
      </c>
      <c r="J498" s="14">
        <v>110615.32000000002</v>
      </c>
      <c r="K498" s="3">
        <v>0</v>
      </c>
      <c r="L498" s="15">
        <v>12949.574459500003</v>
      </c>
    </row>
    <row r="499" spans="1:12" x14ac:dyDescent="0.25">
      <c r="A499" s="12">
        <v>10189895</v>
      </c>
      <c r="B499" s="12"/>
      <c r="C499" s="12" t="s">
        <v>1542</v>
      </c>
      <c r="D499" s="4" t="s">
        <v>408</v>
      </c>
      <c r="E499" s="13">
        <v>3214532512</v>
      </c>
      <c r="F499" s="4" t="s">
        <v>409</v>
      </c>
      <c r="G499" s="7">
        <v>11001</v>
      </c>
      <c r="H499" s="12">
        <v>305</v>
      </c>
      <c r="I499" s="14">
        <v>1719919.16</v>
      </c>
      <c r="J499" s="14">
        <v>154381.65400000001</v>
      </c>
      <c r="K499" s="3">
        <v>0</v>
      </c>
      <c r="L499" s="15">
        <v>12602.576923299999</v>
      </c>
    </row>
    <row r="500" spans="1:12" x14ac:dyDescent="0.25">
      <c r="A500" s="12">
        <v>19320326</v>
      </c>
      <c r="B500" s="12"/>
      <c r="C500" s="12" t="s">
        <v>1543</v>
      </c>
      <c r="D500" s="4" t="s">
        <v>1544</v>
      </c>
      <c r="E500" s="13">
        <v>3204470136</v>
      </c>
      <c r="F500" s="4" t="s">
        <v>1545</v>
      </c>
      <c r="G500" s="7">
        <v>11001</v>
      </c>
      <c r="H500" s="12">
        <v>305</v>
      </c>
      <c r="I500" s="14">
        <v>1722016.76</v>
      </c>
      <c r="J500" s="14">
        <v>170499.99</v>
      </c>
      <c r="K500" s="3">
        <v>0</v>
      </c>
      <c r="L500" s="15">
        <v>12489.709998500002</v>
      </c>
    </row>
    <row r="501" spans="1:12" x14ac:dyDescent="0.25">
      <c r="A501" s="12">
        <v>1069721237</v>
      </c>
      <c r="B501" s="12"/>
      <c r="C501" s="12" t="s">
        <v>1546</v>
      </c>
      <c r="D501" s="4" t="s">
        <v>1547</v>
      </c>
      <c r="E501" s="13">
        <v>3023550420</v>
      </c>
      <c r="F501" s="4" t="s">
        <v>1548</v>
      </c>
      <c r="G501" s="7">
        <v>11001</v>
      </c>
      <c r="H501" s="12">
        <v>305</v>
      </c>
      <c r="I501" s="14">
        <v>1726523.1700000002</v>
      </c>
      <c r="J501" s="14">
        <v>42518.19200000001</v>
      </c>
      <c r="K501" s="3">
        <v>0</v>
      </c>
      <c r="L501" s="15">
        <v>13556.2400729</v>
      </c>
    </row>
    <row r="502" spans="1:12" x14ac:dyDescent="0.25">
      <c r="A502" s="12">
        <v>80182481</v>
      </c>
      <c r="B502" s="12"/>
      <c r="C502" s="12" t="s">
        <v>1549</v>
      </c>
      <c r="D502" s="4" t="s">
        <v>1550</v>
      </c>
      <c r="E502" s="13">
        <v>3159000</v>
      </c>
      <c r="F502" s="4" t="s">
        <v>1551</v>
      </c>
      <c r="G502" s="7">
        <v>11001</v>
      </c>
      <c r="H502" s="12">
        <v>305</v>
      </c>
      <c r="I502" s="14">
        <v>1735110.7499999998</v>
      </c>
      <c r="J502" s="14">
        <v>314551.56199999998</v>
      </c>
      <c r="K502" s="3">
        <v>0</v>
      </c>
      <c r="L502" s="15">
        <v>11435.501463399998</v>
      </c>
    </row>
    <row r="503" spans="1:12" x14ac:dyDescent="0.25">
      <c r="A503" s="12">
        <v>52082729</v>
      </c>
      <c r="B503" s="12"/>
      <c r="C503" s="12" t="s">
        <v>1552</v>
      </c>
      <c r="D503" s="4" t="s">
        <v>1553</v>
      </c>
      <c r="E503" s="13">
        <v>3132322030</v>
      </c>
      <c r="F503" s="4" t="s">
        <v>1554</v>
      </c>
      <c r="G503" s="7">
        <v>11001</v>
      </c>
      <c r="H503" s="12">
        <v>305</v>
      </c>
      <c r="I503" s="14">
        <v>1736978</v>
      </c>
      <c r="J503" s="14">
        <v>52595.6</v>
      </c>
      <c r="K503" s="3">
        <v>0</v>
      </c>
      <c r="L503" s="15">
        <v>13559.278319999999</v>
      </c>
    </row>
    <row r="504" spans="1:12" x14ac:dyDescent="0.25">
      <c r="A504" s="12">
        <v>79689503</v>
      </c>
      <c r="B504" s="12"/>
      <c r="C504" s="12" t="s">
        <v>1555</v>
      </c>
      <c r="D504" s="4" t="s">
        <v>1556</v>
      </c>
      <c r="E504" s="13">
        <v>3203067205</v>
      </c>
      <c r="F504" s="4" t="s">
        <v>1557</v>
      </c>
      <c r="G504" s="7">
        <v>11001</v>
      </c>
      <c r="H504" s="12">
        <v>305</v>
      </c>
      <c r="I504" s="14">
        <v>1745167.7399999998</v>
      </c>
      <c r="J504" s="14">
        <v>164258.75999999995</v>
      </c>
      <c r="K504" s="3">
        <v>0</v>
      </c>
      <c r="L504" s="15">
        <v>12726.317288999999</v>
      </c>
    </row>
    <row r="505" spans="1:12" x14ac:dyDescent="0.25">
      <c r="A505" s="12">
        <v>20204593</v>
      </c>
      <c r="B505" s="12"/>
      <c r="C505" s="12" t="s">
        <v>1558</v>
      </c>
      <c r="D505" s="4" t="s">
        <v>1559</v>
      </c>
      <c r="E505" s="13">
        <v>3104804435</v>
      </c>
      <c r="F505" s="4" t="s">
        <v>1560</v>
      </c>
      <c r="G505" s="7">
        <v>11001</v>
      </c>
      <c r="H505" s="12">
        <v>305</v>
      </c>
      <c r="I505" s="14">
        <v>1747445.0000000002</v>
      </c>
      <c r="J505" s="14">
        <v>59259.902000000031</v>
      </c>
      <c r="K505" s="3">
        <v>0</v>
      </c>
      <c r="L505" s="15">
        <v>13589.890038900001</v>
      </c>
    </row>
    <row r="506" spans="1:12" x14ac:dyDescent="0.25">
      <c r="A506" s="12">
        <v>51684804</v>
      </c>
      <c r="B506" s="12"/>
      <c r="C506" s="12" t="s">
        <v>1561</v>
      </c>
      <c r="D506" s="4" t="s">
        <v>1562</v>
      </c>
      <c r="E506" s="13">
        <v>3102327201</v>
      </c>
      <c r="F506" s="4" t="s">
        <v>1563</v>
      </c>
      <c r="G506" s="7">
        <v>11001</v>
      </c>
      <c r="H506" s="12">
        <v>305</v>
      </c>
      <c r="I506" s="14">
        <v>1748392.59</v>
      </c>
      <c r="J506" s="14">
        <v>23518.517999999996</v>
      </c>
      <c r="K506" s="3">
        <v>0</v>
      </c>
      <c r="L506" s="15">
        <v>13885.236279600002</v>
      </c>
    </row>
    <row r="507" spans="1:12" x14ac:dyDescent="0.25">
      <c r="A507" s="12">
        <v>79894158</v>
      </c>
      <c r="B507" s="12"/>
      <c r="C507" s="12" t="s">
        <v>1564</v>
      </c>
      <c r="D507" s="4" t="s">
        <v>1565</v>
      </c>
      <c r="E507" s="13">
        <v>3157705846</v>
      </c>
      <c r="F507" s="4" t="s">
        <v>1566</v>
      </c>
      <c r="G507" s="7">
        <v>11001</v>
      </c>
      <c r="H507" s="12">
        <v>305</v>
      </c>
      <c r="I507" s="14">
        <v>1758091.6899999997</v>
      </c>
      <c r="J507" s="14">
        <v>228442.70799999998</v>
      </c>
      <c r="K507" s="3">
        <v>0</v>
      </c>
      <c r="L507" s="15">
        <v>12313.674305099998</v>
      </c>
    </row>
    <row r="508" spans="1:12" x14ac:dyDescent="0.25">
      <c r="A508" s="12">
        <v>1069852119</v>
      </c>
      <c r="B508" s="12"/>
      <c r="C508" s="12" t="s">
        <v>1567</v>
      </c>
      <c r="D508" s="4" t="s">
        <v>1568</v>
      </c>
      <c r="E508" s="13">
        <v>3102758210</v>
      </c>
      <c r="F508" s="4" t="s">
        <v>1569</v>
      </c>
      <c r="G508" s="7" t="s">
        <v>1570</v>
      </c>
      <c r="H508" s="12">
        <v>305</v>
      </c>
      <c r="I508" s="14">
        <v>1758590.1400000001</v>
      </c>
      <c r="J508" s="14">
        <v>113698.02800000005</v>
      </c>
      <c r="K508" s="3">
        <v>0</v>
      </c>
      <c r="L508" s="15">
        <v>13241.381501600003</v>
      </c>
    </row>
    <row r="509" spans="1:12" x14ac:dyDescent="0.25">
      <c r="A509" s="12">
        <v>79904329</v>
      </c>
      <c r="B509" s="12"/>
      <c r="C509" s="12" t="s">
        <v>1571</v>
      </c>
      <c r="D509" s="4" t="s">
        <v>1572</v>
      </c>
      <c r="E509" s="13">
        <v>3204753861</v>
      </c>
      <c r="F509" s="4" t="s">
        <v>1573</v>
      </c>
      <c r="G509" s="7">
        <v>11001</v>
      </c>
      <c r="H509" s="12">
        <v>305</v>
      </c>
      <c r="I509" s="14">
        <v>1768653</v>
      </c>
      <c r="J509" s="14">
        <v>173850.6</v>
      </c>
      <c r="K509" s="3">
        <v>0</v>
      </c>
      <c r="L509" s="15">
        <v>12838.159319999999</v>
      </c>
    </row>
    <row r="510" spans="1:12" x14ac:dyDescent="0.25">
      <c r="A510" s="12">
        <v>88261183</v>
      </c>
      <c r="B510" s="12"/>
      <c r="C510" s="12" t="s">
        <v>1574</v>
      </c>
      <c r="D510" s="4" t="s">
        <v>1575</v>
      </c>
      <c r="E510" s="13">
        <v>3115896575</v>
      </c>
      <c r="F510" s="4" t="s">
        <v>1576</v>
      </c>
      <c r="G510" s="7" t="s">
        <v>969</v>
      </c>
      <c r="H510" s="12">
        <v>305</v>
      </c>
      <c r="I510" s="14">
        <v>1770279.7499999991</v>
      </c>
      <c r="J510" s="14">
        <v>63314.837999999996</v>
      </c>
      <c r="K510" s="3">
        <v>0</v>
      </c>
      <c r="L510" s="15">
        <v>13741.067541599994</v>
      </c>
    </row>
    <row r="511" spans="1:12" x14ac:dyDescent="0.25">
      <c r="A511" s="12">
        <v>17086553</v>
      </c>
      <c r="B511" s="12"/>
      <c r="C511" s="12" t="s">
        <v>1577</v>
      </c>
      <c r="D511" s="4" t="s">
        <v>1578</v>
      </c>
      <c r="E511" s="13">
        <v>6093775</v>
      </c>
      <c r="F511" s="4" t="s">
        <v>1579</v>
      </c>
      <c r="G511" s="7">
        <v>11001</v>
      </c>
      <c r="H511" s="12">
        <v>305</v>
      </c>
      <c r="I511" s="14">
        <v>1770401</v>
      </c>
      <c r="J511" s="14">
        <v>206000.2</v>
      </c>
      <c r="K511" s="3">
        <v>0</v>
      </c>
      <c r="L511" s="15">
        <v>12593.426439999999</v>
      </c>
    </row>
    <row r="512" spans="1:12" x14ac:dyDescent="0.25">
      <c r="A512" s="12">
        <v>10966474</v>
      </c>
      <c r="B512" s="12"/>
      <c r="C512" s="12" t="s">
        <v>1580</v>
      </c>
      <c r="D512" s="4" t="s">
        <v>1581</v>
      </c>
      <c r="E512" s="13">
        <v>3138888833</v>
      </c>
      <c r="F512" s="4" t="s">
        <v>1582</v>
      </c>
      <c r="G512" s="7">
        <v>11001</v>
      </c>
      <c r="H512" s="12">
        <v>305</v>
      </c>
      <c r="I512" s="14">
        <v>1771071.9999999995</v>
      </c>
      <c r="J512" s="14">
        <v>146811.99999999991</v>
      </c>
      <c r="K512" s="3">
        <v>0</v>
      </c>
      <c r="L512" s="15">
        <v>13075.292999999996</v>
      </c>
    </row>
    <row r="513" spans="1:12" x14ac:dyDescent="0.25">
      <c r="A513" s="12">
        <v>80503184</v>
      </c>
      <c r="B513" s="12"/>
      <c r="C513" s="12" t="s">
        <v>1583</v>
      </c>
      <c r="D513" s="4" t="s">
        <v>1584</v>
      </c>
      <c r="E513" s="13">
        <v>3158900414</v>
      </c>
      <c r="F513" s="4" t="s">
        <v>1585</v>
      </c>
      <c r="G513" s="7">
        <v>11001</v>
      </c>
      <c r="H513" s="12">
        <v>305</v>
      </c>
      <c r="I513" s="14">
        <v>1772349.25</v>
      </c>
      <c r="J513" s="14">
        <v>68527.047999999966</v>
      </c>
      <c r="K513" s="3">
        <v>0</v>
      </c>
      <c r="L513" s="15">
        <v>13715.768726100001</v>
      </c>
    </row>
    <row r="514" spans="1:12" x14ac:dyDescent="0.25">
      <c r="A514" s="12">
        <v>1070919927</v>
      </c>
      <c r="B514" s="12"/>
      <c r="C514" s="12" t="s">
        <v>1586</v>
      </c>
      <c r="D514" s="4" t="s">
        <v>1587</v>
      </c>
      <c r="E514" s="13">
        <v>3508591964</v>
      </c>
      <c r="F514" s="4" t="s">
        <v>1588</v>
      </c>
      <c r="G514" s="7" t="s">
        <v>1589</v>
      </c>
      <c r="H514" s="12">
        <v>305</v>
      </c>
      <c r="I514" s="14">
        <v>1778541.2099999997</v>
      </c>
      <c r="J514" s="14">
        <v>78740.82799999995</v>
      </c>
      <c r="K514" s="3">
        <v>0</v>
      </c>
      <c r="L514" s="15">
        <v>13683.393075099997</v>
      </c>
    </row>
    <row r="515" spans="1:12" x14ac:dyDescent="0.25">
      <c r="A515" s="12">
        <v>79363473</v>
      </c>
      <c r="B515" s="12"/>
      <c r="C515" s="12" t="s">
        <v>1590</v>
      </c>
      <c r="D515" s="4" t="s">
        <v>1591</v>
      </c>
      <c r="E515" s="13">
        <v>3123514959</v>
      </c>
      <c r="F515" s="4" t="s">
        <v>1592</v>
      </c>
      <c r="G515" s="7">
        <v>11001</v>
      </c>
      <c r="H515" s="12">
        <v>305</v>
      </c>
      <c r="I515" s="14">
        <v>1789632.6</v>
      </c>
      <c r="J515" s="14">
        <v>0.15</v>
      </c>
      <c r="K515" s="3">
        <v>0</v>
      </c>
      <c r="L515" s="15">
        <v>14406.541222500002</v>
      </c>
    </row>
    <row r="516" spans="1:12" x14ac:dyDescent="0.25">
      <c r="A516" s="12">
        <v>6771920</v>
      </c>
      <c r="B516" s="12"/>
      <c r="C516" s="12" t="s">
        <v>1593</v>
      </c>
      <c r="D516" s="4" t="s">
        <v>1594</v>
      </c>
      <c r="E516" s="13">
        <v>3163550217</v>
      </c>
      <c r="F516" s="4" t="s">
        <v>1595</v>
      </c>
      <c r="G516" s="7" t="s">
        <v>367</v>
      </c>
      <c r="H516" s="12">
        <v>305</v>
      </c>
      <c r="I516" s="14">
        <v>1798608.8399999999</v>
      </c>
      <c r="J516" s="14">
        <v>227962.66399999999</v>
      </c>
      <c r="K516" s="3">
        <v>0</v>
      </c>
      <c r="L516" s="15">
        <v>12643.701716799998</v>
      </c>
    </row>
    <row r="517" spans="1:12" x14ac:dyDescent="0.25">
      <c r="A517" s="12">
        <v>79519831</v>
      </c>
      <c r="B517" s="12"/>
      <c r="C517" s="12" t="s">
        <v>1596</v>
      </c>
      <c r="D517" s="4" t="s">
        <v>1597</v>
      </c>
      <c r="E517" s="13">
        <v>3102934755</v>
      </c>
      <c r="F517" s="4" t="s">
        <v>1598</v>
      </c>
      <c r="G517" s="7">
        <v>11001</v>
      </c>
      <c r="H517" s="12">
        <v>305</v>
      </c>
      <c r="I517" s="14">
        <v>1799877.4600000002</v>
      </c>
      <c r="J517" s="14">
        <v>81370.280000000028</v>
      </c>
      <c r="K517" s="3">
        <v>0</v>
      </c>
      <c r="L517" s="15">
        <v>13833.982799000001</v>
      </c>
    </row>
    <row r="518" spans="1:12" x14ac:dyDescent="0.25">
      <c r="A518" s="12">
        <v>12195220</v>
      </c>
      <c r="B518" s="12"/>
      <c r="C518" s="12" t="s">
        <v>1599</v>
      </c>
      <c r="D518" s="4" t="s">
        <v>1600</v>
      </c>
      <c r="E518" s="13">
        <v>3106958310</v>
      </c>
      <c r="F518" s="4" t="s">
        <v>1601</v>
      </c>
      <c r="G518" s="7">
        <v>11001</v>
      </c>
      <c r="H518" s="12">
        <v>305</v>
      </c>
      <c r="I518" s="14">
        <v>1804341.7899999998</v>
      </c>
      <c r="J518" s="14">
        <v>149625.49799999996</v>
      </c>
      <c r="K518" s="3">
        <v>0</v>
      </c>
      <c r="L518" s="15">
        <v>13320.466150599999</v>
      </c>
    </row>
    <row r="519" spans="1:12" x14ac:dyDescent="0.25">
      <c r="A519" s="12">
        <v>1100948050</v>
      </c>
      <c r="B519" s="12"/>
      <c r="C519" s="12" t="s">
        <v>1602</v>
      </c>
      <c r="D519" s="4" t="s">
        <v>1603</v>
      </c>
      <c r="E519" s="13">
        <v>3213978153</v>
      </c>
      <c r="F519" s="4" t="s">
        <v>1604</v>
      </c>
      <c r="G519" s="7" t="s">
        <v>1605</v>
      </c>
      <c r="H519" s="12">
        <v>305</v>
      </c>
      <c r="I519" s="14">
        <v>1814528.3600000003</v>
      </c>
      <c r="J519" s="14">
        <v>156980.6320000001</v>
      </c>
      <c r="K519" s="3">
        <v>0</v>
      </c>
      <c r="L519" s="15">
        <v>13343.2592104</v>
      </c>
    </row>
    <row r="520" spans="1:12" x14ac:dyDescent="0.25">
      <c r="A520" s="12">
        <v>16691689</v>
      </c>
      <c r="B520" s="12"/>
      <c r="C520" s="12" t="s">
        <v>1606</v>
      </c>
      <c r="D520" s="4" t="s">
        <v>1607</v>
      </c>
      <c r="E520" s="13">
        <v>6455057</v>
      </c>
      <c r="F520" s="4" t="s">
        <v>1608</v>
      </c>
      <c r="G520" s="7">
        <v>11001</v>
      </c>
      <c r="H520" s="12">
        <v>305</v>
      </c>
      <c r="I520" s="14">
        <v>1817504.3199999996</v>
      </c>
      <c r="J520" s="14">
        <v>192220.86399999991</v>
      </c>
      <c r="K520" s="3">
        <v>0</v>
      </c>
      <c r="L520" s="15">
        <v>13083.531820799997</v>
      </c>
    </row>
    <row r="521" spans="1:12" x14ac:dyDescent="0.25">
      <c r="A521" s="12">
        <v>19209506</v>
      </c>
      <c r="B521" s="12"/>
      <c r="C521" s="12" t="s">
        <v>1609</v>
      </c>
      <c r="D521" s="4" t="s">
        <v>1610</v>
      </c>
      <c r="E521" s="13">
        <v>6290529</v>
      </c>
      <c r="F521" s="4" t="s">
        <v>1611</v>
      </c>
      <c r="G521" s="7">
        <v>11001</v>
      </c>
      <c r="H521" s="12">
        <v>305</v>
      </c>
      <c r="I521" s="14">
        <v>1817900.0899999999</v>
      </c>
      <c r="J521" s="14">
        <v>164260.01799999998</v>
      </c>
      <c r="K521" s="3">
        <v>0</v>
      </c>
      <c r="L521" s="15">
        <v>13311.802579599998</v>
      </c>
    </row>
    <row r="522" spans="1:12" x14ac:dyDescent="0.25">
      <c r="A522" s="12">
        <v>51856646</v>
      </c>
      <c r="B522" s="12"/>
      <c r="C522" s="12" t="s">
        <v>1612</v>
      </c>
      <c r="D522" s="4" t="s">
        <v>1613</v>
      </c>
      <c r="E522" s="13">
        <v>3104868913</v>
      </c>
      <c r="F522" s="4" t="s">
        <v>1614</v>
      </c>
      <c r="G522" s="7">
        <v>11001</v>
      </c>
      <c r="H522" s="12">
        <v>305</v>
      </c>
      <c r="I522" s="14">
        <v>1820277.83</v>
      </c>
      <c r="J522" s="14">
        <v>34425.935999999994</v>
      </c>
      <c r="K522" s="3">
        <v>0</v>
      </c>
      <c r="L522" s="15">
        <v>14376.107746700001</v>
      </c>
    </row>
    <row r="523" spans="1:12" x14ac:dyDescent="0.25">
      <c r="A523" s="12">
        <v>5585902</v>
      </c>
      <c r="B523" s="12"/>
      <c r="C523" s="12" t="s">
        <v>1615</v>
      </c>
      <c r="D523" s="4" t="s">
        <v>1616</v>
      </c>
      <c r="E523" s="13">
        <v>3138480131</v>
      </c>
      <c r="F523" s="4" t="s">
        <v>1617</v>
      </c>
      <c r="G523" s="7">
        <v>11001</v>
      </c>
      <c r="H523" s="12">
        <v>305</v>
      </c>
      <c r="I523" s="14">
        <v>1827411.8</v>
      </c>
      <c r="J523" s="14">
        <v>166537.82</v>
      </c>
      <c r="K523" s="3">
        <v>0</v>
      </c>
      <c r="L523" s="15">
        <v>13370.035539</v>
      </c>
    </row>
    <row r="524" spans="1:12" x14ac:dyDescent="0.25">
      <c r="A524" s="12">
        <v>4191070</v>
      </c>
      <c r="B524" s="12"/>
      <c r="C524" s="12" t="s">
        <v>1618</v>
      </c>
      <c r="D524" s="4" t="s">
        <v>1619</v>
      </c>
      <c r="E524" s="13">
        <v>3206799552</v>
      </c>
      <c r="F524" s="4" t="s">
        <v>1620</v>
      </c>
      <c r="G524" s="7" t="s">
        <v>1621</v>
      </c>
      <c r="H524" s="12">
        <v>305</v>
      </c>
      <c r="I524" s="14">
        <v>1832581.91</v>
      </c>
      <c r="J524" s="14">
        <v>104896.72399999994</v>
      </c>
      <c r="K524" s="3">
        <v>0</v>
      </c>
      <c r="L524" s="15">
        <v>13907.8657473</v>
      </c>
    </row>
    <row r="525" spans="1:12" x14ac:dyDescent="0.25">
      <c r="A525" s="12">
        <v>80038328</v>
      </c>
      <c r="B525" s="12"/>
      <c r="C525" s="12" t="s">
        <v>1622</v>
      </c>
      <c r="D525" s="4" t="s">
        <v>1623</v>
      </c>
      <c r="E525" s="13">
        <v>3016685692</v>
      </c>
      <c r="F525" s="4" t="s">
        <v>1624</v>
      </c>
      <c r="G525" s="7">
        <v>11001</v>
      </c>
      <c r="H525" s="12">
        <v>305</v>
      </c>
      <c r="I525" s="14">
        <v>1835321.4499999997</v>
      </c>
      <c r="J525" s="14">
        <v>123704.28999999992</v>
      </c>
      <c r="K525" s="3">
        <v>0</v>
      </c>
      <c r="L525" s="15">
        <v>13778.518137999998</v>
      </c>
    </row>
    <row r="526" spans="1:12" x14ac:dyDescent="0.25">
      <c r="A526" s="12">
        <v>40012324</v>
      </c>
      <c r="B526" s="12"/>
      <c r="C526" s="12" t="s">
        <v>1625</v>
      </c>
      <c r="D526" s="4" t="s">
        <v>1626</v>
      </c>
      <c r="E526" s="13">
        <v>3138065926</v>
      </c>
      <c r="F526" s="4" t="s">
        <v>1627</v>
      </c>
      <c r="G526" s="7">
        <v>11001</v>
      </c>
      <c r="H526" s="12">
        <v>305</v>
      </c>
      <c r="I526" s="14">
        <v>1852169</v>
      </c>
      <c r="J526" s="14">
        <v>99457.4</v>
      </c>
      <c r="K526" s="3">
        <v>0</v>
      </c>
      <c r="L526" s="15">
        <v>14109.328380000001</v>
      </c>
    </row>
    <row r="527" spans="1:12" x14ac:dyDescent="0.25">
      <c r="A527" s="12">
        <v>7183732</v>
      </c>
      <c r="B527" s="12"/>
      <c r="C527" s="12" t="s">
        <v>1628</v>
      </c>
      <c r="D527" s="4" t="s">
        <v>1629</v>
      </c>
      <c r="E527" s="13">
        <v>3115005451</v>
      </c>
      <c r="F527" s="16"/>
      <c r="G527" s="7">
        <v>11001</v>
      </c>
      <c r="H527" s="12">
        <v>305</v>
      </c>
      <c r="I527" s="14">
        <v>1853963</v>
      </c>
      <c r="J527" s="14">
        <v>333772.59999999998</v>
      </c>
      <c r="K527" s="3">
        <v>0</v>
      </c>
      <c r="L527" s="15">
        <v>12237.532719999999</v>
      </c>
    </row>
    <row r="528" spans="1:12" x14ac:dyDescent="0.25">
      <c r="A528" s="12">
        <v>1032368965</v>
      </c>
      <c r="B528" s="12"/>
      <c r="C528" s="12" t="s">
        <v>1630</v>
      </c>
      <c r="D528" s="4" t="s">
        <v>1631</v>
      </c>
      <c r="E528" s="13">
        <v>3125420036</v>
      </c>
      <c r="F528" s="4" t="s">
        <v>1632</v>
      </c>
      <c r="G528" s="7" t="s">
        <v>553</v>
      </c>
      <c r="H528" s="12">
        <v>305</v>
      </c>
      <c r="I528" s="14">
        <v>1860000</v>
      </c>
      <c r="J528" s="14">
        <v>0.15</v>
      </c>
      <c r="K528" s="3">
        <v>0</v>
      </c>
      <c r="L528" s="15">
        <v>14972.9987925</v>
      </c>
    </row>
    <row r="529" spans="1:12" x14ac:dyDescent="0.25">
      <c r="A529" s="12">
        <v>52352075</v>
      </c>
      <c r="B529" s="12"/>
      <c r="C529" s="12" t="s">
        <v>1633</v>
      </c>
      <c r="D529" s="4" t="s">
        <v>1634</v>
      </c>
      <c r="E529" s="13">
        <v>3134952359</v>
      </c>
      <c r="F529" s="4" t="s">
        <v>1635</v>
      </c>
      <c r="G529" s="7" t="s">
        <v>294</v>
      </c>
      <c r="H529" s="12">
        <v>305</v>
      </c>
      <c r="I529" s="14">
        <v>1867463.9000000001</v>
      </c>
      <c r="J529" s="14">
        <v>0.15</v>
      </c>
      <c r="K529" s="3">
        <v>0</v>
      </c>
      <c r="L529" s="15">
        <v>15033.083187500002</v>
      </c>
    </row>
    <row r="530" spans="1:12" x14ac:dyDescent="0.25">
      <c r="A530" s="12">
        <v>86054979</v>
      </c>
      <c r="B530" s="12"/>
      <c r="C530" s="12" t="s">
        <v>1636</v>
      </c>
      <c r="D530" s="4" t="s">
        <v>1637</v>
      </c>
      <c r="E530" s="13">
        <v>3102398328</v>
      </c>
      <c r="F530" s="4" t="s">
        <v>1638</v>
      </c>
      <c r="G530" s="7">
        <v>11001</v>
      </c>
      <c r="H530" s="12">
        <v>305</v>
      </c>
      <c r="I530" s="14">
        <v>1870559.0600000005</v>
      </c>
      <c r="J530" s="14">
        <v>0.15</v>
      </c>
      <c r="K530" s="3">
        <v>0</v>
      </c>
      <c r="L530" s="15">
        <v>15057.999225500007</v>
      </c>
    </row>
    <row r="531" spans="1:12" x14ac:dyDescent="0.25">
      <c r="A531" s="12">
        <v>79746572</v>
      </c>
      <c r="B531" s="12"/>
      <c r="C531" s="12" t="s">
        <v>1639</v>
      </c>
      <c r="D531" s="4" t="s">
        <v>1640</v>
      </c>
      <c r="E531" s="13">
        <v>3107690877</v>
      </c>
      <c r="F531" s="4" t="s">
        <v>1641</v>
      </c>
      <c r="G531" s="7" t="s">
        <v>1642</v>
      </c>
      <c r="H531" s="12">
        <v>305</v>
      </c>
      <c r="I531" s="14">
        <v>1871459.92</v>
      </c>
      <c r="J531" s="14">
        <v>0.15</v>
      </c>
      <c r="K531" s="3">
        <v>0</v>
      </c>
      <c r="L531" s="15">
        <v>15065.2511485</v>
      </c>
    </row>
    <row r="532" spans="1:12" x14ac:dyDescent="0.25">
      <c r="A532" s="12">
        <v>81715253</v>
      </c>
      <c r="B532" s="12"/>
      <c r="C532" s="12" t="s">
        <v>1643</v>
      </c>
      <c r="D532" s="4" t="s">
        <v>1644</v>
      </c>
      <c r="E532" s="13">
        <v>3023764700</v>
      </c>
      <c r="F532" s="4" t="s">
        <v>1645</v>
      </c>
      <c r="G532" s="7" t="s">
        <v>1252</v>
      </c>
      <c r="H532" s="12">
        <v>305</v>
      </c>
      <c r="I532" s="14">
        <v>1872276.5099999998</v>
      </c>
      <c r="J532" s="14">
        <v>0.15</v>
      </c>
      <c r="K532" s="3">
        <v>0</v>
      </c>
      <c r="L532" s="15">
        <v>15071.824697999999</v>
      </c>
    </row>
    <row r="533" spans="1:12" x14ac:dyDescent="0.25">
      <c r="A533" s="12">
        <v>2123170</v>
      </c>
      <c r="B533" s="12"/>
      <c r="C533" s="12" t="s">
        <v>1646</v>
      </c>
      <c r="D533" s="4" t="s">
        <v>1647</v>
      </c>
      <c r="E533" s="13">
        <v>6121148</v>
      </c>
      <c r="F533" s="4" t="s">
        <v>1648</v>
      </c>
      <c r="G533" s="7">
        <v>11001</v>
      </c>
      <c r="H533" s="12">
        <v>305</v>
      </c>
      <c r="I533" s="14">
        <v>1873383.9999999995</v>
      </c>
      <c r="J533" s="14">
        <v>229592.39999999994</v>
      </c>
      <c r="K533" s="3">
        <v>0</v>
      </c>
      <c r="L533" s="15">
        <v>13232.522379999997</v>
      </c>
    </row>
    <row r="534" spans="1:12" x14ac:dyDescent="0.25">
      <c r="A534" s="12">
        <v>52620116</v>
      </c>
      <c r="B534" s="12"/>
      <c r="C534" s="12" t="s">
        <v>1649</v>
      </c>
      <c r="D534" s="4" t="s">
        <v>1650</v>
      </c>
      <c r="E534" s="13">
        <v>3132150413</v>
      </c>
      <c r="F534" s="4" t="s">
        <v>917</v>
      </c>
      <c r="G534" s="7">
        <v>11001</v>
      </c>
      <c r="H534" s="12">
        <v>305</v>
      </c>
      <c r="I534" s="14">
        <v>1874010.14</v>
      </c>
      <c r="J534" s="14">
        <v>82129.421999999977</v>
      </c>
      <c r="K534" s="3">
        <v>0</v>
      </c>
      <c r="L534" s="15">
        <v>14424.639779899999</v>
      </c>
    </row>
    <row r="535" spans="1:12" x14ac:dyDescent="0.25">
      <c r="A535" s="12">
        <v>74381369</v>
      </c>
      <c r="B535" s="12"/>
      <c r="C535" s="12" t="s">
        <v>1651</v>
      </c>
      <c r="D535" s="4" t="s">
        <v>1652</v>
      </c>
      <c r="E535" s="13">
        <v>3213144293</v>
      </c>
      <c r="F535" s="4" t="s">
        <v>1653</v>
      </c>
      <c r="G535" s="7">
        <v>11001</v>
      </c>
      <c r="H535" s="12">
        <v>305</v>
      </c>
      <c r="I535" s="14">
        <v>1875129.9199999997</v>
      </c>
      <c r="J535" s="14">
        <v>339365.98399999994</v>
      </c>
      <c r="K535" s="3">
        <v>0</v>
      </c>
      <c r="L535" s="15">
        <v>12362.899684799999</v>
      </c>
    </row>
    <row r="536" spans="1:12" x14ac:dyDescent="0.25">
      <c r="A536" s="12">
        <v>40442119</v>
      </c>
      <c r="B536" s="12"/>
      <c r="C536" s="12" t="s">
        <v>1654</v>
      </c>
      <c r="D536" s="4" t="s">
        <v>1655</v>
      </c>
      <c r="E536" s="13">
        <v>3144708331</v>
      </c>
      <c r="F536" s="4" t="s">
        <v>1656</v>
      </c>
      <c r="G536" s="7">
        <v>11001</v>
      </c>
      <c r="H536" s="12">
        <v>305</v>
      </c>
      <c r="I536" s="14">
        <v>1880712.5100000002</v>
      </c>
      <c r="J536" s="14">
        <v>122442.50200000004</v>
      </c>
      <c r="K536" s="3">
        <v>0</v>
      </c>
      <c r="L536" s="15">
        <v>14154.073564400001</v>
      </c>
    </row>
    <row r="537" spans="1:12" x14ac:dyDescent="0.25">
      <c r="A537" s="12">
        <v>93080122</v>
      </c>
      <c r="B537" s="12"/>
      <c r="C537" s="12" t="s">
        <v>1657</v>
      </c>
      <c r="D537" s="4" t="s">
        <v>1658</v>
      </c>
      <c r="E537" s="13">
        <v>3233215123</v>
      </c>
      <c r="F537" s="4" t="s">
        <v>1659</v>
      </c>
      <c r="G537" s="7">
        <v>11001</v>
      </c>
      <c r="H537" s="12">
        <v>305</v>
      </c>
      <c r="I537" s="14">
        <v>1882331.1300000001</v>
      </c>
      <c r="J537" s="14">
        <v>245715.06</v>
      </c>
      <c r="K537" s="3">
        <v>0</v>
      </c>
      <c r="L537" s="15">
        <v>13174.759363500001</v>
      </c>
    </row>
    <row r="538" spans="1:12" x14ac:dyDescent="0.25">
      <c r="A538" s="12">
        <v>73156085</v>
      </c>
      <c r="B538" s="12"/>
      <c r="C538" s="12" t="s">
        <v>1660</v>
      </c>
      <c r="D538" s="4" t="s">
        <v>1661</v>
      </c>
      <c r="E538" s="13">
        <v>3012891280</v>
      </c>
      <c r="F538" s="4" t="s">
        <v>1662</v>
      </c>
      <c r="G538" s="7">
        <v>11001</v>
      </c>
      <c r="H538" s="12">
        <v>305</v>
      </c>
      <c r="I538" s="14">
        <v>1886239.5699999998</v>
      </c>
      <c r="J538" s="14">
        <v>275927.91399999999</v>
      </c>
      <c r="K538" s="3">
        <v>0</v>
      </c>
      <c r="L538" s="15">
        <v>12963.008830800001</v>
      </c>
    </row>
    <row r="539" spans="1:12" x14ac:dyDescent="0.25">
      <c r="A539" s="12">
        <v>7168924</v>
      </c>
      <c r="B539" s="12"/>
      <c r="C539" s="12" t="s">
        <v>1663</v>
      </c>
      <c r="D539" s="4" t="s">
        <v>1664</v>
      </c>
      <c r="E539" s="13">
        <v>3122233693</v>
      </c>
      <c r="F539" s="4" t="s">
        <v>1665</v>
      </c>
      <c r="G539" s="7">
        <v>11001</v>
      </c>
      <c r="H539" s="12">
        <v>305</v>
      </c>
      <c r="I539" s="14">
        <v>1890435.63</v>
      </c>
      <c r="J539" s="14">
        <v>75167.125999999975</v>
      </c>
      <c r="K539" s="3">
        <v>0</v>
      </c>
      <c r="L539" s="15">
        <v>14612.9114572</v>
      </c>
    </row>
    <row r="540" spans="1:12" x14ac:dyDescent="0.25">
      <c r="A540" s="12">
        <v>1026277835</v>
      </c>
      <c r="B540" s="12"/>
      <c r="C540" s="12" t="s">
        <v>1666</v>
      </c>
      <c r="D540" s="4" t="s">
        <v>1667</v>
      </c>
      <c r="E540" s="13">
        <v>3118590390</v>
      </c>
      <c r="F540" s="4" t="s">
        <v>1668</v>
      </c>
      <c r="G540" s="7">
        <v>11001</v>
      </c>
      <c r="H540" s="12">
        <v>305</v>
      </c>
      <c r="I540" s="14">
        <v>1894200</v>
      </c>
      <c r="J540" s="14">
        <v>0.15</v>
      </c>
      <c r="K540" s="3">
        <v>0</v>
      </c>
      <c r="L540" s="15">
        <v>15248.3087925</v>
      </c>
    </row>
    <row r="541" spans="1:12" x14ac:dyDescent="0.25">
      <c r="A541" s="12">
        <v>19438008</v>
      </c>
      <c r="B541" s="12"/>
      <c r="C541" s="12" t="s">
        <v>1669</v>
      </c>
      <c r="D541" s="4" t="s">
        <v>1670</v>
      </c>
      <c r="E541" s="13">
        <v>3176606019</v>
      </c>
      <c r="F541" s="4" t="s">
        <v>1671</v>
      </c>
      <c r="G541" s="7">
        <v>11001</v>
      </c>
      <c r="H541" s="12">
        <v>305</v>
      </c>
      <c r="I541" s="14">
        <v>1901427.8800000001</v>
      </c>
      <c r="J541" s="14">
        <v>230476.16400000002</v>
      </c>
      <c r="K541" s="3">
        <v>0</v>
      </c>
      <c r="L541" s="15">
        <v>13451.161313800001</v>
      </c>
    </row>
    <row r="542" spans="1:12" x14ac:dyDescent="0.25">
      <c r="A542" s="12">
        <v>9526315</v>
      </c>
      <c r="B542" s="12"/>
      <c r="C542" s="12" t="s">
        <v>1672</v>
      </c>
      <c r="D542" s="4" t="s">
        <v>1673</v>
      </c>
      <c r="E542" s="13">
        <v>8692248</v>
      </c>
      <c r="F542" s="4" t="s">
        <v>1674</v>
      </c>
      <c r="G542" s="7">
        <v>11001</v>
      </c>
      <c r="H542" s="12">
        <v>305</v>
      </c>
      <c r="I542" s="14">
        <v>1903227.4700000002</v>
      </c>
      <c r="J542" s="14">
        <v>233526.33399999997</v>
      </c>
      <c r="K542" s="3">
        <v>0</v>
      </c>
      <c r="L542" s="15">
        <v>13441.094144800001</v>
      </c>
    </row>
    <row r="543" spans="1:12" x14ac:dyDescent="0.25">
      <c r="A543" s="12">
        <v>74379454</v>
      </c>
      <c r="B543" s="12"/>
      <c r="C543" s="12" t="s">
        <v>1675</v>
      </c>
      <c r="D543" s="4" t="s">
        <v>1676</v>
      </c>
      <c r="E543" s="13">
        <v>3505733947</v>
      </c>
      <c r="F543" s="4" t="s">
        <v>1677</v>
      </c>
      <c r="G543" s="7" t="s">
        <v>422</v>
      </c>
      <c r="H543" s="12">
        <v>305</v>
      </c>
      <c r="I543" s="14">
        <v>1904112.0000000002</v>
      </c>
      <c r="J543" s="14">
        <v>0.15</v>
      </c>
      <c r="K543" s="3">
        <v>0</v>
      </c>
      <c r="L543" s="15">
        <v>15328.100392500002</v>
      </c>
    </row>
    <row r="544" spans="1:12" x14ac:dyDescent="0.25">
      <c r="A544" s="12">
        <v>14956361</v>
      </c>
      <c r="B544" s="12"/>
      <c r="C544" s="12" t="s">
        <v>1678</v>
      </c>
      <c r="D544" s="4" t="s">
        <v>1679</v>
      </c>
      <c r="E544" s="13">
        <v>3103417227</v>
      </c>
      <c r="F544" s="4" t="s">
        <v>1680</v>
      </c>
      <c r="G544" s="7">
        <v>11001</v>
      </c>
      <c r="H544" s="12">
        <v>305</v>
      </c>
      <c r="I544" s="14">
        <v>1905289</v>
      </c>
      <c r="J544" s="14">
        <v>172777.79999999996</v>
      </c>
      <c r="K544" s="3">
        <v>0</v>
      </c>
      <c r="L544" s="15">
        <v>13946.71516</v>
      </c>
    </row>
    <row r="545" spans="1:12" x14ac:dyDescent="0.25">
      <c r="A545" s="12">
        <v>1053604248</v>
      </c>
      <c r="B545" s="12"/>
      <c r="C545" s="12" t="s">
        <v>1681</v>
      </c>
      <c r="D545" s="4" t="s">
        <v>1682</v>
      </c>
      <c r="E545" s="13">
        <v>3114426429</v>
      </c>
      <c r="F545" s="4" t="s">
        <v>1683</v>
      </c>
      <c r="G545" s="7">
        <v>11001</v>
      </c>
      <c r="H545" s="12">
        <v>305</v>
      </c>
      <c r="I545" s="14">
        <v>1907426.6300000006</v>
      </c>
      <c r="J545" s="14">
        <v>373384.48600000009</v>
      </c>
      <c r="K545" s="3">
        <v>0</v>
      </c>
      <c r="L545" s="15">
        <v>12349.039259200006</v>
      </c>
    </row>
    <row r="546" spans="1:12" x14ac:dyDescent="0.25">
      <c r="A546" s="12">
        <v>79553571</v>
      </c>
      <c r="B546" s="12"/>
      <c r="C546" s="12" t="s">
        <v>1684</v>
      </c>
      <c r="D546" s="4" t="s">
        <v>1685</v>
      </c>
      <c r="E546" s="13">
        <v>3113807617</v>
      </c>
      <c r="F546" s="4" t="s">
        <v>1686</v>
      </c>
      <c r="G546" s="7">
        <v>11001</v>
      </c>
      <c r="H546" s="12">
        <v>305</v>
      </c>
      <c r="I546" s="14">
        <v>1912900.68</v>
      </c>
      <c r="J546" s="14">
        <v>274927.86599999998</v>
      </c>
      <c r="K546" s="3">
        <v>0</v>
      </c>
      <c r="L546" s="15">
        <v>13185.681152700001</v>
      </c>
    </row>
    <row r="547" spans="1:12" x14ac:dyDescent="0.25">
      <c r="A547" s="12">
        <v>79636735</v>
      </c>
      <c r="B547" s="12"/>
      <c r="C547" s="12" t="s">
        <v>1687</v>
      </c>
      <c r="D547" s="4" t="s">
        <v>1688</v>
      </c>
      <c r="E547" s="13">
        <v>3208549067</v>
      </c>
      <c r="F547" s="4" t="s">
        <v>1689</v>
      </c>
      <c r="G547" s="7">
        <v>11001</v>
      </c>
      <c r="H547" s="12">
        <v>305</v>
      </c>
      <c r="I547" s="14">
        <v>1915669.92</v>
      </c>
      <c r="J547" s="14">
        <v>311813.984</v>
      </c>
      <c r="K547" s="3">
        <v>0</v>
      </c>
      <c r="L547" s="15">
        <v>12911.040284799999</v>
      </c>
    </row>
    <row r="548" spans="1:12" x14ac:dyDescent="0.25">
      <c r="A548" s="12">
        <v>52932120</v>
      </c>
      <c r="B548" s="12"/>
      <c r="C548" s="12" t="s">
        <v>1690</v>
      </c>
      <c r="D548" s="4" t="s">
        <v>1691</v>
      </c>
      <c r="E548" s="13">
        <v>3017007947</v>
      </c>
      <c r="F548" s="4" t="s">
        <v>1692</v>
      </c>
      <c r="G548" s="7">
        <v>11001</v>
      </c>
      <c r="H548" s="12">
        <v>305</v>
      </c>
      <c r="I548" s="14">
        <v>1920077.2600000005</v>
      </c>
      <c r="J548" s="14">
        <v>248315.45200000011</v>
      </c>
      <c r="K548" s="3">
        <v>0</v>
      </c>
      <c r="L548" s="15">
        <v>13457.682554400004</v>
      </c>
    </row>
    <row r="549" spans="1:12" x14ac:dyDescent="0.25">
      <c r="A549" s="12">
        <v>7227305</v>
      </c>
      <c r="B549" s="12"/>
      <c r="C549" s="12" t="s">
        <v>1693</v>
      </c>
      <c r="D549" s="4" t="s">
        <v>1694</v>
      </c>
      <c r="E549" s="13">
        <v>3015879031</v>
      </c>
      <c r="F549" s="4" t="s">
        <v>1695</v>
      </c>
      <c r="G549" s="7">
        <v>11001</v>
      </c>
      <c r="H549" s="12">
        <v>305</v>
      </c>
      <c r="I549" s="14">
        <v>1920582.2500000002</v>
      </c>
      <c r="J549" s="14">
        <v>384116.45000000007</v>
      </c>
      <c r="K549" s="3">
        <v>0</v>
      </c>
      <c r="L549" s="15">
        <v>12368.549690000002</v>
      </c>
    </row>
    <row r="550" spans="1:12" x14ac:dyDescent="0.25">
      <c r="A550" s="12">
        <v>79253044</v>
      </c>
      <c r="B550" s="12"/>
      <c r="C550" s="12" t="s">
        <v>1696</v>
      </c>
      <c r="D550" s="4" t="s">
        <v>1697</v>
      </c>
      <c r="E550" s="13">
        <v>3218039412</v>
      </c>
      <c r="F550" s="4" t="s">
        <v>1698</v>
      </c>
      <c r="G550" s="7">
        <v>11001</v>
      </c>
      <c r="H550" s="12">
        <v>305</v>
      </c>
      <c r="I550" s="14">
        <v>1926246.4999999998</v>
      </c>
      <c r="J550" s="14">
        <v>194462.89999999997</v>
      </c>
      <c r="K550" s="3">
        <v>0</v>
      </c>
      <c r="L550" s="15">
        <v>13940.857979999999</v>
      </c>
    </row>
    <row r="551" spans="1:12" x14ac:dyDescent="0.25">
      <c r="A551" s="12">
        <v>51600604</v>
      </c>
      <c r="B551" s="12"/>
      <c r="C551" s="12" t="s">
        <v>1699</v>
      </c>
      <c r="D551" s="4" t="s">
        <v>1700</v>
      </c>
      <c r="E551" s="13">
        <v>2715044</v>
      </c>
      <c r="F551" s="4" t="s">
        <v>1701</v>
      </c>
      <c r="G551" s="7">
        <v>11001</v>
      </c>
      <c r="H551" s="12">
        <v>305</v>
      </c>
      <c r="I551" s="14">
        <v>1935290.78</v>
      </c>
      <c r="J551" s="14">
        <v>32759.668000000012</v>
      </c>
      <c r="K551" s="3">
        <v>0</v>
      </c>
      <c r="L551" s="15">
        <v>15315.375451600001</v>
      </c>
    </row>
    <row r="552" spans="1:12" x14ac:dyDescent="0.25">
      <c r="A552" s="12">
        <v>1020766807</v>
      </c>
      <c r="B552" s="12"/>
      <c r="C552" s="12" t="s">
        <v>1702</v>
      </c>
      <c r="D552" s="4" t="s">
        <v>1703</v>
      </c>
      <c r="E552" s="13">
        <v>3158105625</v>
      </c>
      <c r="F552" s="4" t="s">
        <v>1704</v>
      </c>
      <c r="G552" s="7">
        <v>11001</v>
      </c>
      <c r="H552" s="12">
        <v>305</v>
      </c>
      <c r="I552" s="14">
        <v>1943700</v>
      </c>
      <c r="J552" s="14">
        <v>0.15</v>
      </c>
      <c r="K552" s="3">
        <v>0</v>
      </c>
      <c r="L552" s="15">
        <v>15646.7837925</v>
      </c>
    </row>
    <row r="553" spans="1:12" x14ac:dyDescent="0.25">
      <c r="A553" s="12">
        <v>42110825</v>
      </c>
      <c r="B553" s="12"/>
      <c r="C553" s="12" t="s">
        <v>1705</v>
      </c>
      <c r="D553" s="4" t="s">
        <v>1706</v>
      </c>
      <c r="E553" s="13">
        <v>3187351461</v>
      </c>
      <c r="F553" s="4" t="s">
        <v>1707</v>
      </c>
      <c r="G553" s="7">
        <v>11001</v>
      </c>
      <c r="H553" s="12">
        <v>305</v>
      </c>
      <c r="I553" s="14">
        <v>1947922.3</v>
      </c>
      <c r="J553" s="14">
        <v>100944.12400000001</v>
      </c>
      <c r="K553" s="3">
        <v>0</v>
      </c>
      <c r="L553" s="15">
        <v>14868.174316799999</v>
      </c>
    </row>
    <row r="554" spans="1:12" x14ac:dyDescent="0.25">
      <c r="A554" s="12">
        <v>80853915</v>
      </c>
      <c r="B554" s="12"/>
      <c r="C554" s="12" t="s">
        <v>1708</v>
      </c>
      <c r="D554" s="4" t="s">
        <v>1709</v>
      </c>
      <c r="E554" s="13">
        <v>3136152847</v>
      </c>
      <c r="F554" s="4" t="s">
        <v>1710</v>
      </c>
      <c r="G554" s="7">
        <v>11001</v>
      </c>
      <c r="H554" s="12">
        <v>305</v>
      </c>
      <c r="I554" s="14">
        <v>1948265.9500000009</v>
      </c>
      <c r="J554" s="14">
        <v>0.15</v>
      </c>
      <c r="K554" s="3">
        <v>0</v>
      </c>
      <c r="L554" s="15">
        <v>15683.539690000009</v>
      </c>
    </row>
    <row r="555" spans="1:12" x14ac:dyDescent="0.25">
      <c r="A555" s="12">
        <v>17143990</v>
      </c>
      <c r="B555" s="12"/>
      <c r="C555" s="12" t="s">
        <v>1711</v>
      </c>
      <c r="D555" s="4" t="s">
        <v>1712</v>
      </c>
      <c r="E555" s="13">
        <v>3173751279</v>
      </c>
      <c r="F555" s="4" t="s">
        <v>1713</v>
      </c>
      <c r="G555" s="7">
        <v>11001</v>
      </c>
      <c r="H555" s="12">
        <v>305</v>
      </c>
      <c r="I555" s="14">
        <v>1952881</v>
      </c>
      <c r="J555" s="14">
        <v>0.15</v>
      </c>
      <c r="K555" s="3">
        <v>0</v>
      </c>
      <c r="L555" s="15">
        <v>15720.6908425</v>
      </c>
    </row>
    <row r="556" spans="1:12" x14ac:dyDescent="0.25">
      <c r="A556" s="12">
        <v>5709318</v>
      </c>
      <c r="B556" s="12"/>
      <c r="C556" s="12" t="s">
        <v>1714</v>
      </c>
      <c r="D556" s="4" t="s">
        <v>1715</v>
      </c>
      <c r="E556" s="13">
        <v>3133903091</v>
      </c>
      <c r="F556" s="4" t="s">
        <v>1716</v>
      </c>
      <c r="G556" s="7">
        <v>11001</v>
      </c>
      <c r="H556" s="12">
        <v>305</v>
      </c>
      <c r="I556" s="14">
        <v>1953072.3099999998</v>
      </c>
      <c r="J556" s="14">
        <v>0.15</v>
      </c>
      <c r="K556" s="3">
        <v>0</v>
      </c>
      <c r="L556" s="15">
        <v>15722.230888</v>
      </c>
    </row>
    <row r="557" spans="1:12" x14ac:dyDescent="0.25">
      <c r="A557" s="12">
        <v>19356383</v>
      </c>
      <c r="B557" s="12"/>
      <c r="C557" s="12" t="s">
        <v>1717</v>
      </c>
      <c r="D557" s="4" t="s">
        <v>1718</v>
      </c>
      <c r="E557" s="13">
        <v>7356065</v>
      </c>
      <c r="F557" s="4" t="s">
        <v>1719</v>
      </c>
      <c r="G557" s="7">
        <v>11001</v>
      </c>
      <c r="H557" s="12">
        <v>305</v>
      </c>
      <c r="I557" s="14">
        <v>1960057.4399999995</v>
      </c>
      <c r="J557" s="14">
        <v>0.15</v>
      </c>
      <c r="K557" s="3">
        <v>0</v>
      </c>
      <c r="L557" s="15">
        <v>15778.461184499996</v>
      </c>
    </row>
    <row r="558" spans="1:12" x14ac:dyDescent="0.25">
      <c r="A558" s="12">
        <v>73076530</v>
      </c>
      <c r="B558" s="12"/>
      <c r="C558" s="12" t="s">
        <v>1720</v>
      </c>
      <c r="D558" s="4" t="s">
        <v>1721</v>
      </c>
      <c r="E558" s="13">
        <v>3182131961</v>
      </c>
      <c r="F558" s="4" t="s">
        <v>1722</v>
      </c>
      <c r="G558" s="7">
        <v>11001</v>
      </c>
      <c r="H558" s="12">
        <v>305</v>
      </c>
      <c r="I558" s="14">
        <v>1961094.7000000002</v>
      </c>
      <c r="J558" s="14">
        <v>0.15</v>
      </c>
      <c r="K558" s="3">
        <v>0</v>
      </c>
      <c r="L558" s="15">
        <v>15786.811127500003</v>
      </c>
    </row>
    <row r="559" spans="1:12" x14ac:dyDescent="0.25">
      <c r="A559" s="12">
        <v>79958183</v>
      </c>
      <c r="B559" s="12"/>
      <c r="C559" s="12" t="s">
        <v>1723</v>
      </c>
      <c r="D559" s="4" t="s">
        <v>1724</v>
      </c>
      <c r="E559" s="13">
        <v>3132233880</v>
      </c>
      <c r="F559" s="4" t="s">
        <v>1725</v>
      </c>
      <c r="G559" s="7">
        <v>11001</v>
      </c>
      <c r="H559" s="12">
        <v>305</v>
      </c>
      <c r="I559" s="14">
        <v>1964103.0699999998</v>
      </c>
      <c r="J559" s="14">
        <v>0.15</v>
      </c>
      <c r="K559" s="3">
        <v>0</v>
      </c>
      <c r="L559" s="15">
        <v>15811.028505999999</v>
      </c>
    </row>
    <row r="560" spans="1:12" x14ac:dyDescent="0.25">
      <c r="A560" s="12">
        <v>91456295</v>
      </c>
      <c r="B560" s="12"/>
      <c r="C560" s="12" t="s">
        <v>1726</v>
      </c>
      <c r="D560" s="4" t="s">
        <v>1727</v>
      </c>
      <c r="E560" s="13">
        <v>3188412237</v>
      </c>
      <c r="F560" s="4" t="s">
        <v>1728</v>
      </c>
      <c r="G560" s="7" t="s">
        <v>1729</v>
      </c>
      <c r="H560" s="12">
        <v>305</v>
      </c>
      <c r="I560" s="14">
        <v>1975353.5299999998</v>
      </c>
      <c r="J560" s="14">
        <v>0.15</v>
      </c>
      <c r="K560" s="3">
        <v>0</v>
      </c>
      <c r="L560" s="15">
        <v>15901.594708999999</v>
      </c>
    </row>
    <row r="561" spans="1:12" x14ac:dyDescent="0.25">
      <c r="A561" s="12">
        <v>19135750</v>
      </c>
      <c r="B561" s="12"/>
      <c r="C561" s="12" t="s">
        <v>1730</v>
      </c>
      <c r="D561" s="4" t="s">
        <v>1731</v>
      </c>
      <c r="E561" s="13">
        <v>4797290</v>
      </c>
      <c r="F561" s="4" t="s">
        <v>1732</v>
      </c>
      <c r="G561" s="7">
        <v>11001</v>
      </c>
      <c r="H561" s="12">
        <v>305</v>
      </c>
      <c r="I561" s="14">
        <v>1980521.3800000001</v>
      </c>
      <c r="J561" s="14">
        <v>14778.223999999998</v>
      </c>
      <c r="K561" s="3">
        <v>0</v>
      </c>
      <c r="L561" s="15">
        <v>15824.232405800001</v>
      </c>
    </row>
    <row r="562" spans="1:12" x14ac:dyDescent="0.25">
      <c r="A562" s="12">
        <v>9529808</v>
      </c>
      <c r="B562" s="12"/>
      <c r="C562" s="12" t="s">
        <v>1733</v>
      </c>
      <c r="D562" s="4" t="s">
        <v>1734</v>
      </c>
      <c r="E562" s="13">
        <v>3106094574</v>
      </c>
      <c r="F562" s="4" t="s">
        <v>1735</v>
      </c>
      <c r="G562" s="7">
        <v>11001</v>
      </c>
      <c r="H562" s="12">
        <v>305</v>
      </c>
      <c r="I562" s="14">
        <v>1980840.9100000006</v>
      </c>
      <c r="J562" s="14">
        <v>97981.098000000013</v>
      </c>
      <c r="K562" s="3">
        <v>0</v>
      </c>
      <c r="L562" s="15">
        <v>15157.021486600004</v>
      </c>
    </row>
    <row r="563" spans="1:12" x14ac:dyDescent="0.25">
      <c r="A563" s="12">
        <v>15672923</v>
      </c>
      <c r="B563" s="12"/>
      <c r="C563" s="12" t="s">
        <v>1736</v>
      </c>
      <c r="D563" s="4" t="s">
        <v>1737</v>
      </c>
      <c r="E563" s="13">
        <v>6335246</v>
      </c>
      <c r="F563" s="4" t="s">
        <v>1738</v>
      </c>
      <c r="G563" s="7">
        <v>11001</v>
      </c>
      <c r="H563" s="12">
        <v>305</v>
      </c>
      <c r="I563" s="14">
        <v>1985497.09</v>
      </c>
      <c r="J563" s="14">
        <v>187399.41800000001</v>
      </c>
      <c r="K563" s="3">
        <v>0</v>
      </c>
      <c r="L563" s="15">
        <v>14474.686259600001</v>
      </c>
    </row>
    <row r="564" spans="1:12" x14ac:dyDescent="0.25">
      <c r="A564" s="12">
        <v>52813893</v>
      </c>
      <c r="B564" s="12"/>
      <c r="C564" s="12" t="s">
        <v>1739</v>
      </c>
      <c r="D564" s="4" t="s">
        <v>1740</v>
      </c>
      <c r="E564" s="13">
        <v>5373039</v>
      </c>
      <c r="F564" s="4" t="s">
        <v>1741</v>
      </c>
      <c r="G564" s="7">
        <v>11001</v>
      </c>
      <c r="H564" s="12">
        <v>305</v>
      </c>
      <c r="I564" s="14">
        <v>1995691.52</v>
      </c>
      <c r="J564" s="14">
        <v>95662.335999999981</v>
      </c>
      <c r="K564" s="3">
        <v>0</v>
      </c>
      <c r="L564" s="15">
        <v>15295.234931200001</v>
      </c>
    </row>
    <row r="565" spans="1:12" x14ac:dyDescent="0.25">
      <c r="A565" s="12">
        <v>93359490</v>
      </c>
      <c r="B565" s="12"/>
      <c r="C565" s="12" t="s">
        <v>1742</v>
      </c>
      <c r="D565" s="4" t="s">
        <v>1743</v>
      </c>
      <c r="E565" s="13">
        <v>3204882866</v>
      </c>
      <c r="F565" s="4" t="s">
        <v>1744</v>
      </c>
      <c r="G565" s="7">
        <v>11001</v>
      </c>
      <c r="H565" s="12">
        <v>305</v>
      </c>
      <c r="I565" s="14">
        <v>1995940.6800000002</v>
      </c>
      <c r="J565" s="14">
        <v>349272.17</v>
      </c>
      <c r="K565" s="3">
        <v>0</v>
      </c>
      <c r="L565" s="15">
        <v>13255.681505500002</v>
      </c>
    </row>
    <row r="566" spans="1:12" x14ac:dyDescent="0.25">
      <c r="A566" s="12">
        <v>860030895</v>
      </c>
      <c r="B566" s="12">
        <v>3</v>
      </c>
      <c r="C566" s="12" t="s">
        <v>1745</v>
      </c>
      <c r="D566" s="4" t="s">
        <v>1746</v>
      </c>
      <c r="E566" s="13">
        <v>6110972</v>
      </c>
      <c r="F566" s="4" t="s">
        <v>1747</v>
      </c>
      <c r="G566" s="7">
        <v>11001</v>
      </c>
      <c r="H566" s="12">
        <v>305</v>
      </c>
      <c r="I566" s="14">
        <v>2000960</v>
      </c>
      <c r="J566" s="14">
        <v>0.15</v>
      </c>
      <c r="K566" s="3">
        <v>0</v>
      </c>
      <c r="L566" s="15">
        <v>16107.726792500001</v>
      </c>
    </row>
    <row r="567" spans="1:12" x14ac:dyDescent="0.25">
      <c r="A567" s="12">
        <v>5450509</v>
      </c>
      <c r="B567" s="12"/>
      <c r="C567" s="12" t="s">
        <v>1748</v>
      </c>
      <c r="D567" s="4" t="s">
        <v>1749</v>
      </c>
      <c r="E567" s="13">
        <v>2539278</v>
      </c>
      <c r="F567" s="4" t="s">
        <v>1750</v>
      </c>
      <c r="G567" s="7">
        <v>11001</v>
      </c>
      <c r="H567" s="12">
        <v>305</v>
      </c>
      <c r="I567" s="14">
        <v>2002148.95</v>
      </c>
      <c r="J567" s="14">
        <v>237518</v>
      </c>
      <c r="K567" s="3">
        <v>0</v>
      </c>
      <c r="L567" s="15">
        <v>14205.279147499999</v>
      </c>
    </row>
    <row r="568" spans="1:12" x14ac:dyDescent="0.25">
      <c r="A568" s="12">
        <v>79628891</v>
      </c>
      <c r="B568" s="12"/>
      <c r="C568" s="12" t="s">
        <v>1751</v>
      </c>
      <c r="D568" s="4" t="s">
        <v>1752</v>
      </c>
      <c r="E568" s="13">
        <v>3005515848</v>
      </c>
      <c r="F568" s="4" t="s">
        <v>1753</v>
      </c>
      <c r="G568" s="7">
        <v>11001</v>
      </c>
      <c r="H568" s="12">
        <v>305</v>
      </c>
      <c r="I568" s="14">
        <v>2004291.98</v>
      </c>
      <c r="J568" s="14">
        <v>134349.82399999999</v>
      </c>
      <c r="K568" s="3">
        <v>0</v>
      </c>
      <c r="L568" s="15">
        <v>15053.034355799999</v>
      </c>
    </row>
    <row r="569" spans="1:12" x14ac:dyDescent="0.25">
      <c r="A569" s="12">
        <v>23552218</v>
      </c>
      <c r="B569" s="12"/>
      <c r="C569" s="12" t="s">
        <v>1754</v>
      </c>
      <c r="D569" s="4" t="s">
        <v>1755</v>
      </c>
      <c r="E569" s="13">
        <v>3114536924</v>
      </c>
      <c r="F569" s="4" t="s">
        <v>1756</v>
      </c>
      <c r="G569" s="7" t="s">
        <v>422</v>
      </c>
      <c r="H569" s="12">
        <v>305</v>
      </c>
      <c r="I569" s="14">
        <v>2020627.0099999993</v>
      </c>
      <c r="J569" s="14">
        <v>310553.64199999982</v>
      </c>
      <c r="K569" s="3">
        <v>0</v>
      </c>
      <c r="L569" s="15">
        <v>13766.090612399998</v>
      </c>
    </row>
    <row r="570" spans="1:12" x14ac:dyDescent="0.25">
      <c r="A570" s="12">
        <v>73144549</v>
      </c>
      <c r="B570" s="12"/>
      <c r="C570" s="12" t="s">
        <v>1757</v>
      </c>
      <c r="D570" s="4" t="s">
        <v>1758</v>
      </c>
      <c r="E570" s="13">
        <v>3106309106</v>
      </c>
      <c r="F570" s="4" t="s">
        <v>1759</v>
      </c>
      <c r="G570" s="7">
        <v>11001</v>
      </c>
      <c r="H570" s="12">
        <v>305</v>
      </c>
      <c r="I570" s="14">
        <v>2023933.3599999999</v>
      </c>
      <c r="J570" s="14">
        <v>218352.21799999996</v>
      </c>
      <c r="K570" s="3">
        <v>0</v>
      </c>
      <c r="L570" s="15">
        <v>14534.9281931</v>
      </c>
    </row>
    <row r="571" spans="1:12" x14ac:dyDescent="0.25">
      <c r="A571" s="12">
        <v>7228207</v>
      </c>
      <c r="B571" s="12"/>
      <c r="C571" s="12" t="s">
        <v>1760</v>
      </c>
      <c r="D571" s="4" t="s">
        <v>1761</v>
      </c>
      <c r="E571" s="13">
        <v>3114773892</v>
      </c>
      <c r="F571" s="4" t="s">
        <v>1762</v>
      </c>
      <c r="G571" s="7">
        <v>11001</v>
      </c>
      <c r="H571" s="12">
        <v>305</v>
      </c>
      <c r="I571" s="14">
        <v>2024343.5500000005</v>
      </c>
      <c r="J571" s="14">
        <v>374888.71000000008</v>
      </c>
      <c r="K571" s="3">
        <v>0</v>
      </c>
      <c r="L571" s="15">
        <v>13278.111462000003</v>
      </c>
    </row>
    <row r="572" spans="1:12" x14ac:dyDescent="0.25">
      <c r="A572" s="12">
        <v>79471717</v>
      </c>
      <c r="B572" s="12"/>
      <c r="C572" s="12" t="s">
        <v>1763</v>
      </c>
      <c r="D572" s="4" t="s">
        <v>1764</v>
      </c>
      <c r="E572" s="13">
        <v>4859835</v>
      </c>
      <c r="F572" s="4" t="s">
        <v>1765</v>
      </c>
      <c r="G572" s="7">
        <v>11001</v>
      </c>
      <c r="H572" s="12">
        <v>305</v>
      </c>
      <c r="I572" s="14">
        <v>2026760.2399999993</v>
      </c>
      <c r="J572" s="14">
        <v>230480.78799999985</v>
      </c>
      <c r="K572" s="3">
        <v>0</v>
      </c>
      <c r="L572" s="15">
        <v>14460.049588599995</v>
      </c>
    </row>
    <row r="573" spans="1:12" x14ac:dyDescent="0.25">
      <c r="A573" s="12">
        <v>52223277</v>
      </c>
      <c r="B573" s="12"/>
      <c r="C573" s="12" t="s">
        <v>1766</v>
      </c>
      <c r="D573" s="4" t="s">
        <v>1767</v>
      </c>
      <c r="E573" s="13">
        <v>3103104774</v>
      </c>
      <c r="F573" s="4" t="s">
        <v>1545</v>
      </c>
      <c r="G573" s="7">
        <v>11001</v>
      </c>
      <c r="H573" s="12">
        <v>305</v>
      </c>
      <c r="I573" s="14">
        <v>2029599.3600000003</v>
      </c>
      <c r="J573" s="14">
        <v>291965.75400000007</v>
      </c>
      <c r="K573" s="3">
        <v>0</v>
      </c>
      <c r="L573" s="15">
        <v>13987.950528300002</v>
      </c>
    </row>
    <row r="574" spans="1:12" x14ac:dyDescent="0.25">
      <c r="A574" s="12">
        <v>63507151</v>
      </c>
      <c r="B574" s="12"/>
      <c r="C574" s="12" t="s">
        <v>1768</v>
      </c>
      <c r="D574" s="4" t="s">
        <v>1769</v>
      </c>
      <c r="E574" s="13">
        <v>3005567353</v>
      </c>
      <c r="F574" s="4" t="s">
        <v>1770</v>
      </c>
      <c r="G574" s="7" t="s">
        <v>713</v>
      </c>
      <c r="H574" s="12">
        <v>305</v>
      </c>
      <c r="I574" s="14">
        <v>2034105</v>
      </c>
      <c r="J574" s="14">
        <v>105221</v>
      </c>
      <c r="K574" s="3">
        <v>0</v>
      </c>
      <c r="L574" s="15">
        <v>15527.5162</v>
      </c>
    </row>
    <row r="575" spans="1:12" x14ac:dyDescent="0.25">
      <c r="A575" s="12">
        <v>10279432</v>
      </c>
      <c r="B575" s="12"/>
      <c r="C575" s="12" t="s">
        <v>1771</v>
      </c>
      <c r="D575" s="4" t="s">
        <v>1772</v>
      </c>
      <c r="E575" s="13">
        <v>3043604556</v>
      </c>
      <c r="F575" s="4" t="s">
        <v>1773</v>
      </c>
      <c r="G575" s="7">
        <v>11001</v>
      </c>
      <c r="H575" s="12">
        <v>305</v>
      </c>
      <c r="I575" s="14">
        <v>2041702.5799999994</v>
      </c>
      <c r="J575" s="14">
        <v>228963.53599999991</v>
      </c>
      <c r="K575" s="3">
        <v>0</v>
      </c>
      <c r="L575" s="15">
        <v>14592.549304199998</v>
      </c>
    </row>
    <row r="576" spans="1:12" x14ac:dyDescent="0.25">
      <c r="A576" s="12">
        <v>74375911</v>
      </c>
      <c r="B576" s="12"/>
      <c r="C576" s="12" t="s">
        <v>1774</v>
      </c>
      <c r="D576" s="4" t="s">
        <v>1775</v>
      </c>
      <c r="E576" s="13">
        <v>3147911961</v>
      </c>
      <c r="F576" s="4" t="s">
        <v>1776</v>
      </c>
      <c r="G576" s="7" t="s">
        <v>422</v>
      </c>
      <c r="H576" s="12">
        <v>305</v>
      </c>
      <c r="I576" s="14">
        <v>2059230.5799999998</v>
      </c>
      <c r="J576" s="14">
        <v>368417.54399999999</v>
      </c>
      <c r="K576" s="3">
        <v>0</v>
      </c>
      <c r="L576" s="15">
        <v>13611.044939799998</v>
      </c>
    </row>
    <row r="577" spans="1:12" x14ac:dyDescent="0.25">
      <c r="A577" s="12">
        <v>41322125</v>
      </c>
      <c r="B577" s="12"/>
      <c r="C577" s="12" t="s">
        <v>1777</v>
      </c>
      <c r="D577" s="4" t="s">
        <v>1778</v>
      </c>
      <c r="E577" s="13">
        <v>3229594196</v>
      </c>
      <c r="F577" s="4" t="s">
        <v>1779</v>
      </c>
      <c r="G577" s="7">
        <v>11001</v>
      </c>
      <c r="H577" s="12">
        <v>305</v>
      </c>
      <c r="I577" s="14">
        <v>2061213.3399999989</v>
      </c>
      <c r="J577" s="14">
        <v>272272.70599999977</v>
      </c>
      <c r="K577" s="3">
        <v>0</v>
      </c>
      <c r="L577" s="15">
        <v>14400.972103699994</v>
      </c>
    </row>
    <row r="578" spans="1:12" x14ac:dyDescent="0.25">
      <c r="A578" s="12">
        <v>1039450268</v>
      </c>
      <c r="B578" s="12"/>
      <c r="C578" s="12" t="s">
        <v>1780</v>
      </c>
      <c r="D578" s="4" t="s">
        <v>1781</v>
      </c>
      <c r="E578" s="13">
        <v>3148639975</v>
      </c>
      <c r="F578" s="4" t="s">
        <v>1782</v>
      </c>
      <c r="G578" s="7">
        <v>11001</v>
      </c>
      <c r="H578" s="12">
        <v>305</v>
      </c>
      <c r="I578" s="14">
        <v>2062812.29</v>
      </c>
      <c r="J578" s="14">
        <v>373184.304</v>
      </c>
      <c r="K578" s="3">
        <v>0</v>
      </c>
      <c r="L578" s="15">
        <v>13601.5052873</v>
      </c>
    </row>
    <row r="579" spans="1:12" x14ac:dyDescent="0.25">
      <c r="A579" s="12">
        <v>79140441</v>
      </c>
      <c r="B579" s="12"/>
      <c r="C579" s="12" t="s">
        <v>1783</v>
      </c>
      <c r="D579" s="4" t="s">
        <v>1784</v>
      </c>
      <c r="E579" s="13">
        <v>6969268</v>
      </c>
      <c r="F579" s="4" t="s">
        <v>1785</v>
      </c>
      <c r="G579" s="7">
        <v>11001</v>
      </c>
      <c r="H579" s="12">
        <v>305</v>
      </c>
      <c r="I579" s="14">
        <v>2064267.969999999</v>
      </c>
      <c r="J579" s="14">
        <v>231035.01399999976</v>
      </c>
      <c r="K579" s="3">
        <v>0</v>
      </c>
      <c r="L579" s="15">
        <v>14757.525295799995</v>
      </c>
    </row>
    <row r="580" spans="1:12" x14ac:dyDescent="0.25">
      <c r="A580" s="12">
        <v>1143381984</v>
      </c>
      <c r="B580" s="12"/>
      <c r="C580" s="12" t="s">
        <v>1786</v>
      </c>
      <c r="D580" s="4" t="s">
        <v>1787</v>
      </c>
      <c r="E580" s="13">
        <v>3164384054</v>
      </c>
      <c r="F580" s="4" t="s">
        <v>1788</v>
      </c>
      <c r="G580" s="7" t="s">
        <v>221</v>
      </c>
      <c r="H580" s="12">
        <v>305</v>
      </c>
      <c r="I580" s="14">
        <v>2066290.0400000003</v>
      </c>
      <c r="J580" s="14">
        <v>153204.35</v>
      </c>
      <c r="K580" s="3">
        <v>0</v>
      </c>
      <c r="L580" s="15">
        <v>15400.339804500001</v>
      </c>
    </row>
    <row r="581" spans="1:12" x14ac:dyDescent="0.25">
      <c r="A581" s="12">
        <v>79980378</v>
      </c>
      <c r="B581" s="12"/>
      <c r="C581" s="12" t="s">
        <v>1789</v>
      </c>
      <c r="D581" s="4" t="s">
        <v>1790</v>
      </c>
      <c r="E581" s="13">
        <v>3144007035</v>
      </c>
      <c r="F581" s="4" t="s">
        <v>1791</v>
      </c>
      <c r="G581" s="7" t="s">
        <v>1792</v>
      </c>
      <c r="H581" s="12">
        <v>305</v>
      </c>
      <c r="I581" s="14">
        <v>2069838.46</v>
      </c>
      <c r="J581" s="14">
        <v>30907.321999999996</v>
      </c>
      <c r="K581" s="3">
        <v>0</v>
      </c>
      <c r="L581" s="15">
        <v>16413.395660900002</v>
      </c>
    </row>
    <row r="582" spans="1:12" x14ac:dyDescent="0.25">
      <c r="A582" s="12">
        <v>52868379</v>
      </c>
      <c r="B582" s="12"/>
      <c r="C582" s="12" t="s">
        <v>1793</v>
      </c>
      <c r="D582" s="4" t="s">
        <v>1794</v>
      </c>
      <c r="E582" s="13">
        <v>3012335413</v>
      </c>
      <c r="F582" s="4" t="s">
        <v>1795</v>
      </c>
      <c r="G582" s="7">
        <v>11001</v>
      </c>
      <c r="H582" s="12">
        <v>305</v>
      </c>
      <c r="I582" s="14">
        <v>2074299.02</v>
      </c>
      <c r="J582" s="14">
        <v>182279.80399999997</v>
      </c>
      <c r="K582" s="3">
        <v>0</v>
      </c>
      <c r="L582" s="15">
        <v>15230.7546888</v>
      </c>
    </row>
    <row r="583" spans="1:12" x14ac:dyDescent="0.25">
      <c r="A583" s="12">
        <v>9060336</v>
      </c>
      <c r="B583" s="12"/>
      <c r="C583" s="12" t="s">
        <v>1796</v>
      </c>
      <c r="D583" s="4" t="s">
        <v>1797</v>
      </c>
      <c r="E583" s="13">
        <v>7038892</v>
      </c>
      <c r="F583" s="4" t="s">
        <v>1798</v>
      </c>
      <c r="G583" s="7">
        <v>11001</v>
      </c>
      <c r="H583" s="12">
        <v>305</v>
      </c>
      <c r="I583" s="14">
        <v>2075183.08</v>
      </c>
      <c r="J583" s="14">
        <v>208056.43</v>
      </c>
      <c r="K583" s="3">
        <v>0</v>
      </c>
      <c r="L583" s="15">
        <v>15030.369532500001</v>
      </c>
    </row>
    <row r="584" spans="1:12" x14ac:dyDescent="0.25">
      <c r="A584" s="12">
        <v>17182199</v>
      </c>
      <c r="B584" s="12"/>
      <c r="C584" s="12" t="s">
        <v>1799</v>
      </c>
      <c r="D584" s="4" t="s">
        <v>1800</v>
      </c>
      <c r="E584" s="13">
        <v>3151168</v>
      </c>
      <c r="F584" s="4" t="s">
        <v>1801</v>
      </c>
      <c r="G584" s="7">
        <v>11001</v>
      </c>
      <c r="H584" s="12">
        <v>305</v>
      </c>
      <c r="I584" s="14">
        <v>2076007.6699999997</v>
      </c>
      <c r="J584" s="14">
        <v>260679.68599999993</v>
      </c>
      <c r="K584" s="3">
        <v>0</v>
      </c>
      <c r="L584" s="15">
        <v>14613.390271199998</v>
      </c>
    </row>
    <row r="585" spans="1:12" x14ac:dyDescent="0.25">
      <c r="A585" s="12">
        <v>19205470</v>
      </c>
      <c r="B585" s="12"/>
      <c r="C585" s="12" t="s">
        <v>1802</v>
      </c>
      <c r="D585" s="4" t="s">
        <v>1803</v>
      </c>
      <c r="E585" s="13">
        <v>8854720</v>
      </c>
      <c r="F585" s="4" t="s">
        <v>1190</v>
      </c>
      <c r="G585" s="7" t="s">
        <v>144</v>
      </c>
      <c r="H585" s="12">
        <v>305</v>
      </c>
      <c r="I585" s="14">
        <v>2087110.5899999996</v>
      </c>
      <c r="J585" s="14">
        <v>0.15</v>
      </c>
      <c r="K585" s="3">
        <v>0</v>
      </c>
      <c r="L585" s="15">
        <v>16801.239041999997</v>
      </c>
    </row>
    <row r="586" spans="1:12" x14ac:dyDescent="0.25">
      <c r="A586" s="12">
        <v>79418130</v>
      </c>
      <c r="B586" s="12"/>
      <c r="C586" s="12" t="s">
        <v>1804</v>
      </c>
      <c r="D586" s="4" t="s">
        <v>1805</v>
      </c>
      <c r="E586" s="13">
        <v>6177912</v>
      </c>
      <c r="F586" s="4" t="s">
        <v>1806</v>
      </c>
      <c r="G586" s="7">
        <v>11001</v>
      </c>
      <c r="H586" s="12">
        <v>305</v>
      </c>
      <c r="I586" s="14">
        <v>2089522</v>
      </c>
      <c r="J586" s="14">
        <v>0.15</v>
      </c>
      <c r="K586" s="3">
        <v>0</v>
      </c>
      <c r="L586" s="15">
        <v>16820.650892500002</v>
      </c>
    </row>
    <row r="587" spans="1:12" x14ac:dyDescent="0.25">
      <c r="A587" s="12">
        <v>5945682</v>
      </c>
      <c r="B587" s="12"/>
      <c r="C587" s="12" t="s">
        <v>1807</v>
      </c>
      <c r="D587" s="4" t="s">
        <v>1808</v>
      </c>
      <c r="E587" s="13">
        <v>7035939</v>
      </c>
      <c r="F587" s="4" t="s">
        <v>1809</v>
      </c>
      <c r="G587" s="7">
        <v>11001</v>
      </c>
      <c r="H587" s="12">
        <v>305</v>
      </c>
      <c r="I587" s="14">
        <v>2101569.6899999995</v>
      </c>
      <c r="J587" s="14">
        <v>0.15</v>
      </c>
      <c r="K587" s="3">
        <v>0</v>
      </c>
      <c r="L587" s="15">
        <v>16917.634796999999</v>
      </c>
    </row>
    <row r="588" spans="1:12" x14ac:dyDescent="0.25">
      <c r="A588" s="12">
        <v>7228571</v>
      </c>
      <c r="B588" s="12"/>
      <c r="C588" s="12" t="s">
        <v>1810</v>
      </c>
      <c r="D588" s="4" t="s">
        <v>1811</v>
      </c>
      <c r="E588" s="13">
        <v>3118081287</v>
      </c>
      <c r="F588" s="4" t="s">
        <v>1812</v>
      </c>
      <c r="G588" s="7" t="s">
        <v>422</v>
      </c>
      <c r="H588" s="12">
        <v>305</v>
      </c>
      <c r="I588" s="14">
        <v>2103653.8499999996</v>
      </c>
      <c r="J588" s="14">
        <v>0.15</v>
      </c>
      <c r="K588" s="3">
        <v>0</v>
      </c>
      <c r="L588" s="15">
        <v>16934.412284999999</v>
      </c>
    </row>
    <row r="589" spans="1:12" x14ac:dyDescent="0.25">
      <c r="A589" s="12">
        <v>16645172</v>
      </c>
      <c r="B589" s="12"/>
      <c r="C589" s="12" t="s">
        <v>1813</v>
      </c>
      <c r="D589" s="4" t="s">
        <v>1814</v>
      </c>
      <c r="E589" s="13">
        <v>3108557227</v>
      </c>
      <c r="F589" s="4" t="s">
        <v>1815</v>
      </c>
      <c r="G589" s="7">
        <v>11001</v>
      </c>
      <c r="H589" s="12">
        <v>305</v>
      </c>
      <c r="I589" s="14">
        <v>2104233.7999999998</v>
      </c>
      <c r="J589" s="14">
        <v>0.15</v>
      </c>
      <c r="K589" s="3">
        <v>0</v>
      </c>
      <c r="L589" s="15">
        <v>16939.080882499999</v>
      </c>
    </row>
    <row r="590" spans="1:12" x14ac:dyDescent="0.25">
      <c r="A590" s="12">
        <v>80821328</v>
      </c>
      <c r="B590" s="12"/>
      <c r="C590" s="12" t="s">
        <v>1816</v>
      </c>
      <c r="D590" s="4" t="s">
        <v>1817</v>
      </c>
      <c r="E590" s="13">
        <v>3105445447</v>
      </c>
      <c r="F590" s="4" t="s">
        <v>1818</v>
      </c>
      <c r="G590" s="7">
        <v>11001</v>
      </c>
      <c r="H590" s="12">
        <v>305</v>
      </c>
      <c r="I590" s="14">
        <v>2104670</v>
      </c>
      <c r="J590" s="14">
        <v>0.15</v>
      </c>
      <c r="K590" s="3">
        <v>0</v>
      </c>
      <c r="L590" s="15">
        <v>16942.592292500001</v>
      </c>
    </row>
    <row r="591" spans="1:12" x14ac:dyDescent="0.25">
      <c r="A591" s="12">
        <v>79486272</v>
      </c>
      <c r="B591" s="12"/>
      <c r="C591" s="12" t="s">
        <v>1819</v>
      </c>
      <c r="D591" s="4" t="s">
        <v>1647</v>
      </c>
      <c r="E591" s="13">
        <v>3182616785</v>
      </c>
      <c r="F591" s="4" t="s">
        <v>1820</v>
      </c>
      <c r="G591" s="7">
        <v>11001</v>
      </c>
      <c r="H591" s="12">
        <v>305</v>
      </c>
      <c r="I591" s="14">
        <v>2107178.0000000005</v>
      </c>
      <c r="J591" s="14">
        <v>0.15</v>
      </c>
      <c r="K591" s="3">
        <v>0</v>
      </c>
      <c r="L591" s="15">
        <v>16962.781692500004</v>
      </c>
    </row>
    <row r="592" spans="1:12" x14ac:dyDescent="0.25">
      <c r="A592" s="12">
        <v>19177835</v>
      </c>
      <c r="B592" s="12"/>
      <c r="C592" s="12" t="s">
        <v>1821</v>
      </c>
      <c r="D592" s="4" t="s">
        <v>1822</v>
      </c>
      <c r="E592" s="13">
        <v>3143308456</v>
      </c>
      <c r="F592" s="4" t="s">
        <v>1823</v>
      </c>
      <c r="G592" s="7">
        <v>11001</v>
      </c>
      <c r="H592" s="12">
        <v>305</v>
      </c>
      <c r="I592" s="14">
        <v>2120422.8200000003</v>
      </c>
      <c r="J592" s="14">
        <v>0.15</v>
      </c>
      <c r="K592" s="3">
        <v>0</v>
      </c>
      <c r="L592" s="15">
        <v>17069.402493500005</v>
      </c>
    </row>
    <row r="593" spans="1:12" x14ac:dyDescent="0.25">
      <c r="A593" s="12">
        <v>51973624</v>
      </c>
      <c r="B593" s="12"/>
      <c r="C593" s="12" t="s">
        <v>1824</v>
      </c>
      <c r="D593" s="4" t="s">
        <v>1825</v>
      </c>
      <c r="E593" s="13">
        <v>3152664994</v>
      </c>
      <c r="F593" s="4" t="s">
        <v>1826</v>
      </c>
      <c r="G593" s="7">
        <v>11001</v>
      </c>
      <c r="H593" s="12">
        <v>305</v>
      </c>
      <c r="I593" s="14">
        <v>2129869.9999999995</v>
      </c>
      <c r="J593" s="14">
        <v>0.15</v>
      </c>
      <c r="K593" s="3">
        <v>0</v>
      </c>
      <c r="L593" s="15">
        <v>17145.452292499998</v>
      </c>
    </row>
    <row r="594" spans="1:12" x14ac:dyDescent="0.25">
      <c r="A594" s="12">
        <v>79329957</v>
      </c>
      <c r="B594" s="12"/>
      <c r="C594" s="12" t="s">
        <v>1827</v>
      </c>
      <c r="D594" s="4" t="s">
        <v>1828</v>
      </c>
      <c r="E594" s="13">
        <v>8157593</v>
      </c>
      <c r="F594" s="4" t="s">
        <v>1829</v>
      </c>
      <c r="G594" s="7" t="s">
        <v>144</v>
      </c>
      <c r="H594" s="12">
        <v>305</v>
      </c>
      <c r="I594" s="14">
        <v>2135550.08</v>
      </c>
      <c r="J594" s="14">
        <v>0.15</v>
      </c>
      <c r="K594" s="3">
        <v>0</v>
      </c>
      <c r="L594" s="15">
        <v>17191.176936500004</v>
      </c>
    </row>
    <row r="595" spans="1:12" x14ac:dyDescent="0.25">
      <c r="A595" s="12">
        <v>79151759</v>
      </c>
      <c r="B595" s="12"/>
      <c r="C595" s="12" t="s">
        <v>1830</v>
      </c>
      <c r="D595" s="4" t="s">
        <v>1831</v>
      </c>
      <c r="E595" s="13">
        <v>3134433727</v>
      </c>
      <c r="F595" s="4" t="s">
        <v>1832</v>
      </c>
      <c r="G595" s="7">
        <v>11001</v>
      </c>
      <c r="H595" s="12">
        <v>305</v>
      </c>
      <c r="I595" s="14">
        <v>2137889</v>
      </c>
      <c r="J595" s="14">
        <v>0.15</v>
      </c>
      <c r="K595" s="3">
        <v>0</v>
      </c>
      <c r="L595" s="15">
        <v>17210.005242500003</v>
      </c>
    </row>
    <row r="596" spans="1:12" x14ac:dyDescent="0.25">
      <c r="A596" s="12">
        <v>79540218</v>
      </c>
      <c r="B596" s="12"/>
      <c r="C596" s="12" t="s">
        <v>1833</v>
      </c>
      <c r="D596" s="4" t="s">
        <v>1834</v>
      </c>
      <c r="E596" s="13">
        <v>3042081927</v>
      </c>
      <c r="F596" s="4" t="s">
        <v>1835</v>
      </c>
      <c r="G596" s="7">
        <v>11001</v>
      </c>
      <c r="H596" s="12">
        <v>305</v>
      </c>
      <c r="I596" s="14">
        <v>2139387</v>
      </c>
      <c r="J596" s="14">
        <v>0.15</v>
      </c>
      <c r="K596" s="3">
        <v>0</v>
      </c>
      <c r="L596" s="15">
        <v>17222.064142500003</v>
      </c>
    </row>
    <row r="597" spans="1:12" x14ac:dyDescent="0.25">
      <c r="A597" s="12">
        <v>9286122</v>
      </c>
      <c r="B597" s="12"/>
      <c r="C597" s="12" t="s">
        <v>1836</v>
      </c>
      <c r="D597" s="4" t="s">
        <v>1837</v>
      </c>
      <c r="E597" s="13">
        <v>6651154</v>
      </c>
      <c r="F597" s="4" t="s">
        <v>1838</v>
      </c>
      <c r="G597" s="7" t="s">
        <v>221</v>
      </c>
      <c r="H597" s="12">
        <v>305</v>
      </c>
      <c r="I597" s="14">
        <v>2142373.4</v>
      </c>
      <c r="J597" s="14">
        <v>0.15</v>
      </c>
      <c r="K597" s="3">
        <v>0</v>
      </c>
      <c r="L597" s="15">
        <v>17246.104662500002</v>
      </c>
    </row>
    <row r="598" spans="1:12" x14ac:dyDescent="0.25">
      <c r="A598" s="12">
        <v>80172261</v>
      </c>
      <c r="B598" s="12"/>
      <c r="C598" s="12" t="s">
        <v>1839</v>
      </c>
      <c r="D598" s="4" t="s">
        <v>1840</v>
      </c>
      <c r="E598" s="13">
        <v>3007900282</v>
      </c>
      <c r="F598" s="4" t="s">
        <v>1841</v>
      </c>
      <c r="G598" s="7">
        <v>11001</v>
      </c>
      <c r="H598" s="12">
        <v>305</v>
      </c>
      <c r="I598" s="14">
        <v>2145697.6799999997</v>
      </c>
      <c r="J598" s="14">
        <v>162483.56999999995</v>
      </c>
      <c r="K598" s="3">
        <v>0</v>
      </c>
      <c r="L598" s="15">
        <v>15964.8735855</v>
      </c>
    </row>
    <row r="599" spans="1:12" x14ac:dyDescent="0.25">
      <c r="A599" s="12">
        <v>1052386651</v>
      </c>
      <c r="B599" s="12"/>
      <c r="C599" s="12" t="s">
        <v>1842</v>
      </c>
      <c r="D599" s="4" t="s">
        <v>1843</v>
      </c>
      <c r="E599" s="13">
        <v>3222701923</v>
      </c>
      <c r="F599" s="4" t="s">
        <v>1844</v>
      </c>
      <c r="G599" s="7">
        <v>11001</v>
      </c>
      <c r="H599" s="12">
        <v>305</v>
      </c>
      <c r="I599" s="14">
        <v>2151274.08</v>
      </c>
      <c r="J599" s="14">
        <v>84054.815999999992</v>
      </c>
      <c r="K599" s="3">
        <v>0</v>
      </c>
      <c r="L599" s="15">
        <v>16641.115075199999</v>
      </c>
    </row>
    <row r="600" spans="1:12" x14ac:dyDescent="0.25">
      <c r="A600" s="12">
        <v>79780106</v>
      </c>
      <c r="B600" s="12"/>
      <c r="C600" s="12" t="s">
        <v>1845</v>
      </c>
      <c r="D600" s="4" t="s">
        <v>1846</v>
      </c>
      <c r="E600" s="13">
        <v>3232280013</v>
      </c>
      <c r="F600" s="4" t="s">
        <v>1847</v>
      </c>
      <c r="G600" s="7">
        <v>11001</v>
      </c>
      <c r="H600" s="12">
        <v>305</v>
      </c>
      <c r="I600" s="14">
        <v>2153251.58</v>
      </c>
      <c r="J600" s="14">
        <v>65796.428000000014</v>
      </c>
      <c r="K600" s="3">
        <v>0</v>
      </c>
      <c r="L600" s="15">
        <v>16804.013973599998</v>
      </c>
    </row>
    <row r="601" spans="1:12" x14ac:dyDescent="0.25">
      <c r="A601" s="12">
        <v>79885856</v>
      </c>
      <c r="B601" s="12"/>
      <c r="C601" s="12" t="s">
        <v>1848</v>
      </c>
      <c r="D601" s="4" t="s">
        <v>1849</v>
      </c>
      <c r="E601" s="13">
        <v>3134422252</v>
      </c>
      <c r="F601" s="4" t="s">
        <v>1850</v>
      </c>
      <c r="G601" s="7">
        <v>11001</v>
      </c>
      <c r="H601" s="12">
        <v>305</v>
      </c>
      <c r="I601" s="14">
        <v>2160523.52</v>
      </c>
      <c r="J601" s="14">
        <v>235184.704</v>
      </c>
      <c r="K601" s="3">
        <v>0</v>
      </c>
      <c r="L601" s="15">
        <v>15498.977468800002</v>
      </c>
    </row>
    <row r="602" spans="1:12" x14ac:dyDescent="0.25">
      <c r="A602" s="12">
        <v>19156685</v>
      </c>
      <c r="B602" s="12"/>
      <c r="C602" s="12" t="s">
        <v>1851</v>
      </c>
      <c r="D602" s="4" t="s">
        <v>1852</v>
      </c>
      <c r="E602" s="13">
        <v>2262324</v>
      </c>
      <c r="F602" s="4" t="s">
        <v>1853</v>
      </c>
      <c r="G602" s="7">
        <v>11001</v>
      </c>
      <c r="H602" s="12">
        <v>305</v>
      </c>
      <c r="I602" s="14">
        <v>2163337.2000000007</v>
      </c>
      <c r="J602" s="14">
        <v>203659.70800000013</v>
      </c>
      <c r="K602" s="3">
        <v>0</v>
      </c>
      <c r="L602" s="15">
        <v>15775.403810600006</v>
      </c>
    </row>
    <row r="603" spans="1:12" x14ac:dyDescent="0.25">
      <c r="A603" s="12">
        <v>79538547</v>
      </c>
      <c r="B603" s="12"/>
      <c r="C603" s="12" t="s">
        <v>1854</v>
      </c>
      <c r="D603" s="4" t="s">
        <v>1855</v>
      </c>
      <c r="E603" s="13">
        <v>3185314311</v>
      </c>
      <c r="F603" s="4" t="s">
        <v>1856</v>
      </c>
      <c r="G603" s="7">
        <v>11001</v>
      </c>
      <c r="H603" s="12">
        <v>305</v>
      </c>
      <c r="I603" s="14">
        <v>2167621.5600000005</v>
      </c>
      <c r="J603" s="14">
        <v>0.15</v>
      </c>
      <c r="K603" s="3">
        <v>0</v>
      </c>
      <c r="L603" s="15">
        <v>17449.352350500005</v>
      </c>
    </row>
    <row r="604" spans="1:12" x14ac:dyDescent="0.25">
      <c r="A604" s="12">
        <v>13860794</v>
      </c>
      <c r="B604" s="12"/>
      <c r="C604" s="12" t="s">
        <v>1857</v>
      </c>
      <c r="D604" s="4" t="s">
        <v>1858</v>
      </c>
      <c r="E604" s="13">
        <v>3115322977</v>
      </c>
      <c r="F604" s="4" t="s">
        <v>1859</v>
      </c>
      <c r="G604" s="7" t="s">
        <v>1860</v>
      </c>
      <c r="H604" s="12">
        <v>305</v>
      </c>
      <c r="I604" s="14">
        <v>2169872.52</v>
      </c>
      <c r="J604" s="14">
        <v>35629.629999999997</v>
      </c>
      <c r="K604" s="3">
        <v>0</v>
      </c>
      <c r="L604" s="15">
        <v>17180.655264500001</v>
      </c>
    </row>
    <row r="605" spans="1:12" x14ac:dyDescent="0.25">
      <c r="A605" s="12">
        <v>79503342</v>
      </c>
      <c r="B605" s="12"/>
      <c r="C605" s="12" t="s">
        <v>1861</v>
      </c>
      <c r="D605" s="4" t="s">
        <v>1862</v>
      </c>
      <c r="E605" s="13">
        <v>3124075081</v>
      </c>
      <c r="F605" s="4" t="s">
        <v>1863</v>
      </c>
      <c r="G605" s="7">
        <v>11001</v>
      </c>
      <c r="H605" s="12">
        <v>305</v>
      </c>
      <c r="I605" s="14">
        <v>2174753.0799999996</v>
      </c>
      <c r="J605" s="14">
        <v>196450.61599999995</v>
      </c>
      <c r="K605" s="3">
        <v>0</v>
      </c>
      <c r="L605" s="15">
        <v>15925.334835199999</v>
      </c>
    </row>
    <row r="606" spans="1:12" x14ac:dyDescent="0.25">
      <c r="A606" s="12">
        <v>20129623</v>
      </c>
      <c r="B606" s="12"/>
      <c r="C606" s="12" t="s">
        <v>1864</v>
      </c>
      <c r="D606" s="4" t="s">
        <v>1865</v>
      </c>
      <c r="E606" s="13">
        <v>2221321</v>
      </c>
      <c r="F606" s="4" t="s">
        <v>1866</v>
      </c>
      <c r="G606" s="7">
        <v>11001</v>
      </c>
      <c r="H606" s="12">
        <v>305</v>
      </c>
      <c r="I606" s="14">
        <v>2191088.4799999995</v>
      </c>
      <c r="J606" s="14">
        <v>139973.46199999994</v>
      </c>
      <c r="K606" s="3">
        <v>0</v>
      </c>
      <c r="L606" s="15">
        <v>16511.475894899995</v>
      </c>
    </row>
    <row r="607" spans="1:12" x14ac:dyDescent="0.25">
      <c r="A607" s="12">
        <v>79530322</v>
      </c>
      <c r="B607" s="12"/>
      <c r="C607" s="12" t="s">
        <v>1867</v>
      </c>
      <c r="D607" s="4" t="s">
        <v>1868</v>
      </c>
      <c r="E607" s="13">
        <v>3102667083</v>
      </c>
      <c r="F607" s="4" t="s">
        <v>1869</v>
      </c>
      <c r="G607" s="7">
        <v>11001</v>
      </c>
      <c r="H607" s="12">
        <v>305</v>
      </c>
      <c r="I607" s="14">
        <v>2191661</v>
      </c>
      <c r="J607" s="14">
        <v>88574.160000000033</v>
      </c>
      <c r="K607" s="3">
        <v>0</v>
      </c>
      <c r="L607" s="15">
        <v>16929.849062000001</v>
      </c>
    </row>
    <row r="608" spans="1:12" x14ac:dyDescent="0.25">
      <c r="A608" s="12">
        <v>4251359</v>
      </c>
      <c r="B608" s="12"/>
      <c r="C608" s="12" t="s">
        <v>1870</v>
      </c>
      <c r="D608" s="4" t="s">
        <v>1871</v>
      </c>
      <c r="E608" s="13">
        <v>3105663510</v>
      </c>
      <c r="F608" s="4" t="s">
        <v>1872</v>
      </c>
      <c r="G608" s="7" t="s">
        <v>1642</v>
      </c>
      <c r="H608" s="12">
        <v>305</v>
      </c>
      <c r="I608" s="14">
        <v>2198557.2800000003</v>
      </c>
      <c r="J608" s="14">
        <v>149351.45600000001</v>
      </c>
      <c r="K608" s="3">
        <v>0</v>
      </c>
      <c r="L608" s="15">
        <v>16496.106883200002</v>
      </c>
    </row>
    <row r="609" spans="1:12" x14ac:dyDescent="0.25">
      <c r="A609" s="12">
        <v>1052396975</v>
      </c>
      <c r="B609" s="12"/>
      <c r="C609" s="12" t="s">
        <v>1873</v>
      </c>
      <c r="D609" s="4" t="s">
        <v>1874</v>
      </c>
      <c r="E609" s="13">
        <v>3143732719</v>
      </c>
      <c r="F609" s="4" t="s">
        <v>1875</v>
      </c>
      <c r="G609" s="7" t="s">
        <v>553</v>
      </c>
      <c r="H609" s="12">
        <v>305</v>
      </c>
      <c r="I609" s="14">
        <v>2201512.4899999993</v>
      </c>
      <c r="J609" s="14">
        <v>242702.49799999991</v>
      </c>
      <c r="K609" s="3">
        <v>0</v>
      </c>
      <c r="L609" s="15">
        <v>15768.420435599995</v>
      </c>
    </row>
    <row r="610" spans="1:12" x14ac:dyDescent="0.25">
      <c r="A610" s="12">
        <v>73166199</v>
      </c>
      <c r="B610" s="12"/>
      <c r="C610" s="12" t="s">
        <v>1876</v>
      </c>
      <c r="D610" s="4" t="s">
        <v>1877</v>
      </c>
      <c r="E610" s="13">
        <v>3173322941</v>
      </c>
      <c r="F610" s="4" t="s">
        <v>1878</v>
      </c>
      <c r="G610" s="7" t="s">
        <v>221</v>
      </c>
      <c r="H610" s="12">
        <v>305</v>
      </c>
      <c r="I610" s="14">
        <v>2215630.9699999997</v>
      </c>
      <c r="J610" s="14">
        <v>52074.534000000007</v>
      </c>
      <c r="K610" s="3">
        <v>0</v>
      </c>
      <c r="L610" s="15">
        <v>17416.629309799999</v>
      </c>
    </row>
    <row r="611" spans="1:12" x14ac:dyDescent="0.25">
      <c r="A611" s="12">
        <v>80019122</v>
      </c>
      <c r="B611" s="12"/>
      <c r="C611" s="12" t="s">
        <v>1879</v>
      </c>
      <c r="D611" s="4" t="s">
        <v>1880</v>
      </c>
      <c r="E611" s="13">
        <v>2285894</v>
      </c>
      <c r="F611" s="4" t="s">
        <v>1881</v>
      </c>
      <c r="G611" s="7">
        <v>11001</v>
      </c>
      <c r="H611" s="12">
        <v>305</v>
      </c>
      <c r="I611" s="14">
        <v>2215650</v>
      </c>
      <c r="J611" s="14">
        <v>263997.2</v>
      </c>
      <c r="K611" s="3">
        <v>0</v>
      </c>
      <c r="L611" s="15">
        <v>15710.805040000001</v>
      </c>
    </row>
    <row r="612" spans="1:12" x14ac:dyDescent="0.25">
      <c r="A612" s="12">
        <v>80215523</v>
      </c>
      <c r="B612" s="12"/>
      <c r="C612" s="12" t="s">
        <v>1882</v>
      </c>
      <c r="D612" s="4" t="s">
        <v>1883</v>
      </c>
      <c r="E612" s="13">
        <v>3218511717</v>
      </c>
      <c r="F612" s="4" t="s">
        <v>1884</v>
      </c>
      <c r="G612" s="7">
        <v>11001</v>
      </c>
      <c r="H612" s="12">
        <v>305</v>
      </c>
      <c r="I612" s="14">
        <v>2216313.9999999995</v>
      </c>
      <c r="J612" s="14">
        <v>0.15</v>
      </c>
      <c r="K612" s="3">
        <v>0</v>
      </c>
      <c r="L612" s="15">
        <v>17841.326492499997</v>
      </c>
    </row>
    <row r="613" spans="1:12" x14ac:dyDescent="0.25">
      <c r="A613" s="12">
        <v>5200549</v>
      </c>
      <c r="B613" s="12"/>
      <c r="C613" s="12" t="s">
        <v>1885</v>
      </c>
      <c r="D613" s="4" t="s">
        <v>1886</v>
      </c>
      <c r="E613" s="13">
        <v>3208520416</v>
      </c>
      <c r="F613" s="4" t="s">
        <v>1887</v>
      </c>
      <c r="G613" s="7">
        <v>11001</v>
      </c>
      <c r="H613" s="12">
        <v>305</v>
      </c>
      <c r="I613" s="14">
        <v>2223419.7000000002</v>
      </c>
      <c r="J613" s="14">
        <v>67258.788</v>
      </c>
      <c r="K613" s="3">
        <v>0</v>
      </c>
      <c r="L613" s="15">
        <v>17357.095341600001</v>
      </c>
    </row>
    <row r="614" spans="1:12" x14ac:dyDescent="0.25">
      <c r="A614" s="12">
        <v>1013650524</v>
      </c>
      <c r="B614" s="12"/>
      <c r="C614" s="12" t="s">
        <v>1888</v>
      </c>
      <c r="D614" s="4" t="s">
        <v>1889</v>
      </c>
      <c r="E614" s="13">
        <v>3115622044</v>
      </c>
      <c r="F614" s="4" t="s">
        <v>1890</v>
      </c>
      <c r="G614" s="7" t="s">
        <v>1589</v>
      </c>
      <c r="H614" s="12">
        <v>305</v>
      </c>
      <c r="I614" s="14">
        <v>2235453.64</v>
      </c>
      <c r="J614" s="14">
        <v>94954.425999999934</v>
      </c>
      <c r="K614" s="3">
        <v>0</v>
      </c>
      <c r="L614" s="15">
        <v>17231.018672700004</v>
      </c>
    </row>
    <row r="615" spans="1:12" x14ac:dyDescent="0.25">
      <c r="A615" s="12">
        <v>19131557</v>
      </c>
      <c r="B615" s="12"/>
      <c r="C615" s="12" t="s">
        <v>1891</v>
      </c>
      <c r="D615" s="4" t="s">
        <v>1892</v>
      </c>
      <c r="E615" s="13">
        <v>2266258</v>
      </c>
      <c r="F615" s="4" t="s">
        <v>1893</v>
      </c>
      <c r="G615" s="7">
        <v>11001</v>
      </c>
      <c r="H615" s="12">
        <v>305</v>
      </c>
      <c r="I615" s="14">
        <v>2237395.6099999994</v>
      </c>
      <c r="J615" s="14">
        <v>180811.90000000002</v>
      </c>
      <c r="K615" s="3">
        <v>0</v>
      </c>
      <c r="L615" s="15">
        <v>16555.498865499998</v>
      </c>
    </row>
    <row r="616" spans="1:12" x14ac:dyDescent="0.25">
      <c r="A616" s="12">
        <v>7214067</v>
      </c>
      <c r="B616" s="12"/>
      <c r="C616" s="12" t="s">
        <v>1894</v>
      </c>
      <c r="D616" s="4" t="s">
        <v>1895</v>
      </c>
      <c r="E616" s="13">
        <v>6264218</v>
      </c>
      <c r="F616" s="4" t="s">
        <v>1896</v>
      </c>
      <c r="G616" s="7">
        <v>11001</v>
      </c>
      <c r="H616" s="12">
        <v>305</v>
      </c>
      <c r="I616" s="14">
        <v>2246294.19</v>
      </c>
      <c r="J616" s="14">
        <v>229518.83799999996</v>
      </c>
      <c r="K616" s="3">
        <v>0</v>
      </c>
      <c r="L616" s="15">
        <v>16235.041583599999</v>
      </c>
    </row>
    <row r="617" spans="1:12" x14ac:dyDescent="0.25">
      <c r="A617" s="12">
        <v>19164553</v>
      </c>
      <c r="B617" s="12"/>
      <c r="C617" s="12" t="s">
        <v>1897</v>
      </c>
      <c r="D617" s="4" t="s">
        <v>1898</v>
      </c>
      <c r="E617" s="13">
        <v>5331387</v>
      </c>
      <c r="F617" s="4" t="s">
        <v>1899</v>
      </c>
      <c r="G617" s="7" t="s">
        <v>1642</v>
      </c>
      <c r="H617" s="12">
        <v>305</v>
      </c>
      <c r="I617" s="14">
        <v>2261251.48</v>
      </c>
      <c r="J617" s="14">
        <v>185130.296</v>
      </c>
      <c r="K617" s="3">
        <v>0</v>
      </c>
      <c r="L617" s="15">
        <v>16712.775531200001</v>
      </c>
    </row>
    <row r="618" spans="1:12" x14ac:dyDescent="0.25">
      <c r="A618" s="12">
        <v>51808972</v>
      </c>
      <c r="B618" s="12"/>
      <c r="C618" s="12" t="s">
        <v>1900</v>
      </c>
      <c r="D618" s="4" t="s">
        <v>1901</v>
      </c>
      <c r="E618" s="13">
        <v>4440444</v>
      </c>
      <c r="F618" s="4" t="s">
        <v>1902</v>
      </c>
      <c r="G618" s="7">
        <v>11001</v>
      </c>
      <c r="H618" s="12">
        <v>305</v>
      </c>
      <c r="I618" s="14">
        <v>2272297.29</v>
      </c>
      <c r="J618" s="14">
        <v>64074.403999999995</v>
      </c>
      <c r="K618" s="3">
        <v>0</v>
      </c>
      <c r="L618" s="15">
        <v>17776.1942323</v>
      </c>
    </row>
    <row r="619" spans="1:12" x14ac:dyDescent="0.25">
      <c r="A619" s="12">
        <v>79157047</v>
      </c>
      <c r="B619" s="12"/>
      <c r="C619" s="12" t="s">
        <v>1903</v>
      </c>
      <c r="D619" s="4" t="s">
        <v>1904</v>
      </c>
      <c r="E619" s="13">
        <v>3124355222</v>
      </c>
      <c r="F619" s="4" t="s">
        <v>1905</v>
      </c>
      <c r="G619" s="7">
        <v>11001</v>
      </c>
      <c r="H619" s="12">
        <v>305</v>
      </c>
      <c r="I619" s="14">
        <v>2284176.3999999994</v>
      </c>
      <c r="J619" s="14">
        <v>187536.37399999995</v>
      </c>
      <c r="K619" s="3">
        <v>0</v>
      </c>
      <c r="L619" s="15">
        <v>16877.952209299998</v>
      </c>
    </row>
    <row r="620" spans="1:12" x14ac:dyDescent="0.25">
      <c r="A620" s="12">
        <v>51838184</v>
      </c>
      <c r="B620" s="12"/>
      <c r="C620" s="12" t="s">
        <v>1906</v>
      </c>
      <c r="D620" s="4" t="s">
        <v>1907</v>
      </c>
      <c r="E620" s="13">
        <v>3132825457</v>
      </c>
      <c r="F620" s="4" t="s">
        <v>1908</v>
      </c>
      <c r="G620" s="7">
        <v>11001</v>
      </c>
      <c r="H620" s="12">
        <v>305</v>
      </c>
      <c r="I620" s="14">
        <v>2287282.46</v>
      </c>
      <c r="J620" s="14">
        <v>175975.19600000005</v>
      </c>
      <c r="K620" s="3">
        <v>0</v>
      </c>
      <c r="L620" s="15">
        <v>16996.0234752</v>
      </c>
    </row>
    <row r="621" spans="1:12" x14ac:dyDescent="0.25">
      <c r="A621" s="12">
        <v>79394352</v>
      </c>
      <c r="B621" s="12"/>
      <c r="C621" s="12" t="s">
        <v>1909</v>
      </c>
      <c r="D621" s="4" t="s">
        <v>1910</v>
      </c>
      <c r="E621" s="13">
        <v>6470683</v>
      </c>
      <c r="F621" s="4" t="s">
        <v>1911</v>
      </c>
      <c r="G621" s="7">
        <v>11001</v>
      </c>
      <c r="H621" s="12">
        <v>305</v>
      </c>
      <c r="I621" s="14">
        <v>2289468.86</v>
      </c>
      <c r="J621" s="14">
        <v>29073.586000000007</v>
      </c>
      <c r="K621" s="3">
        <v>0</v>
      </c>
      <c r="L621" s="15">
        <v>18196.181955699998</v>
      </c>
    </row>
    <row r="622" spans="1:12" x14ac:dyDescent="0.25">
      <c r="A622" s="12">
        <v>41793150</v>
      </c>
      <c r="B622" s="12"/>
      <c r="C622" s="12" t="s">
        <v>1912</v>
      </c>
      <c r="D622" s="4" t="s">
        <v>1913</v>
      </c>
      <c r="E622" s="13">
        <v>2257878</v>
      </c>
      <c r="F622" s="4" t="s">
        <v>1914</v>
      </c>
      <c r="G622" s="7" t="s">
        <v>1915</v>
      </c>
      <c r="H622" s="12">
        <v>305</v>
      </c>
      <c r="I622" s="14">
        <v>2290658.4999999995</v>
      </c>
      <c r="J622" s="14">
        <v>244191.69999999992</v>
      </c>
      <c r="K622" s="3">
        <v>0</v>
      </c>
      <c r="L622" s="15">
        <v>16474.057739999997</v>
      </c>
    </row>
    <row r="623" spans="1:12" x14ac:dyDescent="0.25">
      <c r="A623" s="12">
        <v>19462092</v>
      </c>
      <c r="B623" s="12"/>
      <c r="C623" s="12" t="s">
        <v>1916</v>
      </c>
      <c r="D623" s="4" t="s">
        <v>1917</v>
      </c>
      <c r="E623" s="13">
        <v>3012501283</v>
      </c>
      <c r="F623" s="4" t="s">
        <v>1918</v>
      </c>
      <c r="G623" s="7">
        <v>11001</v>
      </c>
      <c r="H623" s="12">
        <v>305</v>
      </c>
      <c r="I623" s="14">
        <v>2297737.8199999998</v>
      </c>
      <c r="J623" s="14">
        <v>157341.76199999999</v>
      </c>
      <c r="K623" s="3">
        <v>0</v>
      </c>
      <c r="L623" s="15">
        <v>17230.188266899997</v>
      </c>
    </row>
    <row r="624" spans="1:12" x14ac:dyDescent="0.25">
      <c r="A624" s="12">
        <v>2909778</v>
      </c>
      <c r="B624" s="12"/>
      <c r="C624" s="12" t="s">
        <v>1919</v>
      </c>
      <c r="D624" s="4" t="s">
        <v>1920</v>
      </c>
      <c r="E624" s="13">
        <v>3158416582</v>
      </c>
      <c r="F624" s="4" t="s">
        <v>1921</v>
      </c>
      <c r="G624" s="7">
        <v>11001</v>
      </c>
      <c r="H624" s="12">
        <v>305</v>
      </c>
      <c r="I624" s="14">
        <v>2313890</v>
      </c>
      <c r="J624" s="14">
        <v>42778.000000000007</v>
      </c>
      <c r="K624" s="3">
        <v>0</v>
      </c>
      <c r="L624" s="15">
        <v>18282.4516</v>
      </c>
    </row>
    <row r="625" spans="1:12" x14ac:dyDescent="0.25">
      <c r="A625" s="12">
        <v>79521825</v>
      </c>
      <c r="B625" s="12"/>
      <c r="C625" s="12" t="s">
        <v>1922</v>
      </c>
      <c r="D625" s="4" t="s">
        <v>1923</v>
      </c>
      <c r="E625" s="13">
        <v>6419895</v>
      </c>
      <c r="F625" s="4" t="s">
        <v>1924</v>
      </c>
      <c r="G625" s="7">
        <v>11001</v>
      </c>
      <c r="H625" s="12">
        <v>305</v>
      </c>
      <c r="I625" s="14">
        <v>2334016</v>
      </c>
      <c r="J625" s="14">
        <v>183829</v>
      </c>
      <c r="K625" s="3">
        <v>0</v>
      </c>
      <c r="L625" s="15">
        <v>17309.005349999999</v>
      </c>
    </row>
    <row r="626" spans="1:12" x14ac:dyDescent="0.25">
      <c r="A626" s="12">
        <v>17182165</v>
      </c>
      <c r="B626" s="12"/>
      <c r="C626" s="12" t="s">
        <v>1925</v>
      </c>
      <c r="D626" s="4" t="s">
        <v>1926</v>
      </c>
      <c r="E626" s="13">
        <v>2143046</v>
      </c>
      <c r="F626" s="4" t="s">
        <v>1927</v>
      </c>
      <c r="G626" s="7">
        <v>11001</v>
      </c>
      <c r="H626" s="12">
        <v>305</v>
      </c>
      <c r="I626" s="14">
        <v>2335915.5</v>
      </c>
      <c r="J626" s="14">
        <v>177325.5</v>
      </c>
      <c r="K626" s="3">
        <v>0</v>
      </c>
      <c r="L626" s="15">
        <v>17376.6495</v>
      </c>
    </row>
    <row r="627" spans="1:12" x14ac:dyDescent="0.25">
      <c r="A627" s="12">
        <v>79419447</v>
      </c>
      <c r="B627" s="12"/>
      <c r="C627" s="12" t="s">
        <v>1928</v>
      </c>
      <c r="D627" s="4" t="s">
        <v>1929</v>
      </c>
      <c r="E627" s="13">
        <v>3138540163</v>
      </c>
      <c r="F627" s="4" t="s">
        <v>1930</v>
      </c>
      <c r="G627" s="7">
        <v>11001</v>
      </c>
      <c r="H627" s="12">
        <v>305</v>
      </c>
      <c r="I627" s="14">
        <v>2342425.3199999998</v>
      </c>
      <c r="J627" s="14">
        <v>264698.17199999996</v>
      </c>
      <c r="K627" s="3">
        <v>0</v>
      </c>
      <c r="L627" s="15">
        <v>16725.703541399998</v>
      </c>
    </row>
    <row r="628" spans="1:12" x14ac:dyDescent="0.25">
      <c r="A628" s="12">
        <v>79302297</v>
      </c>
      <c r="B628" s="12"/>
      <c r="C628" s="12" t="s">
        <v>1931</v>
      </c>
      <c r="D628" s="4" t="s">
        <v>1932</v>
      </c>
      <c r="E628" s="13">
        <v>3125003586</v>
      </c>
      <c r="F628" s="4" t="s">
        <v>1933</v>
      </c>
      <c r="G628" s="7">
        <v>11001</v>
      </c>
      <c r="H628" s="12">
        <v>305</v>
      </c>
      <c r="I628" s="14">
        <v>2348353</v>
      </c>
      <c r="J628" s="14">
        <v>349070.6</v>
      </c>
      <c r="K628" s="3">
        <v>0</v>
      </c>
      <c r="L628" s="15">
        <v>16094.223320000001</v>
      </c>
    </row>
    <row r="629" spans="1:12" x14ac:dyDescent="0.25">
      <c r="A629" s="12">
        <v>79618163</v>
      </c>
      <c r="B629" s="12"/>
      <c r="C629" s="12" t="s">
        <v>1934</v>
      </c>
      <c r="D629" s="4" t="s">
        <v>1935</v>
      </c>
      <c r="E629" s="13">
        <v>3214205219</v>
      </c>
      <c r="F629" s="4" t="s">
        <v>1936</v>
      </c>
      <c r="G629" s="7">
        <v>11001</v>
      </c>
      <c r="H629" s="12">
        <v>305</v>
      </c>
      <c r="I629" s="14">
        <v>2367028</v>
      </c>
      <c r="J629" s="14">
        <v>102074.4</v>
      </c>
      <c r="K629" s="3">
        <v>0</v>
      </c>
      <c r="L629" s="15">
        <v>18232.876480000003</v>
      </c>
    </row>
    <row r="630" spans="1:12" x14ac:dyDescent="0.25">
      <c r="A630" s="12">
        <v>73573626</v>
      </c>
      <c r="B630" s="12"/>
      <c r="C630" s="12" t="s">
        <v>1937</v>
      </c>
      <c r="D630" s="4" t="s">
        <v>1938</v>
      </c>
      <c r="E630" s="13">
        <v>3144742513</v>
      </c>
      <c r="F630" s="4" t="s">
        <v>1939</v>
      </c>
      <c r="G630" s="7">
        <v>11001</v>
      </c>
      <c r="H630" s="12">
        <v>305</v>
      </c>
      <c r="I630" s="14">
        <v>2367403.12</v>
      </c>
      <c r="J630" s="14">
        <v>91850</v>
      </c>
      <c r="K630" s="3">
        <v>0</v>
      </c>
      <c r="L630" s="15">
        <v>18318.202616000002</v>
      </c>
    </row>
    <row r="631" spans="1:12" x14ac:dyDescent="0.25">
      <c r="A631" s="12">
        <v>35469592</v>
      </c>
      <c r="B631" s="12"/>
      <c r="C631" s="12" t="s">
        <v>1940</v>
      </c>
      <c r="D631" s="4" t="s">
        <v>1941</v>
      </c>
      <c r="E631" s="13">
        <v>4130810</v>
      </c>
      <c r="F631" s="4" t="s">
        <v>1942</v>
      </c>
      <c r="G631" s="7">
        <v>11001</v>
      </c>
      <c r="H631" s="12">
        <v>305</v>
      </c>
      <c r="I631" s="14">
        <v>2372177.6500000004</v>
      </c>
      <c r="J631" s="14">
        <v>218141.39</v>
      </c>
      <c r="K631" s="3">
        <v>0</v>
      </c>
      <c r="L631" s="15">
        <v>17339.991893000002</v>
      </c>
    </row>
    <row r="632" spans="1:12" x14ac:dyDescent="0.25">
      <c r="A632" s="12">
        <v>17181083</v>
      </c>
      <c r="B632" s="12"/>
      <c r="C632" s="12" t="s">
        <v>1943</v>
      </c>
      <c r="D632" s="4" t="s">
        <v>1944</v>
      </c>
      <c r="E632" s="13">
        <v>3163843542</v>
      </c>
      <c r="F632" s="4" t="s">
        <v>1945</v>
      </c>
      <c r="G632" s="7">
        <v>11001</v>
      </c>
      <c r="H632" s="12">
        <v>305</v>
      </c>
      <c r="I632" s="14">
        <v>2379782.91</v>
      </c>
      <c r="J632" s="14">
        <v>238628.58199999999</v>
      </c>
      <c r="K632" s="3">
        <v>0</v>
      </c>
      <c r="L632" s="15">
        <v>17236.292340400003</v>
      </c>
    </row>
    <row r="633" spans="1:12" x14ac:dyDescent="0.25">
      <c r="A633" s="12">
        <v>1020733516</v>
      </c>
      <c r="B633" s="12"/>
      <c r="C633" s="12" t="s">
        <v>1946</v>
      </c>
      <c r="D633" s="4" t="s">
        <v>1947</v>
      </c>
      <c r="E633" s="13">
        <v>3124196505</v>
      </c>
      <c r="F633" s="4" t="s">
        <v>1948</v>
      </c>
      <c r="G633" s="7">
        <v>11001</v>
      </c>
      <c r="H633" s="12">
        <v>305</v>
      </c>
      <c r="I633" s="14">
        <v>2381417.4500000007</v>
      </c>
      <c r="J633" s="14">
        <v>324295.25400000007</v>
      </c>
      <c r="K633" s="3">
        <v>0</v>
      </c>
      <c r="L633" s="15">
        <v>16559.833677800005</v>
      </c>
    </row>
    <row r="634" spans="1:12" x14ac:dyDescent="0.25">
      <c r="A634" s="12">
        <v>39666141</v>
      </c>
      <c r="B634" s="12"/>
      <c r="C634" s="12" t="s">
        <v>1949</v>
      </c>
      <c r="D634" s="4" t="s">
        <v>1950</v>
      </c>
      <c r="E634" s="13">
        <v>3153985132</v>
      </c>
      <c r="F634" s="4" t="s">
        <v>1951</v>
      </c>
      <c r="G634" s="7" t="s">
        <v>15</v>
      </c>
      <c r="H634" s="12">
        <v>305</v>
      </c>
      <c r="I634" s="14">
        <v>2382305.3299999977</v>
      </c>
      <c r="J634" s="14">
        <v>0.15</v>
      </c>
      <c r="K634" s="3">
        <v>0</v>
      </c>
      <c r="L634" s="15">
        <v>19177.556698999982</v>
      </c>
    </row>
    <row r="635" spans="1:12" x14ac:dyDescent="0.25">
      <c r="A635" s="12">
        <v>28003077</v>
      </c>
      <c r="B635" s="12"/>
      <c r="C635" s="12" t="s">
        <v>1952</v>
      </c>
      <c r="D635" s="4" t="s">
        <v>1953</v>
      </c>
      <c r="E635" s="13">
        <v>3175757153</v>
      </c>
      <c r="F635" s="4" t="s">
        <v>1954</v>
      </c>
      <c r="G635" s="7">
        <v>11001</v>
      </c>
      <c r="H635" s="12">
        <v>305</v>
      </c>
      <c r="I635" s="14">
        <v>2384387.6999999997</v>
      </c>
      <c r="J635" s="14">
        <v>180556.02400000003</v>
      </c>
      <c r="K635" s="3">
        <v>0</v>
      </c>
      <c r="L635" s="15">
        <v>17740.844991799997</v>
      </c>
    </row>
    <row r="636" spans="1:12" x14ac:dyDescent="0.25">
      <c r="A636" s="12">
        <v>73106460</v>
      </c>
      <c r="B636" s="12"/>
      <c r="C636" s="12" t="s">
        <v>1955</v>
      </c>
      <c r="D636" s="4" t="s">
        <v>1956</v>
      </c>
      <c r="E636" s="13">
        <v>3045762372</v>
      </c>
      <c r="F636" s="4" t="s">
        <v>1957</v>
      </c>
      <c r="G636" s="7">
        <v>11001</v>
      </c>
      <c r="H636" s="12">
        <v>305</v>
      </c>
      <c r="I636" s="14">
        <v>2386163.6199999992</v>
      </c>
      <c r="J636" s="14">
        <v>164887.34399999987</v>
      </c>
      <c r="K636" s="3">
        <v>0</v>
      </c>
      <c r="L636" s="15">
        <v>17881.274021799993</v>
      </c>
    </row>
    <row r="637" spans="1:12" x14ac:dyDescent="0.25">
      <c r="A637" s="12">
        <v>11437344</v>
      </c>
      <c r="B637" s="12"/>
      <c r="C637" s="12" t="s">
        <v>1958</v>
      </c>
      <c r="D637" s="4" t="s">
        <v>1959</v>
      </c>
      <c r="E637" s="13">
        <v>3102683022</v>
      </c>
      <c r="F637" s="4" t="s">
        <v>1960</v>
      </c>
      <c r="G637" s="7">
        <v>11001</v>
      </c>
      <c r="H637" s="12">
        <v>305</v>
      </c>
      <c r="I637" s="14">
        <v>2390198.6799999997</v>
      </c>
      <c r="J637" s="14">
        <v>205037.38400000002</v>
      </c>
      <c r="K637" s="3">
        <v>0</v>
      </c>
      <c r="L637" s="15">
        <v>17590.548432799998</v>
      </c>
    </row>
    <row r="638" spans="1:12" x14ac:dyDescent="0.25">
      <c r="A638" s="12">
        <v>17007305</v>
      </c>
      <c r="B638" s="12"/>
      <c r="C638" s="12" t="s">
        <v>1961</v>
      </c>
      <c r="D638" s="4" t="s">
        <v>1962</v>
      </c>
      <c r="E638" s="13">
        <v>3153659013</v>
      </c>
      <c r="F638" s="4" t="s">
        <v>1963</v>
      </c>
      <c r="G638" s="7">
        <v>11001</v>
      </c>
      <c r="H638" s="12">
        <v>305</v>
      </c>
      <c r="I638" s="14">
        <v>2393600</v>
      </c>
      <c r="J638" s="14">
        <v>0.15</v>
      </c>
      <c r="K638" s="3">
        <v>0</v>
      </c>
      <c r="L638" s="15">
        <v>19268.478792500002</v>
      </c>
    </row>
    <row r="639" spans="1:12" x14ac:dyDescent="0.25">
      <c r="A639" s="12">
        <v>79600645</v>
      </c>
      <c r="B639" s="12"/>
      <c r="C639" s="12" t="s">
        <v>1964</v>
      </c>
      <c r="D639" s="4" t="s">
        <v>1965</v>
      </c>
      <c r="E639" s="13">
        <v>3204912749</v>
      </c>
      <c r="F639" s="4" t="s">
        <v>1966</v>
      </c>
      <c r="G639" s="7">
        <v>11001</v>
      </c>
      <c r="H639" s="12">
        <v>305</v>
      </c>
      <c r="I639" s="14">
        <v>2421795.7199999997</v>
      </c>
      <c r="J639" s="14">
        <v>234944.35</v>
      </c>
      <c r="K639" s="3">
        <v>0</v>
      </c>
      <c r="L639" s="15">
        <v>17604.153528499999</v>
      </c>
    </row>
    <row r="640" spans="1:12" x14ac:dyDescent="0.25">
      <c r="A640" s="12">
        <v>19230368</v>
      </c>
      <c r="B640" s="12"/>
      <c r="C640" s="12" t="s">
        <v>1967</v>
      </c>
      <c r="D640" s="4" t="s">
        <v>1968</v>
      </c>
      <c r="E640" s="13">
        <v>4772914</v>
      </c>
      <c r="F640" s="4" t="s">
        <v>1969</v>
      </c>
      <c r="G640" s="7">
        <v>11001</v>
      </c>
      <c r="H640" s="12">
        <v>305</v>
      </c>
      <c r="I640" s="14">
        <v>2422918</v>
      </c>
      <c r="J640" s="14">
        <v>33203.599999999991</v>
      </c>
      <c r="K640" s="3">
        <v>0</v>
      </c>
      <c r="L640" s="15">
        <v>19237.200919999996</v>
      </c>
    </row>
    <row r="641" spans="1:12" x14ac:dyDescent="0.25">
      <c r="A641" s="12">
        <v>1032987</v>
      </c>
      <c r="B641" s="12"/>
      <c r="C641" s="12" t="s">
        <v>1970</v>
      </c>
      <c r="D641" s="4" t="s">
        <v>1971</v>
      </c>
      <c r="E641" s="13">
        <v>2159680</v>
      </c>
      <c r="F641" s="4" t="s">
        <v>1972</v>
      </c>
      <c r="G641" s="7">
        <v>11001</v>
      </c>
      <c r="H641" s="12">
        <v>305</v>
      </c>
      <c r="I641" s="14">
        <v>2427781.4699999997</v>
      </c>
      <c r="J641" s="14">
        <v>192963.70200000002</v>
      </c>
      <c r="K641" s="3">
        <v>0</v>
      </c>
      <c r="L641" s="15">
        <v>17990.283032399999</v>
      </c>
    </row>
    <row r="642" spans="1:12" x14ac:dyDescent="0.25">
      <c r="A642" s="12">
        <v>79626371</v>
      </c>
      <c r="B642" s="12"/>
      <c r="C642" s="12" t="s">
        <v>1973</v>
      </c>
      <c r="D642" s="4" t="s">
        <v>1974</v>
      </c>
      <c r="E642" s="13">
        <v>3153753833</v>
      </c>
      <c r="F642" s="4" t="s">
        <v>1975</v>
      </c>
      <c r="G642" s="7">
        <v>11001</v>
      </c>
      <c r="H642" s="12">
        <v>305</v>
      </c>
      <c r="I642" s="14">
        <v>2440088.5299999993</v>
      </c>
      <c r="J642" s="14">
        <v>257994.18599999993</v>
      </c>
      <c r="K642" s="3">
        <v>0</v>
      </c>
      <c r="L642" s="15">
        <v>17565.859469199997</v>
      </c>
    </row>
    <row r="643" spans="1:12" x14ac:dyDescent="0.25">
      <c r="A643" s="12">
        <v>20147278</v>
      </c>
      <c r="B643" s="12"/>
      <c r="C643" s="12" t="s">
        <v>1976</v>
      </c>
      <c r="D643" s="4" t="s">
        <v>1977</v>
      </c>
      <c r="E643" s="13">
        <v>3202358709</v>
      </c>
      <c r="F643" s="4" t="s">
        <v>1978</v>
      </c>
      <c r="G643" s="7">
        <v>11001</v>
      </c>
      <c r="H643" s="12">
        <v>305</v>
      </c>
      <c r="I643" s="14">
        <v>2441462.15</v>
      </c>
      <c r="J643" s="14">
        <v>236883.85799999998</v>
      </c>
      <c r="K643" s="3">
        <v>0</v>
      </c>
      <c r="L643" s="15">
        <v>17746.855250599998</v>
      </c>
    </row>
    <row r="644" spans="1:12" x14ac:dyDescent="0.25">
      <c r="A644" s="12">
        <v>41480017</v>
      </c>
      <c r="B644" s="12"/>
      <c r="C644" s="12" t="s">
        <v>1979</v>
      </c>
      <c r="D644" s="4" t="s">
        <v>1980</v>
      </c>
      <c r="E644" s="13">
        <v>3114401244</v>
      </c>
      <c r="F644" s="4" t="s">
        <v>1981</v>
      </c>
      <c r="G644" s="7">
        <v>11001</v>
      </c>
      <c r="H644" s="12">
        <v>305</v>
      </c>
      <c r="I644" s="14">
        <v>2443423.0300000003</v>
      </c>
      <c r="J644" s="14">
        <v>279260.38799999998</v>
      </c>
      <c r="K644" s="3">
        <v>0</v>
      </c>
      <c r="L644" s="15">
        <v>17421.509268100006</v>
      </c>
    </row>
    <row r="645" spans="1:12" x14ac:dyDescent="0.25">
      <c r="A645" s="12">
        <v>20112012</v>
      </c>
      <c r="B645" s="12"/>
      <c r="C645" s="12" t="s">
        <v>1982</v>
      </c>
      <c r="D645" s="4" t="s">
        <v>1983</v>
      </c>
      <c r="E645" s="13">
        <v>3162679561</v>
      </c>
      <c r="F645" s="4" t="s">
        <v>1984</v>
      </c>
      <c r="G645" s="7">
        <v>11001</v>
      </c>
      <c r="H645" s="12">
        <v>305</v>
      </c>
      <c r="I645" s="14">
        <v>2446414.6799999997</v>
      </c>
      <c r="J645" s="14">
        <v>256702.9359999999</v>
      </c>
      <c r="K645" s="3">
        <v>0</v>
      </c>
      <c r="L645" s="15">
        <v>17627.179539199999</v>
      </c>
    </row>
    <row r="646" spans="1:12" x14ac:dyDescent="0.25">
      <c r="A646" s="12">
        <v>1049640216</v>
      </c>
      <c r="B646" s="12"/>
      <c r="C646" s="12" t="s">
        <v>1985</v>
      </c>
      <c r="D646" s="4" t="s">
        <v>1986</v>
      </c>
      <c r="E646" s="13">
        <v>3208493285</v>
      </c>
      <c r="F646" s="4" t="s">
        <v>1987</v>
      </c>
      <c r="G646" s="7" t="s">
        <v>367</v>
      </c>
      <c r="H646" s="12">
        <v>305</v>
      </c>
      <c r="I646" s="14">
        <v>2448746.67</v>
      </c>
      <c r="J646" s="14">
        <v>196716.54799999998</v>
      </c>
      <c r="K646" s="3">
        <v>0</v>
      </c>
      <c r="L646" s="15">
        <v>18128.842482100001</v>
      </c>
    </row>
    <row r="647" spans="1:12" x14ac:dyDescent="0.25">
      <c r="A647" s="12">
        <v>1018485392</v>
      </c>
      <c r="B647" s="12"/>
      <c r="C647" s="12" t="s">
        <v>1988</v>
      </c>
      <c r="D647" s="4" t="s">
        <v>1989</v>
      </c>
      <c r="E647" s="13">
        <v>3004144391</v>
      </c>
      <c r="F647" s="4" t="s">
        <v>1990</v>
      </c>
      <c r="G647" s="7">
        <v>11001</v>
      </c>
      <c r="H647" s="12">
        <v>305</v>
      </c>
      <c r="I647" s="14">
        <v>2451191.2800000003</v>
      </c>
      <c r="J647" s="14">
        <v>135218.00600000002</v>
      </c>
      <c r="K647" s="3">
        <v>0</v>
      </c>
      <c r="L647" s="15">
        <v>18643.584855700003</v>
      </c>
    </row>
    <row r="648" spans="1:12" x14ac:dyDescent="0.25">
      <c r="A648" s="12">
        <v>39783900</v>
      </c>
      <c r="B648" s="12"/>
      <c r="C648" s="12" t="s">
        <v>1991</v>
      </c>
      <c r="D648" s="4" t="s">
        <v>1992</v>
      </c>
      <c r="E648" s="13">
        <v>4609202</v>
      </c>
      <c r="F648" s="4" t="s">
        <v>1993</v>
      </c>
      <c r="G648" s="7">
        <v>11001</v>
      </c>
      <c r="H648" s="12">
        <v>305</v>
      </c>
      <c r="I648" s="14">
        <v>2457974</v>
      </c>
      <c r="J648" s="14">
        <v>7814.8</v>
      </c>
      <c r="K648" s="3">
        <v>0</v>
      </c>
      <c r="L648" s="15">
        <v>19723.781560000003</v>
      </c>
    </row>
    <row r="649" spans="1:12" x14ac:dyDescent="0.25">
      <c r="A649" s="12">
        <v>1032408211</v>
      </c>
      <c r="B649" s="12"/>
      <c r="C649" s="12" t="s">
        <v>1994</v>
      </c>
      <c r="D649" s="4" t="s">
        <v>1995</v>
      </c>
      <c r="E649" s="13">
        <v>3102859634</v>
      </c>
      <c r="F649" s="4" t="s">
        <v>1996</v>
      </c>
      <c r="G649" s="7" t="s">
        <v>603</v>
      </c>
      <c r="H649" s="12">
        <v>305</v>
      </c>
      <c r="I649" s="14">
        <v>2469059.56</v>
      </c>
      <c r="J649" s="14">
        <v>226332.58399999997</v>
      </c>
      <c r="K649" s="3">
        <v>0</v>
      </c>
      <c r="L649" s="15">
        <v>18053.952156800002</v>
      </c>
    </row>
    <row r="650" spans="1:12" x14ac:dyDescent="0.25">
      <c r="A650" s="12">
        <v>73144566</v>
      </c>
      <c r="B650" s="12"/>
      <c r="C650" s="12" t="s">
        <v>1997</v>
      </c>
      <c r="D650" s="4" t="s">
        <v>1998</v>
      </c>
      <c r="E650" s="13">
        <v>3228964375</v>
      </c>
      <c r="F650" s="4" t="s">
        <v>1999</v>
      </c>
      <c r="G650" s="7" t="s">
        <v>848</v>
      </c>
      <c r="H650" s="12">
        <v>305</v>
      </c>
      <c r="I650" s="14">
        <v>2477560.3500000006</v>
      </c>
      <c r="J650" s="14">
        <v>0.15</v>
      </c>
      <c r="K650" s="3">
        <v>0</v>
      </c>
      <c r="L650" s="15">
        <v>19944.359610000007</v>
      </c>
    </row>
    <row r="651" spans="1:12" x14ac:dyDescent="0.25">
      <c r="A651" s="12">
        <v>860519842</v>
      </c>
      <c r="B651" s="12">
        <v>4</v>
      </c>
      <c r="C651" s="12" t="s">
        <v>2000</v>
      </c>
      <c r="D651" s="4" t="s">
        <v>2001</v>
      </c>
      <c r="E651" s="13">
        <v>7421179</v>
      </c>
      <c r="F651" s="4" t="s">
        <v>2002</v>
      </c>
      <c r="G651" s="7">
        <v>11001</v>
      </c>
      <c r="H651" s="12">
        <v>305</v>
      </c>
      <c r="I651" s="14">
        <v>2480233.1</v>
      </c>
      <c r="J651" s="14">
        <v>0.15</v>
      </c>
      <c r="K651" s="3">
        <v>0</v>
      </c>
      <c r="L651" s="15">
        <v>19965.875247500004</v>
      </c>
    </row>
    <row r="652" spans="1:12" x14ac:dyDescent="0.25">
      <c r="A652" s="12">
        <v>17032667</v>
      </c>
      <c r="B652" s="12"/>
      <c r="C652" s="12" t="s">
        <v>2003</v>
      </c>
      <c r="D652" s="4" t="s">
        <v>2004</v>
      </c>
      <c r="E652" s="13">
        <v>3014115301</v>
      </c>
      <c r="F652" s="4" t="s">
        <v>2005</v>
      </c>
      <c r="G652" s="7">
        <v>11001</v>
      </c>
      <c r="H652" s="12">
        <v>305</v>
      </c>
      <c r="I652" s="14">
        <v>2488849</v>
      </c>
      <c r="J652" s="14">
        <v>0.15</v>
      </c>
      <c r="K652" s="3">
        <v>0</v>
      </c>
      <c r="L652" s="15">
        <v>20035.233242499999</v>
      </c>
    </row>
    <row r="653" spans="1:12" x14ac:dyDescent="0.25">
      <c r="A653" s="12">
        <v>79650815</v>
      </c>
      <c r="B653" s="12"/>
      <c r="C653" s="12" t="s">
        <v>2006</v>
      </c>
      <c r="D653" s="4" t="s">
        <v>2007</v>
      </c>
      <c r="E653" s="13">
        <v>3107043624</v>
      </c>
      <c r="F653" s="4" t="s">
        <v>2008</v>
      </c>
      <c r="G653" s="7">
        <v>11001</v>
      </c>
      <c r="H653" s="12">
        <v>305</v>
      </c>
      <c r="I653" s="14">
        <v>2489246.2700000005</v>
      </c>
      <c r="J653" s="14">
        <v>0.15</v>
      </c>
      <c r="K653" s="3">
        <v>0</v>
      </c>
      <c r="L653" s="15">
        <v>20038.431266000007</v>
      </c>
    </row>
    <row r="654" spans="1:12" x14ac:dyDescent="0.25">
      <c r="A654" s="12">
        <v>1016016611</v>
      </c>
      <c r="B654" s="12"/>
      <c r="C654" s="12" t="s">
        <v>2009</v>
      </c>
      <c r="D654" s="4" t="s">
        <v>2010</v>
      </c>
      <c r="E654" s="13">
        <v>3124413654</v>
      </c>
      <c r="F654" s="4" t="s">
        <v>2011</v>
      </c>
      <c r="G654" s="7">
        <v>11001</v>
      </c>
      <c r="H654" s="12">
        <v>305</v>
      </c>
      <c r="I654" s="14">
        <v>2489381.29</v>
      </c>
      <c r="J654" s="14">
        <v>90834.65399999998</v>
      </c>
      <c r="K654" s="3">
        <v>0</v>
      </c>
      <c r="L654" s="15">
        <v>19308.300419800002</v>
      </c>
    </row>
    <row r="655" spans="1:12" x14ac:dyDescent="0.25">
      <c r="A655" s="12">
        <v>38223495</v>
      </c>
      <c r="B655" s="12"/>
      <c r="C655" s="12" t="s">
        <v>2012</v>
      </c>
      <c r="D655" s="4" t="s">
        <v>2013</v>
      </c>
      <c r="E655" s="13">
        <v>3002234883</v>
      </c>
      <c r="F655" s="4" t="s">
        <v>2014</v>
      </c>
      <c r="G655" s="7">
        <v>11001</v>
      </c>
      <c r="H655" s="12">
        <v>305</v>
      </c>
      <c r="I655" s="14">
        <v>2490086</v>
      </c>
      <c r="J655" s="14">
        <v>39500.052000000003</v>
      </c>
      <c r="K655" s="3">
        <v>0</v>
      </c>
      <c r="L655" s="15">
        <v>19727.2168814</v>
      </c>
    </row>
    <row r="656" spans="1:12" x14ac:dyDescent="0.25">
      <c r="A656" s="12">
        <v>52260143</v>
      </c>
      <c r="B656" s="12"/>
      <c r="C656" s="12" t="s">
        <v>2015</v>
      </c>
      <c r="D656" s="4" t="s">
        <v>2016</v>
      </c>
      <c r="E656" s="13">
        <v>3108108595</v>
      </c>
      <c r="F656" s="4" t="s">
        <v>2017</v>
      </c>
      <c r="G656" s="7">
        <v>11001</v>
      </c>
      <c r="H656" s="12">
        <v>305</v>
      </c>
      <c r="I656" s="14">
        <v>2490777.3300000005</v>
      </c>
      <c r="J656" s="14">
        <v>157168.07</v>
      </c>
      <c r="K656" s="3">
        <v>0</v>
      </c>
      <c r="L656" s="15">
        <v>18785.554543000006</v>
      </c>
    </row>
    <row r="657" spans="1:12" x14ac:dyDescent="0.25">
      <c r="A657" s="12">
        <v>1032360172</v>
      </c>
      <c r="B657" s="12"/>
      <c r="C657" s="12" t="s">
        <v>2018</v>
      </c>
      <c r="D657" s="4" t="s">
        <v>2019</v>
      </c>
      <c r="E657" s="13">
        <v>3208994281</v>
      </c>
      <c r="F657" s="4" t="s">
        <v>2020</v>
      </c>
      <c r="G657" s="7">
        <v>11001</v>
      </c>
      <c r="H657" s="12">
        <v>305</v>
      </c>
      <c r="I657" s="14">
        <v>2491662</v>
      </c>
      <c r="J657" s="14">
        <v>198501.8</v>
      </c>
      <c r="K657" s="3">
        <v>0</v>
      </c>
      <c r="L657" s="15">
        <v>18459.939610000001</v>
      </c>
    </row>
    <row r="658" spans="1:12" x14ac:dyDescent="0.25">
      <c r="A658" s="12">
        <v>79148463</v>
      </c>
      <c r="B658" s="12"/>
      <c r="C658" s="12" t="s">
        <v>2021</v>
      </c>
      <c r="D658" s="4" t="s">
        <v>2022</v>
      </c>
      <c r="E658" s="13">
        <v>3006206432</v>
      </c>
      <c r="F658" s="4" t="s">
        <v>2023</v>
      </c>
      <c r="G658" s="7">
        <v>11001</v>
      </c>
      <c r="H658" s="12">
        <v>305</v>
      </c>
      <c r="I658" s="14">
        <v>2492188.15</v>
      </c>
      <c r="J658" s="14">
        <v>182037.63</v>
      </c>
      <c r="K658" s="3">
        <v>0</v>
      </c>
      <c r="L658" s="15">
        <v>18596.711685999999</v>
      </c>
    </row>
    <row r="659" spans="1:12" x14ac:dyDescent="0.25">
      <c r="A659" s="12">
        <v>29079665</v>
      </c>
      <c r="B659" s="12"/>
      <c r="C659" s="12" t="s">
        <v>2024</v>
      </c>
      <c r="D659" s="4" t="s">
        <v>2025</v>
      </c>
      <c r="E659" s="13">
        <v>3167393246</v>
      </c>
      <c r="F659" s="4" t="s">
        <v>2026</v>
      </c>
      <c r="G659" s="7">
        <v>11001</v>
      </c>
      <c r="H659" s="12">
        <v>305</v>
      </c>
      <c r="I659" s="14">
        <v>2501435</v>
      </c>
      <c r="J659" s="14">
        <v>96387</v>
      </c>
      <c r="K659" s="3">
        <v>0</v>
      </c>
      <c r="L659" s="15">
        <v>19360.636399999999</v>
      </c>
    </row>
    <row r="660" spans="1:12" x14ac:dyDescent="0.25">
      <c r="A660" s="12">
        <v>70562068</v>
      </c>
      <c r="B660" s="12"/>
      <c r="C660" s="12" t="s">
        <v>2027</v>
      </c>
      <c r="D660" s="4" t="s">
        <v>2028</v>
      </c>
      <c r="E660" s="13">
        <v>3216040946</v>
      </c>
      <c r="F660" s="4" t="s">
        <v>2029</v>
      </c>
      <c r="G660" s="7">
        <v>11001</v>
      </c>
      <c r="H660" s="12">
        <v>305</v>
      </c>
      <c r="I660" s="14">
        <v>2504738.6500000004</v>
      </c>
      <c r="J660" s="14">
        <v>229609.52200000003</v>
      </c>
      <c r="K660" s="3">
        <v>0</v>
      </c>
      <c r="L660" s="15">
        <v>18314.789480400003</v>
      </c>
    </row>
    <row r="661" spans="1:12" x14ac:dyDescent="0.25">
      <c r="A661" s="12">
        <v>80001561</v>
      </c>
      <c r="B661" s="12"/>
      <c r="C661" s="12" t="s">
        <v>2030</v>
      </c>
      <c r="D661" s="4" t="s">
        <v>2031</v>
      </c>
      <c r="E661" s="13">
        <v>3228534641</v>
      </c>
      <c r="F661" s="4" t="s">
        <v>2032</v>
      </c>
      <c r="G661" s="7" t="s">
        <v>2033</v>
      </c>
      <c r="H661" s="12">
        <v>305</v>
      </c>
      <c r="I661" s="14">
        <v>2507860.1799999997</v>
      </c>
      <c r="J661" s="14">
        <v>0.15</v>
      </c>
      <c r="K661" s="3">
        <v>0</v>
      </c>
      <c r="L661" s="15">
        <v>20188.273241499999</v>
      </c>
    </row>
    <row r="662" spans="1:12" x14ac:dyDescent="0.25">
      <c r="A662" s="12">
        <v>79710761</v>
      </c>
      <c r="B662" s="12"/>
      <c r="C662" s="12" t="s">
        <v>2034</v>
      </c>
      <c r="D662" s="4" t="s">
        <v>2035</v>
      </c>
      <c r="E662" s="13">
        <v>3138719579</v>
      </c>
      <c r="F662" s="4" t="s">
        <v>2036</v>
      </c>
      <c r="G662" s="7">
        <v>11001</v>
      </c>
      <c r="H662" s="12">
        <v>305</v>
      </c>
      <c r="I662" s="14">
        <v>2516421.7899999991</v>
      </c>
      <c r="J662" s="14">
        <v>0.15</v>
      </c>
      <c r="K662" s="3">
        <v>0</v>
      </c>
      <c r="L662" s="15">
        <v>20257.194201999995</v>
      </c>
    </row>
    <row r="663" spans="1:12" x14ac:dyDescent="0.25">
      <c r="A663" s="12">
        <v>1057592451</v>
      </c>
      <c r="B663" s="12"/>
      <c r="C663" s="12" t="s">
        <v>2037</v>
      </c>
      <c r="D663" s="4" t="s">
        <v>2038</v>
      </c>
      <c r="E663" s="13">
        <v>3045975270</v>
      </c>
      <c r="F663" s="4" t="s">
        <v>2039</v>
      </c>
      <c r="G663" s="7">
        <v>11001</v>
      </c>
      <c r="H663" s="12">
        <v>305</v>
      </c>
      <c r="I663" s="14">
        <v>2518431</v>
      </c>
      <c r="J663" s="14">
        <v>0.15</v>
      </c>
      <c r="K663" s="3">
        <v>0</v>
      </c>
      <c r="L663" s="15">
        <v>20273.368342500002</v>
      </c>
    </row>
    <row r="664" spans="1:12" x14ac:dyDescent="0.25">
      <c r="A664" s="12">
        <v>79753455</v>
      </c>
      <c r="B664" s="12"/>
      <c r="C664" s="12" t="s">
        <v>2040</v>
      </c>
      <c r="D664" s="4" t="s">
        <v>2041</v>
      </c>
      <c r="E664" s="13">
        <v>3112785498</v>
      </c>
      <c r="F664" s="4" t="s">
        <v>2042</v>
      </c>
      <c r="G664" s="7">
        <v>11001</v>
      </c>
      <c r="H664" s="12">
        <v>305</v>
      </c>
      <c r="I664" s="14">
        <v>2536331.4200000004</v>
      </c>
      <c r="J664" s="14">
        <v>224331.83000000007</v>
      </c>
      <c r="K664" s="3">
        <v>0</v>
      </c>
      <c r="L664" s="15">
        <v>18611.596699500005</v>
      </c>
    </row>
    <row r="665" spans="1:12" x14ac:dyDescent="0.25">
      <c r="A665" s="12">
        <v>17328590</v>
      </c>
      <c r="B665" s="12"/>
      <c r="C665" s="12" t="s">
        <v>2043</v>
      </c>
      <c r="D665" s="4" t="s">
        <v>2044</v>
      </c>
      <c r="E665" s="13">
        <v>3218000176</v>
      </c>
      <c r="F665" s="4" t="s">
        <v>2045</v>
      </c>
      <c r="G665" s="7">
        <v>11001</v>
      </c>
      <c r="H665" s="12">
        <v>305</v>
      </c>
      <c r="I665" s="14">
        <v>2547430.2099999986</v>
      </c>
      <c r="J665" s="14">
        <v>284211.41999999975</v>
      </c>
      <c r="K665" s="3">
        <v>0</v>
      </c>
      <c r="L665" s="15">
        <v>18218.91125949999</v>
      </c>
    </row>
    <row r="666" spans="1:12" x14ac:dyDescent="0.25">
      <c r="A666" s="12">
        <v>52048442</v>
      </c>
      <c r="B666" s="12"/>
      <c r="C666" s="12" t="s">
        <v>2046</v>
      </c>
      <c r="D666" s="4" t="s">
        <v>2047</v>
      </c>
      <c r="E666" s="13">
        <v>3504588261</v>
      </c>
      <c r="F666" s="4" t="s">
        <v>2048</v>
      </c>
      <c r="G666" s="7">
        <v>11001</v>
      </c>
      <c r="H666" s="12">
        <v>305</v>
      </c>
      <c r="I666" s="14">
        <v>2549697.7100000004</v>
      </c>
      <c r="J666" s="14">
        <v>385872.65000000008</v>
      </c>
      <c r="K666" s="3">
        <v>0</v>
      </c>
      <c r="L666" s="15">
        <v>17418.791733000005</v>
      </c>
    </row>
    <row r="667" spans="1:12" x14ac:dyDescent="0.25">
      <c r="A667" s="12">
        <v>7227894</v>
      </c>
      <c r="B667" s="12"/>
      <c r="C667" s="12" t="s">
        <v>2049</v>
      </c>
      <c r="D667" s="4" t="s">
        <v>2050</v>
      </c>
      <c r="E667" s="13">
        <v>3107719806</v>
      </c>
      <c r="F667" s="4" t="s">
        <v>2051</v>
      </c>
      <c r="G667" s="7">
        <v>11001</v>
      </c>
      <c r="H667" s="12">
        <v>305</v>
      </c>
      <c r="I667" s="14">
        <v>2550544.4999999995</v>
      </c>
      <c r="J667" s="14">
        <v>271351.25199999992</v>
      </c>
      <c r="K667" s="3">
        <v>0</v>
      </c>
      <c r="L667" s="15">
        <v>18347.505646399997</v>
      </c>
    </row>
    <row r="668" spans="1:12" x14ac:dyDescent="0.25">
      <c r="A668" s="12">
        <v>17653646</v>
      </c>
      <c r="B668" s="12"/>
      <c r="C668" s="12" t="s">
        <v>2052</v>
      </c>
      <c r="D668" s="4" t="s">
        <v>2053</v>
      </c>
      <c r="E668" s="13">
        <v>3174409037</v>
      </c>
      <c r="F668" s="4" t="s">
        <v>2054</v>
      </c>
      <c r="G668" s="7" t="s">
        <v>2055</v>
      </c>
      <c r="H668" s="12">
        <v>305</v>
      </c>
      <c r="I668" s="14">
        <v>2555891.58</v>
      </c>
      <c r="J668" s="14">
        <v>199146.046</v>
      </c>
      <c r="K668" s="3">
        <v>0</v>
      </c>
      <c r="L668" s="15">
        <v>18971.801548700001</v>
      </c>
    </row>
    <row r="669" spans="1:12" x14ac:dyDescent="0.25">
      <c r="A669" s="12">
        <v>79308634</v>
      </c>
      <c r="B669" s="12"/>
      <c r="C669" s="12" t="s">
        <v>2056</v>
      </c>
      <c r="D669" s="4" t="s">
        <v>2057</v>
      </c>
      <c r="E669" s="13">
        <v>3156618060</v>
      </c>
      <c r="F669" s="4" t="s">
        <v>2058</v>
      </c>
      <c r="G669" s="7">
        <v>11001</v>
      </c>
      <c r="H669" s="12">
        <v>305</v>
      </c>
      <c r="I669" s="14">
        <v>2562288.1199999996</v>
      </c>
      <c r="J669" s="14">
        <v>67514.293999999951</v>
      </c>
      <c r="K669" s="3">
        <v>0</v>
      </c>
      <c r="L669" s="15">
        <v>20082.929299300002</v>
      </c>
    </row>
    <row r="670" spans="1:12" x14ac:dyDescent="0.25">
      <c r="A670" s="12">
        <v>14448389</v>
      </c>
      <c r="B670" s="12"/>
      <c r="C670" s="12" t="s">
        <v>2059</v>
      </c>
      <c r="D670" s="4" t="s">
        <v>2060</v>
      </c>
      <c r="E670" s="13">
        <v>2586760</v>
      </c>
      <c r="F670" s="4" t="s">
        <v>2061</v>
      </c>
      <c r="G670" s="7">
        <v>11001</v>
      </c>
      <c r="H670" s="12">
        <v>305</v>
      </c>
      <c r="I670" s="14">
        <v>2577731.8100000005</v>
      </c>
      <c r="J670" s="14">
        <v>314891.56200000009</v>
      </c>
      <c r="K670" s="3">
        <v>0</v>
      </c>
      <c r="L670" s="15">
        <v>18215.863996400007</v>
      </c>
    </row>
    <row r="671" spans="1:12" x14ac:dyDescent="0.25">
      <c r="A671" s="12">
        <v>80090993</v>
      </c>
      <c r="B671" s="12"/>
      <c r="C671" s="12" t="s">
        <v>2062</v>
      </c>
      <c r="D671" s="4" t="s">
        <v>2063</v>
      </c>
      <c r="E671" s="13">
        <v>3124804143</v>
      </c>
      <c r="F671" s="4" t="s">
        <v>2064</v>
      </c>
      <c r="G671" s="7">
        <v>11001</v>
      </c>
      <c r="H671" s="12">
        <v>305</v>
      </c>
      <c r="I671" s="14">
        <v>2583175.3099999996</v>
      </c>
      <c r="J671" s="14">
        <v>296403.46399999992</v>
      </c>
      <c r="K671" s="3">
        <v>0</v>
      </c>
      <c r="L671" s="15">
        <v>18408.513360299999</v>
      </c>
    </row>
    <row r="672" spans="1:12" x14ac:dyDescent="0.25">
      <c r="A672" s="12">
        <v>79793541</v>
      </c>
      <c r="B672" s="12"/>
      <c r="C672" s="12" t="s">
        <v>2065</v>
      </c>
      <c r="D672" s="4" t="s">
        <v>2066</v>
      </c>
      <c r="E672" s="13">
        <v>3105174265</v>
      </c>
      <c r="F672" s="4" t="s">
        <v>2067</v>
      </c>
      <c r="G672" s="7">
        <v>11001</v>
      </c>
      <c r="H672" s="12">
        <v>305</v>
      </c>
      <c r="I672" s="14">
        <v>2589036.31</v>
      </c>
      <c r="J672" s="14">
        <v>212007.26200000002</v>
      </c>
      <c r="K672" s="3">
        <v>0</v>
      </c>
      <c r="L672" s="15">
        <v>19135.083836399997</v>
      </c>
    </row>
    <row r="673" spans="1:12" x14ac:dyDescent="0.25">
      <c r="A673" s="12">
        <v>80169023</v>
      </c>
      <c r="B673" s="12"/>
      <c r="C673" s="12" t="s">
        <v>2068</v>
      </c>
      <c r="D673" s="4" t="s">
        <v>2069</v>
      </c>
      <c r="E673" s="13">
        <v>3107467997</v>
      </c>
      <c r="F673" s="4" t="s">
        <v>2070</v>
      </c>
      <c r="G673" s="7">
        <v>25175</v>
      </c>
      <c r="H673" s="12">
        <v>305</v>
      </c>
      <c r="I673" s="14">
        <v>2603794.6799999997</v>
      </c>
      <c r="J673" s="14">
        <v>419638.93599999993</v>
      </c>
      <c r="K673" s="3">
        <v>0</v>
      </c>
      <c r="L673" s="15">
        <v>17582.453739199998</v>
      </c>
    </row>
    <row r="674" spans="1:12" x14ac:dyDescent="0.25">
      <c r="A674" s="12">
        <v>79863617</v>
      </c>
      <c r="B674" s="12"/>
      <c r="C674" s="12" t="s">
        <v>2071</v>
      </c>
      <c r="D674" s="4" t="s">
        <v>2072</v>
      </c>
      <c r="E674" s="13">
        <v>314580743</v>
      </c>
      <c r="F674" s="4" t="s">
        <v>2073</v>
      </c>
      <c r="G674" s="7">
        <v>11001</v>
      </c>
      <c r="H674" s="12">
        <v>305</v>
      </c>
      <c r="I674" s="14">
        <v>2610737.5699999984</v>
      </c>
      <c r="J674" s="14">
        <v>246740.4439999997</v>
      </c>
      <c r="K674" s="3">
        <v>0</v>
      </c>
      <c r="L674" s="15">
        <v>19030.176864299992</v>
      </c>
    </row>
    <row r="675" spans="1:12" x14ac:dyDescent="0.25">
      <c r="A675" s="12">
        <v>79695629</v>
      </c>
      <c r="B675" s="12"/>
      <c r="C675" s="12" t="s">
        <v>2074</v>
      </c>
      <c r="D675" s="4" t="s">
        <v>2075</v>
      </c>
      <c r="E675" s="13">
        <v>3204709323</v>
      </c>
      <c r="F675" s="4" t="s">
        <v>2076</v>
      </c>
      <c r="G675" s="7">
        <v>11001</v>
      </c>
      <c r="H675" s="12">
        <v>305</v>
      </c>
      <c r="I675" s="14">
        <v>2625664.1599999992</v>
      </c>
      <c r="J675" s="14">
        <v>357554.84799999982</v>
      </c>
      <c r="K675" s="3">
        <v>0</v>
      </c>
      <c r="L675" s="15">
        <v>18258.279961599997</v>
      </c>
    </row>
    <row r="676" spans="1:12" x14ac:dyDescent="0.25">
      <c r="A676" s="12">
        <v>39554160</v>
      </c>
      <c r="B676" s="12"/>
      <c r="C676" s="12" t="s">
        <v>2077</v>
      </c>
      <c r="D676" s="4" t="s">
        <v>2078</v>
      </c>
      <c r="E676" s="13">
        <v>3108581633</v>
      </c>
      <c r="F676" s="4" t="s">
        <v>2079</v>
      </c>
      <c r="G676" s="7">
        <v>11001</v>
      </c>
      <c r="H676" s="12">
        <v>305</v>
      </c>
      <c r="I676" s="14">
        <v>2629069.6399999997</v>
      </c>
      <c r="J676" s="14">
        <v>158333.83599999995</v>
      </c>
      <c r="K676" s="3">
        <v>0</v>
      </c>
      <c r="L676" s="15">
        <v>19889.423222199996</v>
      </c>
    </row>
    <row r="677" spans="1:12" x14ac:dyDescent="0.25">
      <c r="A677" s="12">
        <v>21056349</v>
      </c>
      <c r="B677" s="12"/>
      <c r="C677" s="12" t="s">
        <v>2080</v>
      </c>
      <c r="D677" s="4" t="s">
        <v>2081</v>
      </c>
      <c r="E677" s="13">
        <v>3202313911</v>
      </c>
      <c r="F677" s="4" t="s">
        <v>2082</v>
      </c>
      <c r="G677" s="7">
        <v>11001</v>
      </c>
      <c r="H677" s="12">
        <v>305</v>
      </c>
      <c r="I677" s="14">
        <v>2629283.2499999991</v>
      </c>
      <c r="J677" s="14">
        <v>284978.63799999992</v>
      </c>
      <c r="K677" s="3">
        <v>0</v>
      </c>
      <c r="L677" s="15">
        <v>18871.652126599995</v>
      </c>
    </row>
    <row r="678" spans="1:12" x14ac:dyDescent="0.25">
      <c r="A678" s="12">
        <v>135829</v>
      </c>
      <c r="B678" s="12"/>
      <c r="C678" s="12" t="s">
        <v>2083</v>
      </c>
      <c r="D678" s="4" t="s">
        <v>2084</v>
      </c>
      <c r="E678" s="13">
        <v>6407049</v>
      </c>
      <c r="F678" s="4" t="s">
        <v>2085</v>
      </c>
      <c r="G678" s="7">
        <v>11001</v>
      </c>
      <c r="H678" s="12">
        <v>305</v>
      </c>
      <c r="I678" s="14">
        <v>2635306.0000000005</v>
      </c>
      <c r="J678" s="14">
        <v>232261.20000000007</v>
      </c>
      <c r="K678" s="3">
        <v>0</v>
      </c>
      <c r="L678" s="15">
        <v>19344.51064</v>
      </c>
    </row>
    <row r="679" spans="1:12" x14ac:dyDescent="0.25">
      <c r="A679" s="12">
        <v>4239725</v>
      </c>
      <c r="B679" s="12"/>
      <c r="C679" s="12" t="s">
        <v>2086</v>
      </c>
      <c r="D679" s="4" t="s">
        <v>2087</v>
      </c>
      <c r="E679" s="13">
        <v>3127030816</v>
      </c>
      <c r="F679" s="4" t="s">
        <v>2088</v>
      </c>
      <c r="G679" s="7" t="s">
        <v>422</v>
      </c>
      <c r="H679" s="12">
        <v>305</v>
      </c>
      <c r="I679" s="14">
        <v>2636605.9600000004</v>
      </c>
      <c r="J679" s="14">
        <v>0.15</v>
      </c>
      <c r="K679" s="3">
        <v>0</v>
      </c>
      <c r="L679" s="15">
        <v>21224.676770500002</v>
      </c>
    </row>
    <row r="680" spans="1:12" x14ac:dyDescent="0.25">
      <c r="A680" s="12">
        <v>79644554</v>
      </c>
      <c r="B680" s="12"/>
      <c r="C680" s="12" t="s">
        <v>2089</v>
      </c>
      <c r="D680" s="4" t="s">
        <v>2090</v>
      </c>
      <c r="E680" s="13">
        <v>2959714</v>
      </c>
      <c r="F680" s="4" t="s">
        <v>2091</v>
      </c>
      <c r="G680" s="7">
        <v>11001</v>
      </c>
      <c r="H680" s="12">
        <v>305</v>
      </c>
      <c r="I680" s="14">
        <v>2640596.5099999998</v>
      </c>
      <c r="J680" s="14">
        <v>201685.18400000001</v>
      </c>
      <c r="K680" s="3">
        <v>0</v>
      </c>
      <c r="L680" s="15">
        <v>19633.236174299996</v>
      </c>
    </row>
    <row r="681" spans="1:12" x14ac:dyDescent="0.25">
      <c r="A681" s="12">
        <v>17191839</v>
      </c>
      <c r="B681" s="12"/>
      <c r="C681" s="12" t="s">
        <v>2092</v>
      </c>
      <c r="D681" s="4" t="s">
        <v>2093</v>
      </c>
      <c r="E681" s="13">
        <v>4733510</v>
      </c>
      <c r="F681" s="4" t="s">
        <v>2094</v>
      </c>
      <c r="G681" s="7">
        <v>11001</v>
      </c>
      <c r="H681" s="12">
        <v>305</v>
      </c>
      <c r="I681" s="14">
        <v>2646150</v>
      </c>
      <c r="J681" s="14">
        <v>365532.8</v>
      </c>
      <c r="K681" s="3">
        <v>0</v>
      </c>
      <c r="L681" s="15">
        <v>18358.968460000004</v>
      </c>
    </row>
    <row r="682" spans="1:12" x14ac:dyDescent="0.25">
      <c r="A682" s="12">
        <v>19462097</v>
      </c>
      <c r="B682" s="12"/>
      <c r="C682" s="12" t="s">
        <v>2095</v>
      </c>
      <c r="D682" s="4" t="s">
        <v>2096</v>
      </c>
      <c r="E682" s="13">
        <v>3103232389</v>
      </c>
      <c r="F682" s="4" t="s">
        <v>2097</v>
      </c>
      <c r="G682" s="7">
        <v>11001</v>
      </c>
      <c r="H682" s="12">
        <v>305</v>
      </c>
      <c r="I682" s="14">
        <v>2647252.8400000003</v>
      </c>
      <c r="J682" s="14">
        <v>282884.98200000002</v>
      </c>
      <c r="K682" s="3">
        <v>0</v>
      </c>
      <c r="L682" s="15">
        <v>19033.161256900003</v>
      </c>
    </row>
    <row r="683" spans="1:12" x14ac:dyDescent="0.25">
      <c r="A683" s="12">
        <v>79626725</v>
      </c>
      <c r="B683" s="12"/>
      <c r="C683" s="12" t="s">
        <v>2098</v>
      </c>
      <c r="D683" s="4" t="s">
        <v>2099</v>
      </c>
      <c r="E683" s="13">
        <v>6017576984</v>
      </c>
      <c r="F683" s="4" t="s">
        <v>2100</v>
      </c>
      <c r="G683" s="7">
        <v>11001</v>
      </c>
      <c r="H683" s="12">
        <v>305</v>
      </c>
      <c r="I683" s="14">
        <v>2654482.4899999998</v>
      </c>
      <c r="J683" s="14">
        <v>164796.83399999997</v>
      </c>
      <c r="K683" s="3">
        <v>0</v>
      </c>
      <c r="L683" s="15">
        <v>20041.969530800001</v>
      </c>
    </row>
    <row r="684" spans="1:12" x14ac:dyDescent="0.25">
      <c r="A684" s="12">
        <v>900833821</v>
      </c>
      <c r="B684" s="12">
        <v>1</v>
      </c>
      <c r="C684" s="12" t="s">
        <v>2101</v>
      </c>
      <c r="D684" s="4" t="s">
        <v>2102</v>
      </c>
      <c r="E684" s="13">
        <v>3125784995</v>
      </c>
      <c r="F684" s="4" t="s">
        <v>2103</v>
      </c>
      <c r="G684" s="7">
        <v>11001</v>
      </c>
      <c r="H684" s="12">
        <v>305</v>
      </c>
      <c r="I684" s="14">
        <v>2661200</v>
      </c>
      <c r="J684" s="14">
        <v>0.15</v>
      </c>
      <c r="K684" s="3">
        <v>0</v>
      </c>
      <c r="L684" s="15">
        <v>21422.658792500002</v>
      </c>
    </row>
    <row r="685" spans="1:12" x14ac:dyDescent="0.25">
      <c r="A685" s="12">
        <v>73573625</v>
      </c>
      <c r="B685" s="12"/>
      <c r="C685" s="12" t="s">
        <v>2104</v>
      </c>
      <c r="D685" s="4" t="s">
        <v>2105</v>
      </c>
      <c r="E685" s="13">
        <v>3118573779</v>
      </c>
      <c r="F685" s="4" t="s">
        <v>2106</v>
      </c>
      <c r="G685" s="7" t="s">
        <v>603</v>
      </c>
      <c r="H685" s="12">
        <v>305</v>
      </c>
      <c r="I685" s="14">
        <v>2663308</v>
      </c>
      <c r="J685" s="14">
        <v>300067.40000000002</v>
      </c>
      <c r="K685" s="3">
        <v>0</v>
      </c>
      <c r="L685" s="15">
        <v>19024.08683</v>
      </c>
    </row>
    <row r="686" spans="1:12" x14ac:dyDescent="0.25">
      <c r="A686" s="12">
        <v>79943712</v>
      </c>
      <c r="B686" s="12"/>
      <c r="C686" s="12" t="s">
        <v>2107</v>
      </c>
      <c r="D686" s="4" t="s">
        <v>2108</v>
      </c>
      <c r="E686" s="13">
        <v>3118536688</v>
      </c>
      <c r="F686" s="4" t="s">
        <v>2109</v>
      </c>
      <c r="G686" s="7">
        <v>11001</v>
      </c>
      <c r="H686" s="12">
        <v>305</v>
      </c>
      <c r="I686" s="14">
        <v>2671545.3200000003</v>
      </c>
      <c r="J686" s="14">
        <v>175889.0640000001</v>
      </c>
      <c r="K686" s="3">
        <v>0</v>
      </c>
      <c r="L686" s="15">
        <v>20090.032860799998</v>
      </c>
    </row>
    <row r="687" spans="1:12" x14ac:dyDescent="0.25">
      <c r="A687" s="12">
        <v>52329155</v>
      </c>
      <c r="B687" s="12"/>
      <c r="C687" s="12" t="s">
        <v>2110</v>
      </c>
      <c r="D687" s="4" t="s">
        <v>2111</v>
      </c>
      <c r="E687" s="13">
        <v>3016846339</v>
      </c>
      <c r="F687" s="4" t="s">
        <v>2112</v>
      </c>
      <c r="G687" s="7">
        <v>11001</v>
      </c>
      <c r="H687" s="12">
        <v>305</v>
      </c>
      <c r="I687" s="14">
        <v>2691894.0099999993</v>
      </c>
      <c r="J687" s="14">
        <v>194520.3139999999</v>
      </c>
      <c r="K687" s="3">
        <v>0</v>
      </c>
      <c r="L687" s="15">
        <v>20103.858252799997</v>
      </c>
    </row>
    <row r="688" spans="1:12" x14ac:dyDescent="0.25">
      <c r="A688" s="12">
        <v>84091865</v>
      </c>
      <c r="B688" s="12"/>
      <c r="C688" s="12" t="s">
        <v>2113</v>
      </c>
      <c r="D688" s="4" t="s">
        <v>2114</v>
      </c>
      <c r="E688" s="13">
        <v>3204421022</v>
      </c>
      <c r="F688" s="4" t="s">
        <v>2115</v>
      </c>
      <c r="G688" s="7">
        <v>11001</v>
      </c>
      <c r="H688" s="12">
        <v>305</v>
      </c>
      <c r="I688" s="14">
        <v>2735826.13</v>
      </c>
      <c r="J688" s="14">
        <v>346943.62599999993</v>
      </c>
      <c r="K688" s="3">
        <v>0</v>
      </c>
      <c r="L688" s="15">
        <v>19230.504157200001</v>
      </c>
    </row>
    <row r="689" spans="1:12" x14ac:dyDescent="0.25">
      <c r="A689" s="12">
        <v>72161947</v>
      </c>
      <c r="B689" s="12"/>
      <c r="C689" s="12" t="s">
        <v>2116</v>
      </c>
      <c r="D689" s="4" t="s">
        <v>2117</v>
      </c>
      <c r="E689" s="13">
        <v>6273653</v>
      </c>
      <c r="F689" s="4" t="s">
        <v>2118</v>
      </c>
      <c r="G689" s="7">
        <v>11001</v>
      </c>
      <c r="H689" s="12">
        <v>305</v>
      </c>
      <c r="I689" s="14">
        <v>2735871.35</v>
      </c>
      <c r="J689" s="14">
        <v>0.15</v>
      </c>
      <c r="K689" s="3">
        <v>0</v>
      </c>
      <c r="L689" s="15">
        <v>22023.763160000002</v>
      </c>
    </row>
    <row r="690" spans="1:12" x14ac:dyDescent="0.25">
      <c r="A690" s="12">
        <v>79147037</v>
      </c>
      <c r="B690" s="12"/>
      <c r="C690" s="12" t="s">
        <v>2119</v>
      </c>
      <c r="D690" s="4" t="s">
        <v>2120</v>
      </c>
      <c r="E690" s="13">
        <v>3125406943</v>
      </c>
      <c r="F690" s="4" t="s">
        <v>2121</v>
      </c>
      <c r="G690" s="7">
        <v>11001</v>
      </c>
      <c r="H690" s="12">
        <v>305</v>
      </c>
      <c r="I690" s="14">
        <v>2738979</v>
      </c>
      <c r="J690" s="14">
        <v>0.15</v>
      </c>
      <c r="K690" s="3">
        <v>0</v>
      </c>
      <c r="L690" s="15">
        <v>22048.779742499999</v>
      </c>
    </row>
    <row r="691" spans="1:12" x14ac:dyDescent="0.25">
      <c r="A691" s="12">
        <v>14448332</v>
      </c>
      <c r="B691" s="12"/>
      <c r="C691" s="12" t="s">
        <v>2122</v>
      </c>
      <c r="D691" s="4" t="s">
        <v>2123</v>
      </c>
      <c r="E691" s="13">
        <v>3014690496</v>
      </c>
      <c r="F691" s="4" t="s">
        <v>1990</v>
      </c>
      <c r="G691" s="7">
        <v>11001</v>
      </c>
      <c r="H691" s="12">
        <v>305</v>
      </c>
      <c r="I691" s="14">
        <v>2757638.6100000003</v>
      </c>
      <c r="J691" s="14">
        <v>0.15</v>
      </c>
      <c r="K691" s="3">
        <v>0</v>
      </c>
      <c r="L691" s="15">
        <v>22198.989603000002</v>
      </c>
    </row>
    <row r="692" spans="1:12" x14ac:dyDescent="0.25">
      <c r="A692" s="12">
        <v>91254874</v>
      </c>
      <c r="B692" s="12"/>
      <c r="C692" s="12" t="s">
        <v>2124</v>
      </c>
      <c r="D692" s="4" t="s">
        <v>2125</v>
      </c>
      <c r="E692" s="13">
        <v>3103294281</v>
      </c>
      <c r="F692" s="4" t="s">
        <v>2126</v>
      </c>
      <c r="G692" s="7" t="s">
        <v>333</v>
      </c>
      <c r="H692" s="12">
        <v>305</v>
      </c>
      <c r="I692" s="14">
        <v>2771067.3499999992</v>
      </c>
      <c r="J692" s="14">
        <v>0.15</v>
      </c>
      <c r="K692" s="3">
        <v>0</v>
      </c>
      <c r="L692" s="15">
        <v>22307.090959999994</v>
      </c>
    </row>
    <row r="693" spans="1:12" x14ac:dyDescent="0.25">
      <c r="A693" s="12">
        <v>17321207</v>
      </c>
      <c r="B693" s="12"/>
      <c r="C693" s="12" t="s">
        <v>2127</v>
      </c>
      <c r="D693" s="4" t="s">
        <v>2128</v>
      </c>
      <c r="E693" s="13">
        <v>7788619414</v>
      </c>
      <c r="F693" s="4" t="s">
        <v>2129</v>
      </c>
      <c r="G693" s="7">
        <v>11001</v>
      </c>
      <c r="H693" s="12">
        <v>305</v>
      </c>
      <c r="I693" s="14">
        <v>2782382.37</v>
      </c>
      <c r="J693" s="14">
        <v>171679.8</v>
      </c>
      <c r="K693" s="3">
        <v>0</v>
      </c>
      <c r="L693" s="15">
        <v>21016.155688500003</v>
      </c>
    </row>
    <row r="694" spans="1:12" x14ac:dyDescent="0.25">
      <c r="A694" s="12">
        <v>20174061</v>
      </c>
      <c r="B694" s="12"/>
      <c r="C694" s="12" t="s">
        <v>2130</v>
      </c>
      <c r="D694" s="4" t="s">
        <v>2131</v>
      </c>
      <c r="E694" s="13">
        <v>3114537656</v>
      </c>
      <c r="F694" s="4" t="s">
        <v>2132</v>
      </c>
      <c r="G694" s="7">
        <v>11001</v>
      </c>
      <c r="H694" s="12">
        <v>305</v>
      </c>
      <c r="I694" s="14">
        <v>2801176.0099999988</v>
      </c>
      <c r="J694" s="14">
        <v>176901.12799999997</v>
      </c>
      <c r="K694" s="3">
        <v>0</v>
      </c>
      <c r="L694" s="15">
        <v>21125.412800099992</v>
      </c>
    </row>
    <row r="695" spans="1:12" x14ac:dyDescent="0.25">
      <c r="A695" s="12">
        <v>41585272</v>
      </c>
      <c r="B695" s="12"/>
      <c r="C695" s="12" t="s">
        <v>2133</v>
      </c>
      <c r="D695" s="4" t="s">
        <v>2134</v>
      </c>
      <c r="E695" s="13">
        <v>3002127372</v>
      </c>
      <c r="F695" s="4" t="s">
        <v>2135</v>
      </c>
      <c r="G695" s="7">
        <v>11001</v>
      </c>
      <c r="H695" s="12">
        <v>305</v>
      </c>
      <c r="I695" s="14">
        <v>2801283.65</v>
      </c>
      <c r="J695" s="14">
        <v>302705.13399999996</v>
      </c>
      <c r="K695" s="3">
        <v>0</v>
      </c>
      <c r="L695" s="15">
        <v>20113.557053799999</v>
      </c>
    </row>
    <row r="696" spans="1:12" x14ac:dyDescent="0.25">
      <c r="A696" s="12">
        <v>79304935</v>
      </c>
      <c r="B696" s="12"/>
      <c r="C696" s="12" t="s">
        <v>2136</v>
      </c>
      <c r="D696" s="4" t="s">
        <v>2137</v>
      </c>
      <c r="E696" s="13">
        <v>3103913218</v>
      </c>
      <c r="F696" s="4" t="s">
        <v>2138</v>
      </c>
      <c r="G696" s="7">
        <v>11001</v>
      </c>
      <c r="H696" s="12">
        <v>305</v>
      </c>
      <c r="I696" s="14">
        <v>2809856.7600000002</v>
      </c>
      <c r="J696" s="14">
        <v>240406.64600000012</v>
      </c>
      <c r="K696" s="3">
        <v>0</v>
      </c>
      <c r="L696" s="15">
        <v>20684.073417700005</v>
      </c>
    </row>
    <row r="697" spans="1:12" x14ac:dyDescent="0.25">
      <c r="A697" s="12">
        <v>79263553</v>
      </c>
      <c r="B697" s="12"/>
      <c r="C697" s="12" t="s">
        <v>2139</v>
      </c>
      <c r="D697" s="4" t="s">
        <v>2140</v>
      </c>
      <c r="E697" s="13">
        <v>6151723</v>
      </c>
      <c r="F697" s="4" t="s">
        <v>2141</v>
      </c>
      <c r="G697" s="7">
        <v>11001</v>
      </c>
      <c r="H697" s="12">
        <v>305</v>
      </c>
      <c r="I697" s="14">
        <v>2827124.44</v>
      </c>
      <c r="J697" s="14">
        <v>0.15</v>
      </c>
      <c r="K697" s="3">
        <v>0</v>
      </c>
      <c r="L697" s="15">
        <v>22758.350534500001</v>
      </c>
    </row>
    <row r="698" spans="1:12" x14ac:dyDescent="0.25">
      <c r="A698" s="12">
        <v>79724509</v>
      </c>
      <c r="B698" s="12"/>
      <c r="C698" s="12" t="s">
        <v>2142</v>
      </c>
      <c r="D698" s="4" t="s">
        <v>2143</v>
      </c>
      <c r="E698" s="13">
        <v>3212162583</v>
      </c>
      <c r="F698" s="4" t="s">
        <v>2144</v>
      </c>
      <c r="G698" s="7">
        <v>11001</v>
      </c>
      <c r="H698" s="12">
        <v>305</v>
      </c>
      <c r="I698" s="14">
        <v>2828842.34</v>
      </c>
      <c r="J698" s="14">
        <v>211870.65199999991</v>
      </c>
      <c r="K698" s="3">
        <v>0</v>
      </c>
      <c r="L698" s="15">
        <v>21066.622088399999</v>
      </c>
    </row>
    <row r="699" spans="1:12" x14ac:dyDescent="0.25">
      <c r="A699" s="12">
        <v>88262974</v>
      </c>
      <c r="B699" s="12"/>
      <c r="C699" s="12" t="s">
        <v>2145</v>
      </c>
      <c r="D699" s="4" t="s">
        <v>2146</v>
      </c>
      <c r="E699" s="13">
        <v>3206878732</v>
      </c>
      <c r="F699" s="4" t="s">
        <v>2147</v>
      </c>
      <c r="G699" s="7">
        <v>11001</v>
      </c>
      <c r="H699" s="12">
        <v>305</v>
      </c>
      <c r="I699" s="14">
        <v>2842248.4699999997</v>
      </c>
      <c r="J699" s="14">
        <v>199944.3539999999</v>
      </c>
      <c r="K699" s="3">
        <v>0</v>
      </c>
      <c r="L699" s="15">
        <v>21270.548133799999</v>
      </c>
    </row>
    <row r="700" spans="1:12" x14ac:dyDescent="0.25">
      <c r="A700" s="12">
        <v>79491245</v>
      </c>
      <c r="B700" s="12"/>
      <c r="C700" s="12" t="s">
        <v>2148</v>
      </c>
      <c r="D700" s="4" t="s">
        <v>2149</v>
      </c>
      <c r="E700" s="13">
        <v>4870268</v>
      </c>
      <c r="F700" s="4" t="s">
        <v>2150</v>
      </c>
      <c r="G700" s="7">
        <v>11001</v>
      </c>
      <c r="H700" s="12">
        <v>305</v>
      </c>
      <c r="I700" s="14">
        <v>2842591.6700000009</v>
      </c>
      <c r="J700" s="14">
        <v>0.15</v>
      </c>
      <c r="K700" s="3">
        <v>0</v>
      </c>
      <c r="L700" s="15">
        <v>22882.86173600001</v>
      </c>
    </row>
    <row r="701" spans="1:12" x14ac:dyDescent="0.25">
      <c r="A701" s="12">
        <v>52712590</v>
      </c>
      <c r="B701" s="12"/>
      <c r="C701" s="12" t="s">
        <v>2151</v>
      </c>
      <c r="D701" s="4" t="s">
        <v>2152</v>
      </c>
      <c r="E701" s="13">
        <v>3102392677</v>
      </c>
      <c r="F701" s="4" t="s">
        <v>2153</v>
      </c>
      <c r="G701" s="7">
        <v>11001</v>
      </c>
      <c r="H701" s="12">
        <v>305</v>
      </c>
      <c r="I701" s="14">
        <v>2848841.1499999994</v>
      </c>
      <c r="J701" s="14">
        <v>400720.12</v>
      </c>
      <c r="K701" s="3">
        <v>0</v>
      </c>
      <c r="L701" s="15">
        <v>19707.374291499997</v>
      </c>
    </row>
    <row r="702" spans="1:12" x14ac:dyDescent="0.25">
      <c r="A702" s="12">
        <v>20331094</v>
      </c>
      <c r="B702" s="12"/>
      <c r="C702" s="12" t="s">
        <v>2154</v>
      </c>
      <c r="D702" s="4" t="s">
        <v>659</v>
      </c>
      <c r="E702" s="13">
        <v>2157993</v>
      </c>
      <c r="F702" s="4" t="s">
        <v>2155</v>
      </c>
      <c r="G702" s="7">
        <v>11001</v>
      </c>
      <c r="H702" s="12">
        <v>305</v>
      </c>
      <c r="I702" s="14">
        <v>2857978.2700000005</v>
      </c>
      <c r="J702" s="14">
        <v>164260.1920000001</v>
      </c>
      <c r="K702" s="3">
        <v>0</v>
      </c>
      <c r="L702" s="15">
        <v>21684.4305279</v>
      </c>
    </row>
    <row r="703" spans="1:12" x14ac:dyDescent="0.25">
      <c r="A703" s="12">
        <v>19061837</v>
      </c>
      <c r="B703" s="12"/>
      <c r="C703" s="12" t="s">
        <v>2156</v>
      </c>
      <c r="D703" s="4" t="s">
        <v>2157</v>
      </c>
      <c r="E703" s="13">
        <v>3152944868</v>
      </c>
      <c r="F703" s="4" t="s">
        <v>2158</v>
      </c>
      <c r="G703" s="7">
        <v>11001</v>
      </c>
      <c r="H703" s="12">
        <v>305</v>
      </c>
      <c r="I703" s="14">
        <v>2869465.7800000007</v>
      </c>
      <c r="J703" s="14">
        <v>238180.88600000017</v>
      </c>
      <c r="K703" s="3">
        <v>0</v>
      </c>
      <c r="L703" s="15">
        <v>21181.843396700002</v>
      </c>
    </row>
    <row r="704" spans="1:12" x14ac:dyDescent="0.25">
      <c r="A704" s="12">
        <v>19214278</v>
      </c>
      <c r="B704" s="12"/>
      <c r="C704" s="12" t="s">
        <v>2159</v>
      </c>
      <c r="D704" s="4" t="s">
        <v>2160</v>
      </c>
      <c r="E704" s="13">
        <v>3112811686</v>
      </c>
      <c r="F704" s="4" t="s">
        <v>2161</v>
      </c>
      <c r="G704" s="7">
        <v>11001</v>
      </c>
      <c r="H704" s="12">
        <v>305</v>
      </c>
      <c r="I704" s="14">
        <v>2869520.34</v>
      </c>
      <c r="J704" s="14">
        <v>160304.068</v>
      </c>
      <c r="K704" s="3">
        <v>0</v>
      </c>
      <c r="L704" s="15">
        <v>21809.1909896</v>
      </c>
    </row>
    <row r="705" spans="1:12" x14ac:dyDescent="0.25">
      <c r="A705" s="12">
        <v>7188222</v>
      </c>
      <c r="B705" s="12"/>
      <c r="C705" s="12" t="s">
        <v>2162</v>
      </c>
      <c r="D705" s="4" t="s">
        <v>2163</v>
      </c>
      <c r="E705" s="13">
        <v>3183239753</v>
      </c>
      <c r="F705" s="4" t="s">
        <v>2164</v>
      </c>
      <c r="G705" s="7" t="s">
        <v>367</v>
      </c>
      <c r="H705" s="12">
        <v>305</v>
      </c>
      <c r="I705" s="14">
        <v>2896003.19</v>
      </c>
      <c r="J705" s="14">
        <v>69631.661999999997</v>
      </c>
      <c r="K705" s="3">
        <v>0</v>
      </c>
      <c r="L705" s="15">
        <v>22752.290800400002</v>
      </c>
    </row>
    <row r="706" spans="1:12" x14ac:dyDescent="0.25">
      <c r="A706" s="12">
        <v>98379173</v>
      </c>
      <c r="B706" s="12"/>
      <c r="C706" s="12" t="s">
        <v>2165</v>
      </c>
      <c r="D706" s="4" t="s">
        <v>2166</v>
      </c>
      <c r="E706" s="13">
        <v>3187070994</v>
      </c>
      <c r="F706" s="4" t="s">
        <v>2167</v>
      </c>
      <c r="G706" s="7">
        <v>11001</v>
      </c>
      <c r="H706" s="12">
        <v>305</v>
      </c>
      <c r="I706" s="14">
        <v>2924488.5200000005</v>
      </c>
      <c r="J706" s="14">
        <v>281108.98600000009</v>
      </c>
      <c r="K706" s="3">
        <v>0</v>
      </c>
      <c r="L706" s="15">
        <v>21279.205248700007</v>
      </c>
    </row>
    <row r="707" spans="1:12" x14ac:dyDescent="0.25">
      <c r="A707" s="12">
        <v>1121882961</v>
      </c>
      <c r="B707" s="12"/>
      <c r="C707" s="12" t="s">
        <v>2168</v>
      </c>
      <c r="D707" s="4" t="s">
        <v>2169</v>
      </c>
      <c r="E707" s="13">
        <v>3155651713</v>
      </c>
      <c r="F707" s="4" t="s">
        <v>2170</v>
      </c>
      <c r="G707" s="7">
        <v>11001</v>
      </c>
      <c r="H707" s="12">
        <v>305</v>
      </c>
      <c r="I707" s="14">
        <v>2926946.8</v>
      </c>
      <c r="J707" s="14">
        <v>136794.40199999994</v>
      </c>
      <c r="K707" s="3">
        <v>0</v>
      </c>
      <c r="L707" s="15">
        <v>22460.726803900001</v>
      </c>
    </row>
    <row r="708" spans="1:12" x14ac:dyDescent="0.25">
      <c r="A708" s="12">
        <v>6770051</v>
      </c>
      <c r="B708" s="12"/>
      <c r="C708" s="12" t="s">
        <v>2171</v>
      </c>
      <c r="D708" s="4" t="s">
        <v>2172</v>
      </c>
      <c r="E708" s="13">
        <v>3138871492</v>
      </c>
      <c r="F708" s="4" t="s">
        <v>2173</v>
      </c>
      <c r="G708" s="7">
        <v>11001</v>
      </c>
      <c r="H708" s="12">
        <v>305</v>
      </c>
      <c r="I708" s="14">
        <v>2936194.83</v>
      </c>
      <c r="J708" s="14">
        <v>98518.41</v>
      </c>
      <c r="K708" s="3">
        <v>0</v>
      </c>
      <c r="L708" s="15">
        <v>22843.295180999998</v>
      </c>
    </row>
    <row r="709" spans="1:12" x14ac:dyDescent="0.25">
      <c r="A709" s="12">
        <v>79522721</v>
      </c>
      <c r="B709" s="12"/>
      <c r="C709" s="12" t="s">
        <v>2174</v>
      </c>
      <c r="D709" s="4" t="s">
        <v>2175</v>
      </c>
      <c r="E709" s="13">
        <v>3102197790</v>
      </c>
      <c r="F709" s="4" t="s">
        <v>2176</v>
      </c>
      <c r="G709" s="7" t="s">
        <v>144</v>
      </c>
      <c r="H709" s="12">
        <v>305</v>
      </c>
      <c r="I709" s="14">
        <v>2942094.15</v>
      </c>
      <c r="J709" s="14">
        <v>219884.03</v>
      </c>
      <c r="K709" s="3">
        <v>0</v>
      </c>
      <c r="L709" s="15">
        <v>21913.791466000002</v>
      </c>
    </row>
    <row r="710" spans="1:12" x14ac:dyDescent="0.25">
      <c r="A710" s="12">
        <v>52149092</v>
      </c>
      <c r="B710" s="12"/>
      <c r="C710" s="12" t="s">
        <v>2177</v>
      </c>
      <c r="D710" s="4" t="s">
        <v>2149</v>
      </c>
      <c r="E710" s="13">
        <v>3103197185</v>
      </c>
      <c r="F710" s="4" t="s">
        <v>2150</v>
      </c>
      <c r="G710" s="7">
        <v>11001</v>
      </c>
      <c r="H710" s="12">
        <v>305</v>
      </c>
      <c r="I710" s="14">
        <v>2959393.9</v>
      </c>
      <c r="J710" s="14">
        <v>388834.07399999991</v>
      </c>
      <c r="K710" s="3">
        <v>0</v>
      </c>
      <c r="L710" s="15">
        <v>20693.006599300003</v>
      </c>
    </row>
    <row r="711" spans="1:12" x14ac:dyDescent="0.25">
      <c r="A711" s="12">
        <v>901302424</v>
      </c>
      <c r="B711" s="12">
        <v>4</v>
      </c>
      <c r="C711" s="12" t="s">
        <v>2178</v>
      </c>
      <c r="D711" s="4" t="s">
        <v>2179</v>
      </c>
      <c r="E711" s="13">
        <v>3164741388</v>
      </c>
      <c r="F711" s="4" t="s">
        <v>2180</v>
      </c>
      <c r="G711" s="7">
        <v>11001</v>
      </c>
      <c r="H711" s="12">
        <v>305</v>
      </c>
      <c r="I711" s="14">
        <v>2994144</v>
      </c>
      <c r="J711" s="14">
        <v>0.15</v>
      </c>
      <c r="K711" s="3">
        <v>0</v>
      </c>
      <c r="L711" s="15">
        <v>24102.857992500001</v>
      </c>
    </row>
    <row r="712" spans="1:12" x14ac:dyDescent="0.25">
      <c r="A712" s="12">
        <v>1098604226</v>
      </c>
      <c r="B712" s="12"/>
      <c r="C712" s="12" t="s">
        <v>2181</v>
      </c>
      <c r="D712" s="4" t="s">
        <v>2182</v>
      </c>
      <c r="E712" s="13">
        <v>3183702703</v>
      </c>
      <c r="F712" s="4" t="s">
        <v>2183</v>
      </c>
      <c r="G712" s="7">
        <v>11001</v>
      </c>
      <c r="H712" s="12">
        <v>305</v>
      </c>
      <c r="I712" s="14">
        <v>3029750.88</v>
      </c>
      <c r="J712" s="14">
        <v>365277.06599999999</v>
      </c>
      <c r="K712" s="3">
        <v>0</v>
      </c>
      <c r="L712" s="15">
        <v>21449.014202699997</v>
      </c>
    </row>
    <row r="713" spans="1:12" x14ac:dyDescent="0.25">
      <c r="A713" s="12">
        <v>52694105</v>
      </c>
      <c r="B713" s="12"/>
      <c r="C713" s="12" t="s">
        <v>2184</v>
      </c>
      <c r="D713" s="4" t="s">
        <v>2185</v>
      </c>
      <c r="E713" s="13">
        <v>2866598</v>
      </c>
      <c r="F713" s="4" t="s">
        <v>2186</v>
      </c>
      <c r="G713" s="7">
        <v>11001</v>
      </c>
      <c r="H713" s="12">
        <v>305</v>
      </c>
      <c r="I713" s="14">
        <v>3032803.2199999997</v>
      </c>
      <c r="J713" s="14">
        <v>380873.58600000001</v>
      </c>
      <c r="K713" s="3">
        <v>0</v>
      </c>
      <c r="L713" s="15">
        <v>21348.033553699996</v>
      </c>
    </row>
    <row r="714" spans="1:12" x14ac:dyDescent="0.25">
      <c r="A714" s="12">
        <v>38363162</v>
      </c>
      <c r="B714" s="12"/>
      <c r="C714" s="12" t="s">
        <v>2187</v>
      </c>
      <c r="D714" s="4" t="s">
        <v>2188</v>
      </c>
      <c r="E714" s="13">
        <v>3222114020</v>
      </c>
      <c r="F714" s="4" t="s">
        <v>2189</v>
      </c>
      <c r="G714" s="7">
        <v>11001</v>
      </c>
      <c r="H714" s="12">
        <v>305</v>
      </c>
      <c r="I714" s="14">
        <v>3037961.64</v>
      </c>
      <c r="J714" s="14">
        <v>449410.64600000001</v>
      </c>
      <c r="K714" s="3">
        <v>0</v>
      </c>
      <c r="L714" s="15">
        <v>20837.835501699999</v>
      </c>
    </row>
    <row r="715" spans="1:12" x14ac:dyDescent="0.25">
      <c r="A715" s="12">
        <v>41641328</v>
      </c>
      <c r="B715" s="12"/>
      <c r="C715" s="12" t="s">
        <v>2190</v>
      </c>
      <c r="D715" s="4" t="s">
        <v>2191</v>
      </c>
      <c r="E715" s="13">
        <v>3106774162</v>
      </c>
      <c r="F715" s="4" t="s">
        <v>2192</v>
      </c>
      <c r="G715" s="7">
        <v>11001</v>
      </c>
      <c r="H715" s="12">
        <v>305</v>
      </c>
      <c r="I715" s="14">
        <v>3061138.1599999997</v>
      </c>
      <c r="J715" s="14">
        <v>142865.61799999996</v>
      </c>
      <c r="K715" s="3">
        <v>0</v>
      </c>
      <c r="L715" s="15">
        <v>23492.0939631</v>
      </c>
    </row>
    <row r="716" spans="1:12" x14ac:dyDescent="0.25">
      <c r="A716" s="12">
        <v>24047911</v>
      </c>
      <c r="B716" s="12"/>
      <c r="C716" s="12" t="s">
        <v>2193</v>
      </c>
      <c r="D716" s="4" t="s">
        <v>2194</v>
      </c>
      <c r="E716" s="13">
        <v>3002206410</v>
      </c>
      <c r="F716" s="4" t="s">
        <v>2195</v>
      </c>
      <c r="G716" s="7">
        <v>11001</v>
      </c>
      <c r="H716" s="12">
        <v>305</v>
      </c>
      <c r="I716" s="14">
        <v>3080871.5900000003</v>
      </c>
      <c r="J716" s="14">
        <v>230014.64199999996</v>
      </c>
      <c r="K716" s="3">
        <v>0</v>
      </c>
      <c r="L716" s="15">
        <v>22949.398431400004</v>
      </c>
    </row>
    <row r="717" spans="1:12" x14ac:dyDescent="0.25">
      <c r="A717" s="12">
        <v>79900017</v>
      </c>
      <c r="B717" s="12"/>
      <c r="C717" s="12" t="s">
        <v>2196</v>
      </c>
      <c r="D717" s="4" t="s">
        <v>2197</v>
      </c>
      <c r="E717" s="13">
        <v>3002109248</v>
      </c>
      <c r="F717" s="4" t="s">
        <v>2198</v>
      </c>
      <c r="G717" s="7" t="s">
        <v>221</v>
      </c>
      <c r="H717" s="12">
        <v>305</v>
      </c>
      <c r="I717" s="14">
        <v>3092848.21</v>
      </c>
      <c r="J717" s="14">
        <v>176057.03400000001</v>
      </c>
      <c r="K717" s="3">
        <v>0</v>
      </c>
      <c r="L717" s="15">
        <v>23480.1689668</v>
      </c>
    </row>
    <row r="718" spans="1:12" x14ac:dyDescent="0.25">
      <c r="A718" s="12">
        <v>2909770</v>
      </c>
      <c r="B718" s="12"/>
      <c r="C718" s="12" t="s">
        <v>2199</v>
      </c>
      <c r="D718" s="4" t="s">
        <v>2200</v>
      </c>
      <c r="E718" s="13">
        <v>2139113</v>
      </c>
      <c r="F718" s="4" t="s">
        <v>2201</v>
      </c>
      <c r="G718" s="7">
        <v>11001</v>
      </c>
      <c r="H718" s="12">
        <v>305</v>
      </c>
      <c r="I718" s="14">
        <v>3105015.2099999995</v>
      </c>
      <c r="J718" s="14">
        <v>441027.41199999989</v>
      </c>
      <c r="K718" s="3">
        <v>0</v>
      </c>
      <c r="L718" s="15">
        <v>21445.101773899994</v>
      </c>
    </row>
    <row r="719" spans="1:12" x14ac:dyDescent="0.25">
      <c r="A719" s="12">
        <v>79452422</v>
      </c>
      <c r="B719" s="12"/>
      <c r="C719" s="12" t="s">
        <v>2202</v>
      </c>
      <c r="D719" s="4" t="s">
        <v>2203</v>
      </c>
      <c r="E719" s="13">
        <v>3166460853</v>
      </c>
      <c r="F719" s="4" t="s">
        <v>2204</v>
      </c>
      <c r="G719" s="7">
        <v>11001</v>
      </c>
      <c r="H719" s="12">
        <v>305</v>
      </c>
      <c r="I719" s="14">
        <v>3116147.6799999988</v>
      </c>
      <c r="J719" s="14">
        <v>326717.77199999982</v>
      </c>
      <c r="K719" s="3">
        <v>0</v>
      </c>
      <c r="L719" s="15">
        <v>22454.910759399991</v>
      </c>
    </row>
    <row r="720" spans="1:12" x14ac:dyDescent="0.25">
      <c r="A720" s="12">
        <v>37232699</v>
      </c>
      <c r="B720" s="12"/>
      <c r="C720" s="12" t="s">
        <v>2205</v>
      </c>
      <c r="D720" s="4" t="s">
        <v>2206</v>
      </c>
      <c r="E720" s="13">
        <v>3007902629</v>
      </c>
      <c r="F720" s="4" t="s">
        <v>2207</v>
      </c>
      <c r="G720" s="7">
        <v>11001</v>
      </c>
      <c r="H720" s="12">
        <v>305</v>
      </c>
      <c r="I720" s="14">
        <v>3132323.29</v>
      </c>
      <c r="J720" s="14">
        <v>263870.51799999998</v>
      </c>
      <c r="K720" s="3">
        <v>0</v>
      </c>
      <c r="L720" s="15">
        <v>23091.044814600002</v>
      </c>
    </row>
    <row r="721" spans="1:12" x14ac:dyDescent="0.25">
      <c r="A721" s="12">
        <v>79347133</v>
      </c>
      <c r="B721" s="12"/>
      <c r="C721" s="12" t="s">
        <v>2208</v>
      </c>
      <c r="D721" s="4" t="s">
        <v>2209</v>
      </c>
      <c r="E721" s="13">
        <v>3175004545</v>
      </c>
      <c r="F721" s="4" t="s">
        <v>2210</v>
      </c>
      <c r="G721" s="7">
        <v>11001</v>
      </c>
      <c r="H721" s="12">
        <v>305</v>
      </c>
      <c r="I721" s="14">
        <v>3154988.2500000005</v>
      </c>
      <c r="J721" s="14">
        <v>38111.098000000005</v>
      </c>
      <c r="K721" s="3">
        <v>0</v>
      </c>
      <c r="L721" s="15">
        <v>25090.861073600005</v>
      </c>
    </row>
    <row r="722" spans="1:12" x14ac:dyDescent="0.25">
      <c r="A722" s="12">
        <v>20246450</v>
      </c>
      <c r="B722" s="12"/>
      <c r="C722" s="12" t="s">
        <v>2211</v>
      </c>
      <c r="D722" s="4" t="s">
        <v>2212</v>
      </c>
      <c r="E722" s="13">
        <v>6209293</v>
      </c>
      <c r="F722" s="4" t="s">
        <v>2213</v>
      </c>
      <c r="G722" s="7">
        <v>11001</v>
      </c>
      <c r="H722" s="12">
        <v>305</v>
      </c>
      <c r="I722" s="14">
        <v>3155671.76</v>
      </c>
      <c r="J722" s="14">
        <v>259187.12600000002</v>
      </c>
      <c r="K722" s="3">
        <v>0</v>
      </c>
      <c r="L722" s="15">
        <v>23316.7013037</v>
      </c>
    </row>
    <row r="723" spans="1:12" x14ac:dyDescent="0.25">
      <c r="A723" s="12">
        <v>19320342</v>
      </c>
      <c r="B723" s="12"/>
      <c r="C723" s="12" t="s">
        <v>2214</v>
      </c>
      <c r="D723" s="4" t="s">
        <v>2215</v>
      </c>
      <c r="E723" s="13">
        <v>3002009853</v>
      </c>
      <c r="F723" s="4" t="s">
        <v>2216</v>
      </c>
      <c r="G723" s="7">
        <v>11001</v>
      </c>
      <c r="H723" s="12">
        <v>305</v>
      </c>
      <c r="I723" s="14">
        <v>3161474.7699999991</v>
      </c>
      <c r="J723" s="14">
        <v>286464.36599999981</v>
      </c>
      <c r="K723" s="3">
        <v>0</v>
      </c>
      <c r="L723" s="15">
        <v>23143.833752199993</v>
      </c>
    </row>
    <row r="724" spans="1:12" x14ac:dyDescent="0.25">
      <c r="A724" s="12">
        <v>20130159</v>
      </c>
      <c r="B724" s="12"/>
      <c r="C724" s="12" t="s">
        <v>2217</v>
      </c>
      <c r="D724" s="4" t="s">
        <v>2218</v>
      </c>
      <c r="E724" s="13">
        <v>3105622639</v>
      </c>
      <c r="F724" s="4" t="s">
        <v>2218</v>
      </c>
      <c r="G724" s="7">
        <v>11001</v>
      </c>
      <c r="H724" s="12">
        <v>305</v>
      </c>
      <c r="I724" s="14">
        <v>3162703.67</v>
      </c>
      <c r="J724" s="14">
        <v>111279.48799999998</v>
      </c>
      <c r="K724" s="3">
        <v>0</v>
      </c>
      <c r="L724" s="15">
        <v>24563.9646651</v>
      </c>
    </row>
    <row r="725" spans="1:12" x14ac:dyDescent="0.25">
      <c r="A725" s="12">
        <v>38245825</v>
      </c>
      <c r="B725" s="12"/>
      <c r="C725" s="12" t="s">
        <v>2219</v>
      </c>
      <c r="D725" s="4" t="s">
        <v>868</v>
      </c>
      <c r="E725" s="13">
        <v>3106600665</v>
      </c>
      <c r="F725" s="4" t="s">
        <v>869</v>
      </c>
      <c r="G725" s="7">
        <v>11001</v>
      </c>
      <c r="H725" s="12">
        <v>305</v>
      </c>
      <c r="I725" s="14">
        <v>3185508.89</v>
      </c>
      <c r="J725" s="14">
        <v>424721.77800000005</v>
      </c>
      <c r="K725" s="3">
        <v>0</v>
      </c>
      <c r="L725" s="15">
        <v>22224.336251600002</v>
      </c>
    </row>
    <row r="726" spans="1:12" x14ac:dyDescent="0.25">
      <c r="A726" s="12">
        <v>79951250</v>
      </c>
      <c r="B726" s="12"/>
      <c r="C726" s="12" t="s">
        <v>2220</v>
      </c>
      <c r="D726" s="4" t="s">
        <v>2221</v>
      </c>
      <c r="E726" s="13">
        <v>3143360895</v>
      </c>
      <c r="F726" s="4" t="s">
        <v>2222</v>
      </c>
      <c r="G726" s="7" t="s">
        <v>144</v>
      </c>
      <c r="H726" s="12">
        <v>305</v>
      </c>
      <c r="I726" s="14">
        <v>3214042.85</v>
      </c>
      <c r="J726" s="14">
        <v>182399.98199999999</v>
      </c>
      <c r="K726" s="3">
        <v>0</v>
      </c>
      <c r="L726" s="15">
        <v>24404.725087400006</v>
      </c>
    </row>
    <row r="727" spans="1:12" x14ac:dyDescent="0.25">
      <c r="A727" s="12">
        <v>79500641</v>
      </c>
      <c r="B727" s="12"/>
      <c r="C727" s="12" t="s">
        <v>2223</v>
      </c>
      <c r="D727" s="4" t="s">
        <v>2224</v>
      </c>
      <c r="E727" s="13">
        <v>3214539824</v>
      </c>
      <c r="F727" s="4" t="s">
        <v>2225</v>
      </c>
      <c r="G727" s="7" t="s">
        <v>144</v>
      </c>
      <c r="H727" s="12">
        <v>305</v>
      </c>
      <c r="I727" s="14">
        <v>3241747.7899999991</v>
      </c>
      <c r="J727" s="14">
        <v>533215.43999999983</v>
      </c>
      <c r="K727" s="3">
        <v>0</v>
      </c>
      <c r="L727" s="15">
        <v>21803.685417499993</v>
      </c>
    </row>
    <row r="728" spans="1:12" x14ac:dyDescent="0.25">
      <c r="A728" s="12">
        <v>19052255</v>
      </c>
      <c r="B728" s="12"/>
      <c r="C728" s="12" t="s">
        <v>2226</v>
      </c>
      <c r="D728" s="4" t="s">
        <v>2227</v>
      </c>
      <c r="E728" s="13">
        <v>3164706569</v>
      </c>
      <c r="F728" s="4" t="s">
        <v>2228</v>
      </c>
      <c r="G728" s="7">
        <v>11001</v>
      </c>
      <c r="H728" s="12">
        <v>305</v>
      </c>
      <c r="I728" s="14">
        <v>3242191.9899999998</v>
      </c>
      <c r="J728" s="14">
        <v>249054.59799999997</v>
      </c>
      <c r="K728" s="3">
        <v>0</v>
      </c>
      <c r="L728" s="15">
        <v>24094.7560056</v>
      </c>
    </row>
    <row r="729" spans="1:12" x14ac:dyDescent="0.25">
      <c r="A729" s="12">
        <v>19135685</v>
      </c>
      <c r="B729" s="12"/>
      <c r="C729" s="12" t="s">
        <v>2229</v>
      </c>
      <c r="D729" s="4" t="s">
        <v>2230</v>
      </c>
      <c r="E729" s="13">
        <v>3006677</v>
      </c>
      <c r="F729" s="4" t="s">
        <v>2231</v>
      </c>
      <c r="G729" s="7" t="s">
        <v>15</v>
      </c>
      <c r="H729" s="12">
        <v>305</v>
      </c>
      <c r="I729" s="14">
        <v>3252198.4400000004</v>
      </c>
      <c r="J729" s="14">
        <v>0.15</v>
      </c>
      <c r="K729" s="3">
        <v>0</v>
      </c>
      <c r="L729" s="15">
        <v>26180.196234500007</v>
      </c>
    </row>
    <row r="730" spans="1:12" x14ac:dyDescent="0.25">
      <c r="A730" s="12">
        <v>900241832</v>
      </c>
      <c r="B730" s="12">
        <v>1</v>
      </c>
      <c r="C730" s="12" t="s">
        <v>2232</v>
      </c>
      <c r="D730" s="4" t="s">
        <v>2233</v>
      </c>
      <c r="E730" s="13">
        <v>3144374582</v>
      </c>
      <c r="F730" s="4" t="s">
        <v>2234</v>
      </c>
      <c r="G730" s="7">
        <v>11001</v>
      </c>
      <c r="H730" s="12">
        <v>305</v>
      </c>
      <c r="I730" s="14">
        <v>3324071.290000001</v>
      </c>
      <c r="J730" s="14">
        <v>0.15</v>
      </c>
      <c r="K730" s="3">
        <v>0</v>
      </c>
      <c r="L730" s="15">
        <v>26758.772677000008</v>
      </c>
    </row>
    <row r="731" spans="1:12" x14ac:dyDescent="0.25">
      <c r="A731" s="12">
        <v>11233213</v>
      </c>
      <c r="B731" s="12"/>
      <c r="C731" s="12" t="s">
        <v>2235</v>
      </c>
      <c r="D731" s="4" t="s">
        <v>2236</v>
      </c>
      <c r="E731" s="13">
        <v>3157979567</v>
      </c>
      <c r="F731" s="4" t="s">
        <v>2237</v>
      </c>
      <c r="G731" s="7">
        <v>11001</v>
      </c>
      <c r="H731" s="12">
        <v>305</v>
      </c>
      <c r="I731" s="14">
        <v>3363619.9999999995</v>
      </c>
      <c r="J731" s="14">
        <v>259223.34600000002</v>
      </c>
      <c r="K731" s="3">
        <v>0</v>
      </c>
      <c r="L731" s="15">
        <v>24990.393064699998</v>
      </c>
    </row>
    <row r="732" spans="1:12" x14ac:dyDescent="0.25">
      <c r="A732" s="12">
        <v>1032439703</v>
      </c>
      <c r="B732" s="12"/>
      <c r="C732" s="12" t="s">
        <v>2238</v>
      </c>
      <c r="D732" s="4" t="s">
        <v>2239</v>
      </c>
      <c r="E732" s="13">
        <v>3102026746</v>
      </c>
      <c r="F732" s="4" t="s">
        <v>2240</v>
      </c>
      <c r="G732" s="7" t="s">
        <v>2241</v>
      </c>
      <c r="H732" s="12">
        <v>305</v>
      </c>
      <c r="I732" s="14">
        <v>3367979.23</v>
      </c>
      <c r="J732" s="14">
        <v>8666.3280000000013</v>
      </c>
      <c r="K732" s="3">
        <v>0</v>
      </c>
      <c r="L732" s="15">
        <v>27042.468861099998</v>
      </c>
    </row>
    <row r="733" spans="1:12" x14ac:dyDescent="0.25">
      <c r="A733" s="12">
        <v>74371103</v>
      </c>
      <c r="B733" s="12"/>
      <c r="C733" s="12" t="s">
        <v>2242</v>
      </c>
      <c r="D733" s="4" t="s">
        <v>2243</v>
      </c>
      <c r="E733" s="13">
        <v>3208062202</v>
      </c>
      <c r="F733" s="4" t="s">
        <v>2244</v>
      </c>
      <c r="G733" s="7" t="s">
        <v>422</v>
      </c>
      <c r="H733" s="12">
        <v>305</v>
      </c>
      <c r="I733" s="14">
        <v>3385331.19</v>
      </c>
      <c r="J733" s="14">
        <v>379946.23799999995</v>
      </c>
      <c r="K733" s="3">
        <v>0</v>
      </c>
      <c r="L733" s="15">
        <v>24193.348863600004</v>
      </c>
    </row>
    <row r="734" spans="1:12" x14ac:dyDescent="0.25">
      <c r="A734" s="12">
        <v>79559448</v>
      </c>
      <c r="B734" s="12"/>
      <c r="C734" s="12" t="s">
        <v>2245</v>
      </c>
      <c r="D734" s="4" t="s">
        <v>2246</v>
      </c>
      <c r="E734" s="13">
        <v>3173815648</v>
      </c>
      <c r="F734" s="4" t="s">
        <v>2247</v>
      </c>
      <c r="G734" s="7" t="s">
        <v>367</v>
      </c>
      <c r="H734" s="12">
        <v>305</v>
      </c>
      <c r="I734" s="14">
        <v>3403757.8399999994</v>
      </c>
      <c r="J734" s="14">
        <v>272541.13799999992</v>
      </c>
      <c r="K734" s="3">
        <v>0</v>
      </c>
      <c r="L734" s="15">
        <v>25206.294451099995</v>
      </c>
    </row>
    <row r="735" spans="1:12" x14ac:dyDescent="0.25">
      <c r="A735" s="12">
        <v>19467883</v>
      </c>
      <c r="B735" s="12"/>
      <c r="C735" s="12" t="s">
        <v>2248</v>
      </c>
      <c r="D735" s="4" t="s">
        <v>2249</v>
      </c>
      <c r="E735" s="13">
        <v>3232262530</v>
      </c>
      <c r="F735" s="4" t="s">
        <v>2250</v>
      </c>
      <c r="G735" s="7">
        <v>11001</v>
      </c>
      <c r="H735" s="12">
        <v>305</v>
      </c>
      <c r="I735" s="14">
        <v>3404394.4800000004</v>
      </c>
      <c r="J735" s="14">
        <v>438093.45600000006</v>
      </c>
      <c r="K735" s="3">
        <v>0</v>
      </c>
      <c r="L735" s="15">
        <v>23878.723243200002</v>
      </c>
    </row>
    <row r="736" spans="1:12" x14ac:dyDescent="0.25">
      <c r="A736" s="12">
        <v>79486977</v>
      </c>
      <c r="B736" s="12"/>
      <c r="C736" s="12" t="s">
        <v>2251</v>
      </c>
      <c r="D736" s="4" t="s">
        <v>2252</v>
      </c>
      <c r="E736" s="13">
        <v>3108119742</v>
      </c>
      <c r="F736" s="4" t="s">
        <v>2253</v>
      </c>
      <c r="G736" s="7">
        <v>11001</v>
      </c>
      <c r="H736" s="12">
        <v>305</v>
      </c>
      <c r="I736" s="14">
        <v>3422139.6100000003</v>
      </c>
      <c r="J736" s="14">
        <v>302815.82400000014</v>
      </c>
      <c r="K736" s="3">
        <v>0</v>
      </c>
      <c r="L736" s="15">
        <v>25110.556477300004</v>
      </c>
    </row>
    <row r="737" spans="1:12" x14ac:dyDescent="0.25">
      <c r="A737" s="12">
        <v>79416363</v>
      </c>
      <c r="B737" s="12"/>
      <c r="C737" s="12" t="s">
        <v>2254</v>
      </c>
      <c r="D737" s="4" t="s">
        <v>2255</v>
      </c>
      <c r="E737" s="13">
        <v>3218034069</v>
      </c>
      <c r="F737" s="4" t="s">
        <v>2256</v>
      </c>
      <c r="G737" s="7">
        <v>11001</v>
      </c>
      <c r="H737" s="12">
        <v>305</v>
      </c>
      <c r="I737" s="14">
        <v>3438406.1999999997</v>
      </c>
      <c r="J737" s="14">
        <v>342927.12199999997</v>
      </c>
      <c r="K737" s="3">
        <v>0</v>
      </c>
      <c r="L737" s="15">
        <v>24918.606577899998</v>
      </c>
    </row>
    <row r="738" spans="1:12" x14ac:dyDescent="0.25">
      <c r="A738" s="12">
        <v>19257562</v>
      </c>
      <c r="B738" s="12"/>
      <c r="C738" s="12" t="s">
        <v>2257</v>
      </c>
      <c r="D738" s="4" t="s">
        <v>2258</v>
      </c>
      <c r="E738" s="13">
        <v>2886596</v>
      </c>
      <c r="F738" s="4" t="s">
        <v>2259</v>
      </c>
      <c r="G738" s="7">
        <v>11001</v>
      </c>
      <c r="H738" s="12">
        <v>305</v>
      </c>
      <c r="I738" s="14">
        <v>3466444</v>
      </c>
      <c r="J738" s="14">
        <v>888.8</v>
      </c>
      <c r="K738" s="3">
        <v>0</v>
      </c>
      <c r="L738" s="15">
        <v>27897.719360000003</v>
      </c>
    </row>
    <row r="739" spans="1:12" x14ac:dyDescent="0.25">
      <c r="A739" s="12">
        <v>11427350</v>
      </c>
      <c r="B739" s="12"/>
      <c r="C739" s="12" t="s">
        <v>2260</v>
      </c>
      <c r="D739" s="4" t="s">
        <v>2261</v>
      </c>
      <c r="E739" s="13">
        <v>3213725778</v>
      </c>
      <c r="F739" s="4" t="s">
        <v>2262</v>
      </c>
      <c r="G739" s="7">
        <v>11001</v>
      </c>
      <c r="H739" s="12">
        <v>305</v>
      </c>
      <c r="I739" s="14">
        <v>3475113.6399999997</v>
      </c>
      <c r="J739" s="14">
        <v>315072.848</v>
      </c>
      <c r="K739" s="3">
        <v>0</v>
      </c>
      <c r="L739" s="15">
        <v>25438.328375599995</v>
      </c>
    </row>
    <row r="740" spans="1:12" x14ac:dyDescent="0.25">
      <c r="A740" s="12">
        <v>4090503</v>
      </c>
      <c r="B740" s="12"/>
      <c r="C740" s="12" t="s">
        <v>2263</v>
      </c>
      <c r="D740" s="4" t="s">
        <v>2264</v>
      </c>
      <c r="E740" s="13">
        <v>3114749211</v>
      </c>
      <c r="F740" s="4" t="s">
        <v>2265</v>
      </c>
      <c r="G740" s="7">
        <v>11001</v>
      </c>
      <c r="H740" s="12">
        <v>305</v>
      </c>
      <c r="I740" s="14">
        <v>3492736.6099999994</v>
      </c>
      <c r="J740" s="14">
        <v>233167.32199999984</v>
      </c>
      <c r="K740" s="3">
        <v>0</v>
      </c>
      <c r="L740" s="15">
        <v>26239.5327684</v>
      </c>
    </row>
    <row r="741" spans="1:12" x14ac:dyDescent="0.25">
      <c r="A741" s="12">
        <v>79722879</v>
      </c>
      <c r="B741" s="12"/>
      <c r="C741" s="12" t="s">
        <v>2266</v>
      </c>
      <c r="D741" s="4" t="s">
        <v>2267</v>
      </c>
      <c r="E741" s="13">
        <v>3186967230</v>
      </c>
      <c r="F741" s="4" t="s">
        <v>2268</v>
      </c>
      <c r="G741" s="7">
        <v>11001</v>
      </c>
      <c r="H741" s="12">
        <v>305</v>
      </c>
      <c r="I741" s="14">
        <v>3661995.16</v>
      </c>
      <c r="J741" s="14">
        <v>294925.08</v>
      </c>
      <c r="K741" s="3">
        <v>0</v>
      </c>
      <c r="L741" s="15">
        <v>27104.914144000002</v>
      </c>
    </row>
    <row r="742" spans="1:12" x14ac:dyDescent="0.25">
      <c r="A742" s="12">
        <v>94391849</v>
      </c>
      <c r="B742" s="12"/>
      <c r="C742" s="12" t="s">
        <v>2269</v>
      </c>
      <c r="D742" s="4" t="s">
        <v>2270</v>
      </c>
      <c r="E742" s="13">
        <v>3153115281</v>
      </c>
      <c r="F742" s="4" t="s">
        <v>2271</v>
      </c>
      <c r="G742" s="7">
        <v>11001</v>
      </c>
      <c r="H742" s="12">
        <v>305</v>
      </c>
      <c r="I742" s="14">
        <v>3687353.5700000012</v>
      </c>
      <c r="J742" s="14">
        <v>439313.5140000002</v>
      </c>
      <c r="K742" s="3">
        <v>0</v>
      </c>
      <c r="L742" s="15">
        <v>26146.722450800007</v>
      </c>
    </row>
    <row r="743" spans="1:12" x14ac:dyDescent="0.25">
      <c r="A743" s="12">
        <v>901466940</v>
      </c>
      <c r="B743" s="12">
        <v>7</v>
      </c>
      <c r="C743" s="12" t="s">
        <v>2272</v>
      </c>
      <c r="D743" s="4" t="s">
        <v>2273</v>
      </c>
      <c r="E743" s="13">
        <v>31553688281</v>
      </c>
      <c r="F743" s="4" t="s">
        <v>2274</v>
      </c>
      <c r="G743" s="7" t="s">
        <v>422</v>
      </c>
      <c r="H743" s="12">
        <v>305</v>
      </c>
      <c r="I743" s="14">
        <v>3697051.9699999983</v>
      </c>
      <c r="J743" s="14">
        <v>0.15</v>
      </c>
      <c r="K743" s="3">
        <v>0</v>
      </c>
      <c r="L743" s="15">
        <v>29761.267150999989</v>
      </c>
    </row>
    <row r="744" spans="1:12" x14ac:dyDescent="0.25">
      <c r="A744" s="12">
        <v>35415980</v>
      </c>
      <c r="B744" s="12"/>
      <c r="C744" s="12" t="s">
        <v>2275</v>
      </c>
      <c r="D744" s="4" t="s">
        <v>2276</v>
      </c>
      <c r="E744" s="13">
        <v>3166214485</v>
      </c>
      <c r="F744" s="4" t="s">
        <v>2277</v>
      </c>
      <c r="G744" s="7">
        <v>11001</v>
      </c>
      <c r="H744" s="12">
        <v>305</v>
      </c>
      <c r="I744" s="14">
        <v>3708111.5499999993</v>
      </c>
      <c r="J744" s="14">
        <v>334795.75599999988</v>
      </c>
      <c r="K744" s="3">
        <v>0</v>
      </c>
      <c r="L744" s="15">
        <v>27155.192141699994</v>
      </c>
    </row>
    <row r="745" spans="1:12" x14ac:dyDescent="0.25">
      <c r="A745" s="12">
        <v>8295524</v>
      </c>
      <c r="B745" s="12"/>
      <c r="C745" s="12" t="s">
        <v>2278</v>
      </c>
      <c r="D745" s="4" t="s">
        <v>2279</v>
      </c>
      <c r="E745" s="13">
        <v>2852063</v>
      </c>
      <c r="F745" s="4" t="s">
        <v>2280</v>
      </c>
      <c r="G745" s="7">
        <v>11001</v>
      </c>
      <c r="H745" s="12">
        <v>305</v>
      </c>
      <c r="I745" s="14">
        <v>3710659.32</v>
      </c>
      <c r="J745" s="14">
        <v>474258.41</v>
      </c>
      <c r="K745" s="3">
        <v>0</v>
      </c>
      <c r="L745" s="15">
        <v>26053.027325499999</v>
      </c>
    </row>
    <row r="746" spans="1:12" x14ac:dyDescent="0.25">
      <c r="A746" s="12">
        <v>4236092</v>
      </c>
      <c r="B746" s="12"/>
      <c r="C746" s="12" t="s">
        <v>2281</v>
      </c>
      <c r="D746" s="4" t="s">
        <v>2282</v>
      </c>
      <c r="E746" s="13">
        <v>3205495043</v>
      </c>
      <c r="F746" s="4" t="s">
        <v>2283</v>
      </c>
      <c r="G746" s="7" t="s">
        <v>403</v>
      </c>
      <c r="H746" s="12">
        <v>305</v>
      </c>
      <c r="I746" s="14">
        <v>3712165.7600000002</v>
      </c>
      <c r="J746" s="14">
        <v>132873.15200000003</v>
      </c>
      <c r="K746" s="3">
        <v>0</v>
      </c>
      <c r="L746" s="15">
        <v>28813.305494400003</v>
      </c>
    </row>
    <row r="747" spans="1:12" x14ac:dyDescent="0.25">
      <c r="A747" s="12">
        <v>4039266</v>
      </c>
      <c r="B747" s="12"/>
      <c r="C747" s="12" t="s">
        <v>2284</v>
      </c>
      <c r="D747" s="4" t="s">
        <v>2285</v>
      </c>
      <c r="E747" s="13">
        <v>3102522143</v>
      </c>
      <c r="F747" s="4" t="s">
        <v>2286</v>
      </c>
      <c r="G747" s="7">
        <v>11001</v>
      </c>
      <c r="H747" s="12">
        <v>305</v>
      </c>
      <c r="I747" s="14">
        <v>3729732.9500000011</v>
      </c>
      <c r="J747" s="14">
        <v>412704.51800000021</v>
      </c>
      <c r="K747" s="3">
        <v>0</v>
      </c>
      <c r="L747" s="15">
        <v>26702.078877600012</v>
      </c>
    </row>
    <row r="748" spans="1:12" x14ac:dyDescent="0.25">
      <c r="A748" s="12">
        <v>52150482</v>
      </c>
      <c r="B748" s="12"/>
      <c r="C748" s="12" t="s">
        <v>2287</v>
      </c>
      <c r="D748" s="4" t="s">
        <v>2288</v>
      </c>
      <c r="E748" s="13">
        <v>3105611652</v>
      </c>
      <c r="F748" s="4" t="s">
        <v>2289</v>
      </c>
      <c r="G748" s="7">
        <v>11001</v>
      </c>
      <c r="H748" s="12">
        <v>305</v>
      </c>
      <c r="I748" s="14">
        <v>3752389.24</v>
      </c>
      <c r="J748" s="14">
        <v>263198.826</v>
      </c>
      <c r="K748" s="3">
        <v>0</v>
      </c>
      <c r="L748" s="15">
        <v>28087.982832700003</v>
      </c>
    </row>
    <row r="749" spans="1:12" x14ac:dyDescent="0.25">
      <c r="A749" s="12">
        <v>9060330</v>
      </c>
      <c r="B749" s="12"/>
      <c r="C749" s="12" t="s">
        <v>2290</v>
      </c>
      <c r="D749" s="4" t="s">
        <v>2291</v>
      </c>
      <c r="E749" s="13">
        <v>2145098</v>
      </c>
      <c r="F749" s="4" t="s">
        <v>2292</v>
      </c>
      <c r="G749" s="7">
        <v>11001</v>
      </c>
      <c r="H749" s="12">
        <v>305</v>
      </c>
      <c r="I749" s="14">
        <v>3758529.1199999996</v>
      </c>
      <c r="J749" s="14">
        <v>312569.99399999995</v>
      </c>
      <c r="K749" s="3">
        <v>0</v>
      </c>
      <c r="L749" s="15">
        <v>27739.970964299999</v>
      </c>
    </row>
    <row r="750" spans="1:12" x14ac:dyDescent="0.25">
      <c r="A750" s="12">
        <v>17066805</v>
      </c>
      <c r="B750" s="12"/>
      <c r="C750" s="12" t="s">
        <v>2293</v>
      </c>
      <c r="D750" s="4" t="s">
        <v>2294</v>
      </c>
      <c r="E750" s="13">
        <v>3158485354</v>
      </c>
      <c r="F750" s="4" t="s">
        <v>2295</v>
      </c>
      <c r="G750" s="7">
        <v>11001</v>
      </c>
      <c r="H750" s="12">
        <v>305</v>
      </c>
      <c r="I750" s="14">
        <v>3770812.8699999992</v>
      </c>
      <c r="J750" s="14">
        <v>302317.17399999982</v>
      </c>
      <c r="K750" s="3">
        <v>0</v>
      </c>
      <c r="L750" s="15">
        <v>27921.390352799997</v>
      </c>
    </row>
    <row r="751" spans="1:12" x14ac:dyDescent="0.25">
      <c r="A751" s="12">
        <v>7166531</v>
      </c>
      <c r="B751" s="12"/>
      <c r="C751" s="12" t="s">
        <v>2296</v>
      </c>
      <c r="D751" s="4" t="s">
        <v>2297</v>
      </c>
      <c r="E751" s="13">
        <v>3102881373</v>
      </c>
      <c r="F751" s="4" t="s">
        <v>2298</v>
      </c>
      <c r="G751" s="7" t="s">
        <v>367</v>
      </c>
      <c r="H751" s="12">
        <v>305</v>
      </c>
      <c r="I751" s="14">
        <v>3787828.5999999996</v>
      </c>
      <c r="J751" s="14">
        <v>0.15</v>
      </c>
      <c r="K751" s="3">
        <v>0</v>
      </c>
      <c r="L751" s="15">
        <v>30492.019022499997</v>
      </c>
    </row>
    <row r="752" spans="1:12" x14ac:dyDescent="0.25">
      <c r="A752" s="12">
        <v>79148829</v>
      </c>
      <c r="B752" s="12"/>
      <c r="C752" s="12" t="s">
        <v>2299</v>
      </c>
      <c r="D752" s="4" t="s">
        <v>2300</v>
      </c>
      <c r="E752" s="13">
        <v>2156781</v>
      </c>
      <c r="F752" s="4" t="s">
        <v>2301</v>
      </c>
      <c r="G752" s="7">
        <v>11001</v>
      </c>
      <c r="H752" s="12">
        <v>305</v>
      </c>
      <c r="I752" s="14">
        <v>3789219.5300000003</v>
      </c>
      <c r="J752" s="14">
        <v>189575.83799999996</v>
      </c>
      <c r="K752" s="3">
        <v>0</v>
      </c>
      <c r="L752" s="15">
        <v>28977.131720600002</v>
      </c>
    </row>
    <row r="753" spans="1:12" x14ac:dyDescent="0.25">
      <c r="A753" s="12">
        <v>46380763</v>
      </c>
      <c r="B753" s="12"/>
      <c r="C753" s="12" t="s">
        <v>2302</v>
      </c>
      <c r="D753" s="4" t="s">
        <v>2303</v>
      </c>
      <c r="E753" s="13">
        <v>3222238958</v>
      </c>
      <c r="F753" s="4" t="s">
        <v>2304</v>
      </c>
      <c r="G753" s="7" t="s">
        <v>560</v>
      </c>
      <c r="H753" s="12">
        <v>305</v>
      </c>
      <c r="I753" s="14">
        <v>3802374.24</v>
      </c>
      <c r="J753" s="14">
        <v>0.15</v>
      </c>
      <c r="K753" s="3">
        <v>0</v>
      </c>
      <c r="L753" s="15">
        <v>30609.111424500006</v>
      </c>
    </row>
    <row r="754" spans="1:12" x14ac:dyDescent="0.25">
      <c r="A754" s="12">
        <v>1018413854</v>
      </c>
      <c r="B754" s="12"/>
      <c r="C754" s="12" t="s">
        <v>2305</v>
      </c>
      <c r="D754" s="4" t="s">
        <v>2306</v>
      </c>
      <c r="E754" s="13">
        <v>3118096970</v>
      </c>
      <c r="F754" s="4" t="s">
        <v>2307</v>
      </c>
      <c r="G754" s="7">
        <v>11001</v>
      </c>
      <c r="H754" s="12">
        <v>305</v>
      </c>
      <c r="I754" s="14">
        <v>3859359.759999997</v>
      </c>
      <c r="J754" s="14">
        <v>610371.95199999947</v>
      </c>
      <c r="K754" s="3">
        <v>0</v>
      </c>
      <c r="L754" s="15">
        <v>26154.351854399982</v>
      </c>
    </row>
    <row r="755" spans="1:12" x14ac:dyDescent="0.25">
      <c r="A755" s="12">
        <v>91280813</v>
      </c>
      <c r="B755" s="12"/>
      <c r="C755" s="12" t="s">
        <v>2308</v>
      </c>
      <c r="D755" s="4" t="s">
        <v>2309</v>
      </c>
      <c r="E755" s="13">
        <v>3002062484</v>
      </c>
      <c r="F755" s="4" t="s">
        <v>2310</v>
      </c>
      <c r="G755" s="7">
        <v>11001</v>
      </c>
      <c r="H755" s="12">
        <v>305</v>
      </c>
      <c r="I755" s="14">
        <v>3868994.0599999996</v>
      </c>
      <c r="J755" s="14">
        <v>488408.22399999993</v>
      </c>
      <c r="K755" s="3">
        <v>0</v>
      </c>
      <c r="L755" s="15">
        <v>27213.715979799999</v>
      </c>
    </row>
    <row r="756" spans="1:12" x14ac:dyDescent="0.25">
      <c r="A756" s="12">
        <v>6757622</v>
      </c>
      <c r="B756" s="12"/>
      <c r="C756" s="12" t="s">
        <v>2311</v>
      </c>
      <c r="D756" s="4" t="s">
        <v>2312</v>
      </c>
      <c r="E756" s="13">
        <v>3114489003</v>
      </c>
      <c r="F756" s="4" t="s">
        <v>2313</v>
      </c>
      <c r="G756" s="7">
        <v>11001</v>
      </c>
      <c r="H756" s="12">
        <v>305</v>
      </c>
      <c r="I756" s="14">
        <v>3871570.42</v>
      </c>
      <c r="J756" s="14">
        <v>268958.84000000003</v>
      </c>
      <c r="K756" s="3">
        <v>0</v>
      </c>
      <c r="L756" s="15">
        <v>29001.023219000002</v>
      </c>
    </row>
    <row r="757" spans="1:12" x14ac:dyDescent="0.25">
      <c r="A757" s="12">
        <v>52198240</v>
      </c>
      <c r="B757" s="12"/>
      <c r="C757" s="12" t="s">
        <v>2314</v>
      </c>
      <c r="D757" s="4" t="s">
        <v>2315</v>
      </c>
      <c r="E757" s="13">
        <v>3107790307</v>
      </c>
      <c r="F757" s="4" t="s">
        <v>2316</v>
      </c>
      <c r="G757" s="7">
        <v>11001</v>
      </c>
      <c r="H757" s="12">
        <v>305</v>
      </c>
      <c r="I757" s="14">
        <v>3881401.0000000009</v>
      </c>
      <c r="J757" s="14">
        <v>93519.2</v>
      </c>
      <c r="K757" s="3">
        <v>0</v>
      </c>
      <c r="L757" s="15">
        <v>30492.448490000006</v>
      </c>
    </row>
    <row r="758" spans="1:12" x14ac:dyDescent="0.25">
      <c r="A758" s="12">
        <v>33146150</v>
      </c>
      <c r="B758" s="12"/>
      <c r="C758" s="12" t="s">
        <v>2317</v>
      </c>
      <c r="D758" s="4" t="s">
        <v>2318</v>
      </c>
      <c r="E758" s="13">
        <v>3192526711</v>
      </c>
      <c r="F758" s="4" t="s">
        <v>2319</v>
      </c>
      <c r="G758" s="7">
        <v>11001</v>
      </c>
      <c r="H758" s="12">
        <v>305</v>
      </c>
      <c r="I758" s="14">
        <v>3900921.0700000003</v>
      </c>
      <c r="J758" s="14">
        <v>57574.414000000004</v>
      </c>
      <c r="K758" s="3">
        <v>0</v>
      </c>
      <c r="L758" s="15">
        <v>30938.940580800005</v>
      </c>
    </row>
    <row r="759" spans="1:12" x14ac:dyDescent="0.25">
      <c r="A759" s="12">
        <v>8220538</v>
      </c>
      <c r="B759" s="12"/>
      <c r="C759" s="12" t="s">
        <v>2320</v>
      </c>
      <c r="D759" s="4" t="s">
        <v>2321</v>
      </c>
      <c r="E759" s="13">
        <v>3112235610</v>
      </c>
      <c r="F759" s="4" t="s">
        <v>2322</v>
      </c>
      <c r="G759" s="7">
        <v>11001</v>
      </c>
      <c r="H759" s="12">
        <v>305</v>
      </c>
      <c r="I759" s="14">
        <v>3934190.919999999</v>
      </c>
      <c r="J759" s="14">
        <v>444498.18399999978</v>
      </c>
      <c r="K759" s="3">
        <v>0</v>
      </c>
      <c r="L759" s="15">
        <v>28092.026524799996</v>
      </c>
    </row>
    <row r="760" spans="1:12" x14ac:dyDescent="0.25">
      <c r="A760" s="12">
        <v>10258921</v>
      </c>
      <c r="B760" s="12"/>
      <c r="C760" s="12" t="s">
        <v>2323</v>
      </c>
      <c r="D760" s="4" t="s">
        <v>2324</v>
      </c>
      <c r="E760" s="13">
        <v>3165270086</v>
      </c>
      <c r="F760" s="4" t="s">
        <v>2325</v>
      </c>
      <c r="G760" s="7">
        <v>11001</v>
      </c>
      <c r="H760" s="12">
        <v>305</v>
      </c>
      <c r="I760" s="14">
        <v>4055628.7499999995</v>
      </c>
      <c r="J760" s="14">
        <v>305186.92599999986</v>
      </c>
      <c r="K760" s="3">
        <v>0</v>
      </c>
      <c r="L760" s="15">
        <v>30191.056683199997</v>
      </c>
    </row>
    <row r="761" spans="1:12" x14ac:dyDescent="0.25">
      <c r="A761" s="12">
        <v>17177063</v>
      </c>
      <c r="B761" s="12"/>
      <c r="C761" s="12" t="s">
        <v>2326</v>
      </c>
      <c r="D761" s="4" t="s">
        <v>2327</v>
      </c>
      <c r="E761" s="13">
        <v>6942586</v>
      </c>
      <c r="F761" s="4" t="s">
        <v>2328</v>
      </c>
      <c r="G761" s="7">
        <v>11001</v>
      </c>
      <c r="H761" s="12">
        <v>305</v>
      </c>
      <c r="I761" s="14">
        <v>4096380.8199999994</v>
      </c>
      <c r="J761" s="14">
        <v>0.15</v>
      </c>
      <c r="K761" s="3">
        <v>0</v>
      </c>
      <c r="L761" s="15">
        <v>32975.8643935</v>
      </c>
    </row>
    <row r="762" spans="1:12" x14ac:dyDescent="0.25">
      <c r="A762" s="12">
        <v>1026563255</v>
      </c>
      <c r="B762" s="12"/>
      <c r="C762" s="12" t="s">
        <v>2329</v>
      </c>
      <c r="D762" s="4" t="s">
        <v>2330</v>
      </c>
      <c r="E762" s="13">
        <v>3134961737</v>
      </c>
      <c r="F762" s="4" t="s">
        <v>2331</v>
      </c>
      <c r="G762" s="7">
        <v>11001</v>
      </c>
      <c r="H762" s="12">
        <v>305</v>
      </c>
      <c r="I762" s="14">
        <v>4105481.59</v>
      </c>
      <c r="J762" s="14">
        <v>27685.338</v>
      </c>
      <c r="K762" s="3">
        <v>0</v>
      </c>
      <c r="L762" s="15">
        <v>32826.259828599999</v>
      </c>
    </row>
    <row r="763" spans="1:12" x14ac:dyDescent="0.25">
      <c r="A763" s="12">
        <v>79123614</v>
      </c>
      <c r="B763" s="12"/>
      <c r="C763" s="12" t="s">
        <v>2332</v>
      </c>
      <c r="D763" s="4" t="s">
        <v>2333</v>
      </c>
      <c r="E763" s="13">
        <v>3377881</v>
      </c>
      <c r="F763" s="4" t="s">
        <v>2334</v>
      </c>
      <c r="G763" s="7">
        <v>11001</v>
      </c>
      <c r="H763" s="12">
        <v>305</v>
      </c>
      <c r="I763" s="14">
        <v>4145204.94</v>
      </c>
      <c r="J763" s="14">
        <v>0.15</v>
      </c>
      <c r="K763" s="3">
        <v>0</v>
      </c>
      <c r="L763" s="15">
        <v>33368.898559500005</v>
      </c>
    </row>
    <row r="764" spans="1:12" x14ac:dyDescent="0.25">
      <c r="A764" s="12">
        <v>901525665</v>
      </c>
      <c r="B764" s="12">
        <v>1</v>
      </c>
      <c r="C764" s="12" t="s">
        <v>2335</v>
      </c>
      <c r="D764" s="4" t="s">
        <v>2336</v>
      </c>
      <c r="E764" s="13">
        <v>3002692484</v>
      </c>
      <c r="F764" s="4" t="s">
        <v>2337</v>
      </c>
      <c r="G764" s="7">
        <v>11001</v>
      </c>
      <c r="H764" s="12">
        <v>305</v>
      </c>
      <c r="I764" s="14">
        <v>4261539.22</v>
      </c>
      <c r="J764" s="14">
        <v>0.15</v>
      </c>
      <c r="K764" s="3">
        <v>0</v>
      </c>
      <c r="L764" s="15">
        <v>34305.389513499998</v>
      </c>
    </row>
    <row r="765" spans="1:12" x14ac:dyDescent="0.25">
      <c r="A765" s="12">
        <v>79548056</v>
      </c>
      <c r="B765" s="12"/>
      <c r="C765" s="12" t="s">
        <v>2338</v>
      </c>
      <c r="D765" s="4" t="s">
        <v>2339</v>
      </c>
      <c r="E765" s="13">
        <v>7813899</v>
      </c>
      <c r="F765" s="4" t="s">
        <v>2340</v>
      </c>
      <c r="G765" s="7">
        <v>11001</v>
      </c>
      <c r="H765" s="12">
        <v>305</v>
      </c>
      <c r="I765" s="14">
        <v>4296551.0000000019</v>
      </c>
      <c r="J765" s="14">
        <v>447141.00000000029</v>
      </c>
      <c r="K765" s="3">
        <v>0</v>
      </c>
      <c r="L765" s="15">
        <v>30987.750500000013</v>
      </c>
    </row>
    <row r="766" spans="1:12" x14ac:dyDescent="0.25">
      <c r="A766" s="12">
        <v>19419214</v>
      </c>
      <c r="B766" s="12"/>
      <c r="C766" s="12" t="s">
        <v>2341</v>
      </c>
      <c r="D766" s="4" t="s">
        <v>2342</v>
      </c>
      <c r="E766" s="13">
        <v>3165220641</v>
      </c>
      <c r="F766" s="4" t="s">
        <v>746</v>
      </c>
      <c r="G766" s="7">
        <v>11001</v>
      </c>
      <c r="H766" s="12">
        <v>305</v>
      </c>
      <c r="I766" s="14">
        <v>4303460.0399999991</v>
      </c>
      <c r="J766" s="14">
        <v>366433.69599999994</v>
      </c>
      <c r="K766" s="3">
        <v>0</v>
      </c>
      <c r="L766" s="15">
        <v>31693.062069199994</v>
      </c>
    </row>
    <row r="767" spans="1:12" x14ac:dyDescent="0.25">
      <c r="A767" s="12">
        <v>1052385264</v>
      </c>
      <c r="B767" s="12"/>
      <c r="C767" s="12" t="s">
        <v>2343</v>
      </c>
      <c r="D767" s="4" t="s">
        <v>2344</v>
      </c>
      <c r="E767" s="13">
        <v>3222182014</v>
      </c>
      <c r="F767" s="4" t="s">
        <v>2345</v>
      </c>
      <c r="G767" s="7">
        <v>11001</v>
      </c>
      <c r="H767" s="12">
        <v>305</v>
      </c>
      <c r="I767" s="14">
        <v>4403084</v>
      </c>
      <c r="J767" s="14">
        <v>0.15</v>
      </c>
      <c r="K767" s="3">
        <v>0</v>
      </c>
      <c r="L767" s="15">
        <v>35444.824992499998</v>
      </c>
    </row>
    <row r="768" spans="1:12" x14ac:dyDescent="0.25">
      <c r="A768" s="12">
        <v>79127135</v>
      </c>
      <c r="B768" s="12"/>
      <c r="C768" s="12" t="s">
        <v>2346</v>
      </c>
      <c r="D768" s="4" t="s">
        <v>2347</v>
      </c>
      <c r="E768" s="13">
        <v>3104801375</v>
      </c>
      <c r="F768" s="4" t="s">
        <v>2348</v>
      </c>
      <c r="G768" s="7">
        <v>11001</v>
      </c>
      <c r="H768" s="12">
        <v>305</v>
      </c>
      <c r="I768" s="14">
        <v>4409512.0199999996</v>
      </c>
      <c r="J768" s="14">
        <v>195920.56599999999</v>
      </c>
      <c r="K768" s="3">
        <v>0</v>
      </c>
      <c r="L768" s="15">
        <v>33919.411204700002</v>
      </c>
    </row>
    <row r="769" spans="1:12" x14ac:dyDescent="0.25">
      <c r="A769" s="12">
        <v>13722470</v>
      </c>
      <c r="B769" s="12"/>
      <c r="C769" s="12" t="s">
        <v>2349</v>
      </c>
      <c r="D769" s="4" t="s">
        <v>2350</v>
      </c>
      <c r="E769" s="13">
        <v>3204892017</v>
      </c>
      <c r="F769" s="4" t="s">
        <v>2351</v>
      </c>
      <c r="G769" s="7" t="s">
        <v>367</v>
      </c>
      <c r="H769" s="12">
        <v>305</v>
      </c>
      <c r="I769" s="14">
        <v>4462813.25</v>
      </c>
      <c r="J769" s="14">
        <v>0.15</v>
      </c>
      <c r="K769" s="3">
        <v>0</v>
      </c>
      <c r="L769" s="15">
        <v>35925.645454999998</v>
      </c>
    </row>
    <row r="770" spans="1:12" x14ac:dyDescent="0.25">
      <c r="A770" s="12">
        <v>1143354726</v>
      </c>
      <c r="B770" s="12"/>
      <c r="C770" s="12" t="s">
        <v>2352</v>
      </c>
      <c r="D770" s="4" t="s">
        <v>2353</v>
      </c>
      <c r="E770" s="13">
        <v>3102888127</v>
      </c>
      <c r="F770" s="4" t="s">
        <v>2354</v>
      </c>
      <c r="G770" s="7" t="s">
        <v>221</v>
      </c>
      <c r="H770" s="12">
        <v>305</v>
      </c>
      <c r="I770" s="14">
        <v>4517371.49</v>
      </c>
      <c r="J770" s="14">
        <v>453314.29799999995</v>
      </c>
      <c r="K770" s="3">
        <v>0</v>
      </c>
      <c r="L770" s="15">
        <v>32715.660395600004</v>
      </c>
    </row>
    <row r="771" spans="1:12" x14ac:dyDescent="0.25">
      <c r="A771" s="12">
        <v>79346621</v>
      </c>
      <c r="B771" s="12"/>
      <c r="C771" s="12" t="s">
        <v>2355</v>
      </c>
      <c r="D771" s="4" t="s">
        <v>2356</v>
      </c>
      <c r="E771" s="13">
        <v>3153656627</v>
      </c>
      <c r="F771" s="4" t="s">
        <v>2357</v>
      </c>
      <c r="G771" s="7">
        <v>11001</v>
      </c>
      <c r="H771" s="12">
        <v>305</v>
      </c>
      <c r="I771" s="14">
        <v>4608181.2600000007</v>
      </c>
      <c r="J771" s="14">
        <v>347942.36200000002</v>
      </c>
      <c r="K771" s="3">
        <v>0</v>
      </c>
      <c r="L771" s="15">
        <v>34294.923128900009</v>
      </c>
    </row>
    <row r="772" spans="1:12" x14ac:dyDescent="0.25">
      <c r="A772" s="12">
        <v>1057585606</v>
      </c>
      <c r="B772" s="12"/>
      <c r="C772" s="12" t="s">
        <v>2358</v>
      </c>
      <c r="D772" s="4" t="s">
        <v>2359</v>
      </c>
      <c r="E772" s="13">
        <v>3183912706</v>
      </c>
      <c r="F772" s="4" t="s">
        <v>2360</v>
      </c>
      <c r="G772" s="7" t="s">
        <v>560</v>
      </c>
      <c r="H772" s="12">
        <v>305</v>
      </c>
      <c r="I772" s="14">
        <v>4667221.12</v>
      </c>
      <c r="J772" s="14">
        <v>208444.22400000002</v>
      </c>
      <c r="K772" s="3">
        <v>0</v>
      </c>
      <c r="L772" s="15">
        <v>35893.154012799998</v>
      </c>
    </row>
    <row r="773" spans="1:12" x14ac:dyDescent="0.25">
      <c r="A773" s="12">
        <v>20227718</v>
      </c>
      <c r="B773" s="12"/>
      <c r="C773" s="12" t="s">
        <v>2361</v>
      </c>
      <c r="D773" s="4" t="s">
        <v>2362</v>
      </c>
      <c r="E773" s="13">
        <v>3102700433</v>
      </c>
      <c r="F773" s="4" t="s">
        <v>2363</v>
      </c>
      <c r="G773" s="7">
        <v>11001</v>
      </c>
      <c r="H773" s="12">
        <v>305</v>
      </c>
      <c r="I773" s="14">
        <v>4711492</v>
      </c>
      <c r="J773" s="14">
        <v>291298.40000000002</v>
      </c>
      <c r="K773" s="3">
        <v>0</v>
      </c>
      <c r="L773" s="15">
        <v>35582.55848</v>
      </c>
    </row>
    <row r="774" spans="1:12" x14ac:dyDescent="0.25">
      <c r="A774" s="12">
        <v>80109040</v>
      </c>
      <c r="B774" s="12"/>
      <c r="C774" s="12" t="s">
        <v>2364</v>
      </c>
      <c r="D774" s="4" t="s">
        <v>2365</v>
      </c>
      <c r="E774" s="13">
        <v>3102126244</v>
      </c>
      <c r="F774" s="4" t="s">
        <v>2366</v>
      </c>
      <c r="G774" s="7">
        <v>11001</v>
      </c>
      <c r="H774" s="12">
        <v>305</v>
      </c>
      <c r="I774" s="14">
        <v>4743763.8899999997</v>
      </c>
      <c r="J774" s="14">
        <v>193573.44999999992</v>
      </c>
      <c r="K774" s="3">
        <v>0</v>
      </c>
      <c r="L774" s="15">
        <v>36629.033041999995</v>
      </c>
    </row>
    <row r="775" spans="1:12" x14ac:dyDescent="0.25">
      <c r="A775" s="12">
        <v>79054281</v>
      </c>
      <c r="B775" s="12"/>
      <c r="C775" s="12" t="s">
        <v>2367</v>
      </c>
      <c r="D775" s="4" t="s">
        <v>2368</v>
      </c>
      <c r="E775" s="13">
        <v>3186935464</v>
      </c>
      <c r="F775" s="4" t="s">
        <v>2369</v>
      </c>
      <c r="G775" s="7">
        <v>11001</v>
      </c>
      <c r="H775" s="12">
        <v>305</v>
      </c>
      <c r="I775" s="14">
        <v>4785943.1400000006</v>
      </c>
      <c r="J775" s="14">
        <v>680971.81600000022</v>
      </c>
      <c r="K775" s="3">
        <v>0</v>
      </c>
      <c r="L775" s="15">
        <v>33045.019158200004</v>
      </c>
    </row>
    <row r="776" spans="1:12" x14ac:dyDescent="0.25">
      <c r="A776" s="12">
        <v>79948522</v>
      </c>
      <c r="B776" s="12"/>
      <c r="C776" s="12" t="s">
        <v>2370</v>
      </c>
      <c r="D776" s="4" t="s">
        <v>2371</v>
      </c>
      <c r="E776" s="13">
        <v>3106187343</v>
      </c>
      <c r="F776" s="4" t="s">
        <v>2372</v>
      </c>
      <c r="G776" s="7">
        <v>11001</v>
      </c>
      <c r="H776" s="12">
        <v>305</v>
      </c>
      <c r="I776" s="14">
        <v>4825850.2600000007</v>
      </c>
      <c r="J776" s="14">
        <v>519854.42400000029</v>
      </c>
      <c r="K776" s="3">
        <v>0</v>
      </c>
      <c r="L776" s="15">
        <v>34663.266479800004</v>
      </c>
    </row>
    <row r="777" spans="1:12" x14ac:dyDescent="0.25">
      <c r="A777" s="12">
        <v>10519021</v>
      </c>
      <c r="B777" s="12"/>
      <c r="C777" s="12" t="s">
        <v>2373</v>
      </c>
      <c r="D777" s="4" t="s">
        <v>2374</v>
      </c>
      <c r="E777" s="13">
        <v>3153907128</v>
      </c>
      <c r="F777" s="4" t="s">
        <v>2375</v>
      </c>
      <c r="G777" s="7">
        <v>11001</v>
      </c>
      <c r="H777" s="12">
        <v>305</v>
      </c>
      <c r="I777" s="14">
        <v>4911986.72</v>
      </c>
      <c r="J777" s="14">
        <v>321523.27</v>
      </c>
      <c r="K777" s="3">
        <v>0</v>
      </c>
      <c r="L777" s="15">
        <v>36953.230772499992</v>
      </c>
    </row>
    <row r="778" spans="1:12" x14ac:dyDescent="0.25">
      <c r="A778" s="12">
        <v>10166541</v>
      </c>
      <c r="B778" s="12"/>
      <c r="C778" s="12" t="s">
        <v>2376</v>
      </c>
      <c r="D778" s="4" t="s">
        <v>2377</v>
      </c>
      <c r="E778" s="13">
        <v>3213710208</v>
      </c>
      <c r="F778" s="4" t="s">
        <v>2378</v>
      </c>
      <c r="G778" s="7" t="s">
        <v>144</v>
      </c>
      <c r="H778" s="12">
        <v>305</v>
      </c>
      <c r="I778" s="14">
        <v>4912537.9699999988</v>
      </c>
      <c r="J778" s="14">
        <v>532399.31399999966</v>
      </c>
      <c r="K778" s="3">
        <v>0</v>
      </c>
      <c r="L778" s="15">
        <v>35260.116180799996</v>
      </c>
    </row>
    <row r="779" spans="1:12" x14ac:dyDescent="0.25">
      <c r="A779" s="12">
        <v>20158685</v>
      </c>
      <c r="B779" s="12"/>
      <c r="C779" s="12" t="s">
        <v>2379</v>
      </c>
      <c r="D779" s="4" t="s">
        <v>2380</v>
      </c>
      <c r="E779" s="13">
        <v>3023761564</v>
      </c>
      <c r="F779" s="4" t="s">
        <v>2381</v>
      </c>
      <c r="G779" s="7">
        <v>11001</v>
      </c>
      <c r="H779" s="12">
        <v>305</v>
      </c>
      <c r="I779" s="14">
        <v>4924562.16</v>
      </c>
      <c r="J779" s="14">
        <v>402368.47799999994</v>
      </c>
      <c r="K779" s="3">
        <v>0</v>
      </c>
      <c r="L779" s="15">
        <v>36403.659140099997</v>
      </c>
    </row>
    <row r="780" spans="1:12" x14ac:dyDescent="0.25">
      <c r="A780" s="12">
        <v>79542228</v>
      </c>
      <c r="B780" s="12"/>
      <c r="C780" s="12" t="s">
        <v>2382</v>
      </c>
      <c r="D780" s="4" t="s">
        <v>2383</v>
      </c>
      <c r="E780" s="13">
        <v>2630564</v>
      </c>
      <c r="F780" s="4" t="s">
        <v>2384</v>
      </c>
      <c r="G780" s="7">
        <v>11001</v>
      </c>
      <c r="H780" s="12">
        <v>305</v>
      </c>
      <c r="I780" s="14">
        <v>4926511.1500000013</v>
      </c>
      <c r="J780" s="14">
        <v>497397.68800000026</v>
      </c>
      <c r="K780" s="3">
        <v>0</v>
      </c>
      <c r="L780" s="15">
        <v>35654.363369100007</v>
      </c>
    </row>
    <row r="781" spans="1:12" x14ac:dyDescent="0.25">
      <c r="A781" s="12">
        <v>6770911</v>
      </c>
      <c r="B781" s="12"/>
      <c r="C781" s="12" t="s">
        <v>2385</v>
      </c>
      <c r="D781" s="4" t="s">
        <v>2386</v>
      </c>
      <c r="E781" s="13">
        <v>3102938923</v>
      </c>
      <c r="F781" s="4" t="s">
        <v>2387</v>
      </c>
      <c r="G781" s="7">
        <v>11001</v>
      </c>
      <c r="H781" s="12">
        <v>305</v>
      </c>
      <c r="I781" s="14">
        <v>4947616.8499999996</v>
      </c>
      <c r="J781" s="14">
        <v>158496.65</v>
      </c>
      <c r="K781" s="3">
        <v>0</v>
      </c>
      <c r="L781" s="15">
        <v>38552.417609999997</v>
      </c>
    </row>
    <row r="782" spans="1:12" x14ac:dyDescent="0.25">
      <c r="A782" s="12">
        <v>19458000</v>
      </c>
      <c r="B782" s="12"/>
      <c r="C782" s="12" t="s">
        <v>2388</v>
      </c>
      <c r="D782" s="4" t="s">
        <v>2389</v>
      </c>
      <c r="E782" s="13">
        <v>9494459169</v>
      </c>
      <c r="F782" s="4" t="s">
        <v>2390</v>
      </c>
      <c r="G782" s="7" t="s">
        <v>305</v>
      </c>
      <c r="H782" s="12">
        <v>305</v>
      </c>
      <c r="I782" s="14">
        <v>4970748.37</v>
      </c>
      <c r="J782" s="14">
        <v>327602.45199999993</v>
      </c>
      <c r="K782" s="3">
        <v>0</v>
      </c>
      <c r="L782" s="15">
        <v>37377.324639900005</v>
      </c>
    </row>
    <row r="783" spans="1:12" x14ac:dyDescent="0.25">
      <c r="A783" s="12">
        <v>9534230</v>
      </c>
      <c r="B783" s="12"/>
      <c r="C783" s="12" t="s">
        <v>2391</v>
      </c>
      <c r="D783" s="4" t="s">
        <v>2392</v>
      </c>
      <c r="E783" s="13">
        <v>3113666897</v>
      </c>
      <c r="F783" s="4" t="s">
        <v>2393</v>
      </c>
      <c r="G783" s="7" t="s">
        <v>560</v>
      </c>
      <c r="H783" s="12">
        <v>305</v>
      </c>
      <c r="I783" s="14">
        <v>5000847.8599999994</v>
      </c>
      <c r="J783" s="14">
        <v>0.15</v>
      </c>
      <c r="K783" s="3">
        <v>0</v>
      </c>
      <c r="L783" s="15">
        <v>40256.82406549999</v>
      </c>
    </row>
    <row r="784" spans="1:12" x14ac:dyDescent="0.25">
      <c r="A784" s="12">
        <v>19066282</v>
      </c>
      <c r="B784" s="12"/>
      <c r="C784" s="12" t="s">
        <v>2394</v>
      </c>
      <c r="D784" s="4" t="s">
        <v>2395</v>
      </c>
      <c r="E784" s="13">
        <v>3183118392</v>
      </c>
      <c r="F784" s="4" t="s">
        <v>2396</v>
      </c>
      <c r="G784" s="7">
        <v>11001</v>
      </c>
      <c r="H784" s="12">
        <v>305</v>
      </c>
      <c r="I784" s="14">
        <v>5040436.8500000006</v>
      </c>
      <c r="J784" s="14">
        <v>274243.29600000003</v>
      </c>
      <c r="K784" s="3">
        <v>0</v>
      </c>
      <c r="L784" s="15">
        <v>38367.858109700006</v>
      </c>
    </row>
    <row r="785" spans="1:12" x14ac:dyDescent="0.25">
      <c r="A785" s="12">
        <v>9526640</v>
      </c>
      <c r="B785" s="12"/>
      <c r="C785" s="12" t="s">
        <v>2397</v>
      </c>
      <c r="D785" s="4" t="s">
        <v>2398</v>
      </c>
      <c r="E785" s="13">
        <v>3143864346</v>
      </c>
      <c r="F785" s="4" t="s">
        <v>2399</v>
      </c>
      <c r="G785" s="7">
        <v>11001</v>
      </c>
      <c r="H785" s="12">
        <v>305</v>
      </c>
      <c r="I785" s="14">
        <v>5126060.0100000016</v>
      </c>
      <c r="J785" s="14">
        <v>431392.67400000035</v>
      </c>
      <c r="K785" s="3">
        <v>0</v>
      </c>
      <c r="L785" s="15">
        <v>37792.07205480001</v>
      </c>
    </row>
    <row r="786" spans="1:12" x14ac:dyDescent="0.25">
      <c r="A786" s="12">
        <v>79351423</v>
      </c>
      <c r="B786" s="12"/>
      <c r="C786" s="12" t="s">
        <v>2400</v>
      </c>
      <c r="D786" s="4" t="s">
        <v>2401</v>
      </c>
      <c r="E786" s="13">
        <v>3008116862</v>
      </c>
      <c r="F786" s="4" t="s">
        <v>2402</v>
      </c>
      <c r="G786" s="7">
        <v>11001</v>
      </c>
      <c r="H786" s="12">
        <v>305</v>
      </c>
      <c r="I786" s="14">
        <v>5138962.0599999996</v>
      </c>
      <c r="J786" s="14">
        <v>0.15</v>
      </c>
      <c r="K786" s="3">
        <v>0</v>
      </c>
      <c r="L786" s="15">
        <v>41368.643375499996</v>
      </c>
    </row>
    <row r="787" spans="1:12" x14ac:dyDescent="0.25">
      <c r="A787" s="12">
        <v>79402871</v>
      </c>
      <c r="B787" s="12"/>
      <c r="C787" s="12" t="s">
        <v>2403</v>
      </c>
      <c r="D787" s="4" t="s">
        <v>2404</v>
      </c>
      <c r="E787" s="13">
        <v>3212157963</v>
      </c>
      <c r="F787" s="4" t="s">
        <v>2405</v>
      </c>
      <c r="G787" s="7">
        <v>11001</v>
      </c>
      <c r="H787" s="12">
        <v>305</v>
      </c>
      <c r="I787" s="14">
        <v>5213223.5699999994</v>
      </c>
      <c r="J787" s="14">
        <v>366445.71999999991</v>
      </c>
      <c r="K787" s="3">
        <v>0</v>
      </c>
      <c r="L787" s="15">
        <v>39016.561692499999</v>
      </c>
    </row>
    <row r="788" spans="1:12" x14ac:dyDescent="0.25">
      <c r="A788" s="12">
        <v>19177805</v>
      </c>
      <c r="B788" s="12"/>
      <c r="C788" s="12" t="s">
        <v>2406</v>
      </c>
      <c r="D788" s="4" t="s">
        <v>2407</v>
      </c>
      <c r="E788" s="13">
        <v>6845004</v>
      </c>
      <c r="F788" s="4" t="s">
        <v>2408</v>
      </c>
      <c r="G788" s="7" t="s">
        <v>350</v>
      </c>
      <c r="H788" s="12">
        <v>305</v>
      </c>
      <c r="I788" s="14">
        <v>5372176</v>
      </c>
      <c r="J788" s="14">
        <v>0.15</v>
      </c>
      <c r="K788" s="3">
        <v>0</v>
      </c>
      <c r="L788" s="15">
        <v>43246.0155925</v>
      </c>
    </row>
    <row r="789" spans="1:12" x14ac:dyDescent="0.25">
      <c r="A789" s="12">
        <v>12206829</v>
      </c>
      <c r="B789" s="12"/>
      <c r="C789" s="12" t="s">
        <v>2409</v>
      </c>
      <c r="D789" s="4" t="s">
        <v>2410</v>
      </c>
      <c r="E789" s="13">
        <v>3112379696</v>
      </c>
      <c r="F789" s="4" t="s">
        <v>2411</v>
      </c>
      <c r="G789" s="7">
        <v>18001</v>
      </c>
      <c r="H789" s="12">
        <v>305</v>
      </c>
      <c r="I789" s="14">
        <v>5557637.9499999965</v>
      </c>
      <c r="J789" s="14">
        <v>513668.21799999924</v>
      </c>
      <c r="K789" s="3">
        <v>0</v>
      </c>
      <c r="L789" s="15">
        <v>40603.956342599973</v>
      </c>
    </row>
    <row r="790" spans="1:12" x14ac:dyDescent="0.25">
      <c r="A790" s="12">
        <v>17155420</v>
      </c>
      <c r="B790" s="12"/>
      <c r="C790" s="12" t="s">
        <v>2412</v>
      </c>
      <c r="D790" s="4" t="s">
        <v>2413</v>
      </c>
      <c r="E790" s="13">
        <v>7072183</v>
      </c>
      <c r="F790" s="4" t="s">
        <v>2414</v>
      </c>
      <c r="G790" s="7">
        <v>11001</v>
      </c>
      <c r="H790" s="12">
        <v>305</v>
      </c>
      <c r="I790" s="14">
        <v>5578673.7500000009</v>
      </c>
      <c r="J790" s="14">
        <v>468436.58199999994</v>
      </c>
      <c r="K790" s="3">
        <v>0</v>
      </c>
      <c r="L790" s="15">
        <v>41137.409202400013</v>
      </c>
    </row>
    <row r="791" spans="1:12" x14ac:dyDescent="0.25">
      <c r="A791" s="12">
        <v>74130379</v>
      </c>
      <c r="B791" s="12"/>
      <c r="C791" s="12" t="s">
        <v>2415</v>
      </c>
      <c r="D791" s="4" t="s">
        <v>2416</v>
      </c>
      <c r="E791" s="13">
        <v>3125553969</v>
      </c>
      <c r="F791" s="4" t="s">
        <v>2417</v>
      </c>
      <c r="G791" s="7" t="s">
        <v>15</v>
      </c>
      <c r="H791" s="12">
        <v>305</v>
      </c>
      <c r="I791" s="14">
        <v>6034709.900000005</v>
      </c>
      <c r="J791" s="14">
        <v>0.15</v>
      </c>
      <c r="K791" s="3">
        <v>0</v>
      </c>
      <c r="L791" s="15">
        <v>48579.413487500038</v>
      </c>
    </row>
    <row r="792" spans="1:12" x14ac:dyDescent="0.25">
      <c r="A792" s="12">
        <v>804009752</v>
      </c>
      <c r="B792" s="12">
        <v>8</v>
      </c>
      <c r="C792" s="12" t="s">
        <v>2418</v>
      </c>
      <c r="D792" s="2" t="s">
        <v>2246</v>
      </c>
      <c r="E792" s="2">
        <v>3208658088</v>
      </c>
      <c r="F792" s="4" t="s">
        <v>2419</v>
      </c>
      <c r="G792" s="7">
        <v>68001</v>
      </c>
      <c r="H792" s="12">
        <v>305</v>
      </c>
      <c r="I792" s="14">
        <v>6047166</v>
      </c>
      <c r="J792" s="14">
        <v>0.15</v>
      </c>
      <c r="K792" s="3">
        <v>0</v>
      </c>
      <c r="L792" s="15">
        <v>48679.685092499996</v>
      </c>
    </row>
    <row r="793" spans="1:12" x14ac:dyDescent="0.25">
      <c r="A793" s="12">
        <v>52704342</v>
      </c>
      <c r="B793" s="12"/>
      <c r="C793" s="12" t="s">
        <v>2420</v>
      </c>
      <c r="D793" s="4" t="s">
        <v>2421</v>
      </c>
      <c r="E793" s="13">
        <v>3208519297</v>
      </c>
      <c r="F793" s="4" t="s">
        <v>2422</v>
      </c>
      <c r="G793" s="7" t="s">
        <v>1406</v>
      </c>
      <c r="H793" s="12">
        <v>305</v>
      </c>
      <c r="I793" s="14">
        <v>6074891.5599999996</v>
      </c>
      <c r="J793" s="14">
        <v>80236.294000000009</v>
      </c>
      <c r="K793" s="3">
        <v>0</v>
      </c>
      <c r="L793" s="15">
        <v>48256.974891299993</v>
      </c>
    </row>
    <row r="794" spans="1:12" x14ac:dyDescent="0.25">
      <c r="A794" s="12">
        <v>37927531</v>
      </c>
      <c r="B794" s="12"/>
      <c r="C794" s="12" t="s">
        <v>2423</v>
      </c>
      <c r="D794" s="4" t="s">
        <v>2424</v>
      </c>
      <c r="E794" s="13">
        <v>3015866433</v>
      </c>
      <c r="F794" s="4" t="s">
        <v>2425</v>
      </c>
      <c r="G794" s="7">
        <v>11001</v>
      </c>
      <c r="H794" s="12">
        <v>305</v>
      </c>
      <c r="I794" s="14">
        <v>6078175.8699999992</v>
      </c>
      <c r="J794" s="14">
        <v>528481.05599999987</v>
      </c>
      <c r="K794" s="3">
        <v>0</v>
      </c>
      <c r="L794" s="15">
        <v>44675.043252699994</v>
      </c>
    </row>
    <row r="795" spans="1:12" x14ac:dyDescent="0.25">
      <c r="A795" s="12">
        <v>19189788</v>
      </c>
      <c r="B795" s="12"/>
      <c r="C795" s="12" t="s">
        <v>2426</v>
      </c>
      <c r="D795" s="4" t="s">
        <v>2427</v>
      </c>
      <c r="E795" s="13">
        <v>8034627</v>
      </c>
      <c r="F795" s="4" t="s">
        <v>2428</v>
      </c>
      <c r="G795" s="7">
        <v>11001</v>
      </c>
      <c r="H795" s="12">
        <v>305</v>
      </c>
      <c r="I795" s="14">
        <v>6104312.5499999998</v>
      </c>
      <c r="J795" s="14">
        <v>676488.31</v>
      </c>
      <c r="K795" s="3">
        <v>0</v>
      </c>
      <c r="L795" s="15">
        <v>43693.985132000002</v>
      </c>
    </row>
    <row r="796" spans="1:12" x14ac:dyDescent="0.25">
      <c r="A796" s="12">
        <v>80220584</v>
      </c>
      <c r="B796" s="12"/>
      <c r="C796" s="12" t="s">
        <v>2429</v>
      </c>
      <c r="D796" s="4" t="s">
        <v>2430</v>
      </c>
      <c r="E796" s="13">
        <v>3108185472</v>
      </c>
      <c r="F796" s="4" t="s">
        <v>2431</v>
      </c>
      <c r="G796" s="7">
        <v>11001</v>
      </c>
      <c r="H796" s="12">
        <v>305</v>
      </c>
      <c r="I796" s="14">
        <v>6185549.9700000007</v>
      </c>
      <c r="J796" s="14">
        <v>815869.6</v>
      </c>
      <c r="K796" s="3">
        <v>0</v>
      </c>
      <c r="L796" s="15">
        <v>43225.926978500007</v>
      </c>
    </row>
    <row r="797" spans="1:12" x14ac:dyDescent="0.25">
      <c r="A797" s="12">
        <v>19288113</v>
      </c>
      <c r="B797" s="12"/>
      <c r="C797" s="12" t="s">
        <v>2432</v>
      </c>
      <c r="D797" s="4" t="s">
        <v>2433</v>
      </c>
      <c r="E797" s="13">
        <v>7401909</v>
      </c>
      <c r="F797" s="4" t="s">
        <v>2434</v>
      </c>
      <c r="G797" s="7" t="s">
        <v>367</v>
      </c>
      <c r="H797" s="12">
        <v>305</v>
      </c>
      <c r="I797" s="14">
        <v>6271739.6900000013</v>
      </c>
      <c r="J797" s="14">
        <v>0.15</v>
      </c>
      <c r="K797" s="3">
        <v>0</v>
      </c>
      <c r="L797" s="15">
        <v>50487.50329700001</v>
      </c>
    </row>
    <row r="798" spans="1:12" x14ac:dyDescent="0.25">
      <c r="A798" s="12">
        <v>9060397</v>
      </c>
      <c r="B798" s="12"/>
      <c r="C798" s="12" t="s">
        <v>2435</v>
      </c>
      <c r="D798" s="4" t="s">
        <v>2436</v>
      </c>
      <c r="E798" s="13">
        <v>3987969</v>
      </c>
      <c r="F798" s="4" t="s">
        <v>2437</v>
      </c>
      <c r="G798" s="7" t="s">
        <v>305</v>
      </c>
      <c r="H798" s="12">
        <v>305</v>
      </c>
      <c r="I798" s="14">
        <v>6364378.2400000002</v>
      </c>
      <c r="J798" s="14">
        <v>535706.04800000007</v>
      </c>
      <c r="K798" s="3">
        <v>0</v>
      </c>
      <c r="L798" s="15">
        <v>46920.811145600004</v>
      </c>
    </row>
    <row r="799" spans="1:12" x14ac:dyDescent="0.25">
      <c r="A799" s="12">
        <v>19120575</v>
      </c>
      <c r="B799" s="12"/>
      <c r="C799" s="12" t="s">
        <v>2438</v>
      </c>
      <c r="D799" s="4" t="s">
        <v>2439</v>
      </c>
      <c r="E799" s="13">
        <v>6476887</v>
      </c>
      <c r="F799" s="4" t="s">
        <v>2440</v>
      </c>
      <c r="G799" s="7">
        <v>11001</v>
      </c>
      <c r="H799" s="12">
        <v>305</v>
      </c>
      <c r="I799" s="14">
        <v>6420635.4000000004</v>
      </c>
      <c r="J799" s="14">
        <v>0.15</v>
      </c>
      <c r="K799" s="3">
        <v>0</v>
      </c>
      <c r="L799" s="15">
        <v>51686.113762500005</v>
      </c>
    </row>
    <row r="800" spans="1:12" x14ac:dyDescent="0.25">
      <c r="A800" s="12">
        <v>1051473359</v>
      </c>
      <c r="B800" s="12"/>
      <c r="C800" s="12" t="s">
        <v>2441</v>
      </c>
      <c r="D800" s="4" t="s">
        <v>2442</v>
      </c>
      <c r="E800" s="13">
        <v>3102141306</v>
      </c>
      <c r="F800" s="4" t="s">
        <v>2443</v>
      </c>
      <c r="G800" s="7">
        <v>11001</v>
      </c>
      <c r="H800" s="12">
        <v>305</v>
      </c>
      <c r="I800" s="14">
        <v>6431874.9099999983</v>
      </c>
      <c r="J800" s="14">
        <v>601182.71199999982</v>
      </c>
      <c r="K800" s="3">
        <v>0</v>
      </c>
      <c r="L800" s="15">
        <v>46937.072193899992</v>
      </c>
    </row>
    <row r="801" spans="1:12" x14ac:dyDescent="0.25">
      <c r="A801" s="12">
        <v>9074858</v>
      </c>
      <c r="B801" s="12"/>
      <c r="C801" s="12" t="s">
        <v>2444</v>
      </c>
      <c r="D801" s="4" t="s">
        <v>2445</v>
      </c>
      <c r="E801" s="13">
        <v>3153569855</v>
      </c>
      <c r="F801" s="4" t="s">
        <v>2446</v>
      </c>
      <c r="G801" s="7">
        <v>11001</v>
      </c>
      <c r="H801" s="12">
        <v>305</v>
      </c>
      <c r="I801" s="14">
        <v>6636912.3500000006</v>
      </c>
      <c r="J801" s="14">
        <v>793865.16400000022</v>
      </c>
      <c r="K801" s="3">
        <v>0</v>
      </c>
      <c r="L801" s="15">
        <v>47036.5298473</v>
      </c>
    </row>
    <row r="802" spans="1:12" x14ac:dyDescent="0.25">
      <c r="A802" s="12">
        <v>1053609911</v>
      </c>
      <c r="B802" s="12"/>
      <c r="C802" s="12" t="s">
        <v>2447</v>
      </c>
      <c r="D802" s="4" t="s">
        <v>2448</v>
      </c>
      <c r="E802" s="13">
        <v>3134526288</v>
      </c>
      <c r="F802" s="4" t="s">
        <v>2449</v>
      </c>
      <c r="G802" s="7" t="s">
        <v>15</v>
      </c>
      <c r="H802" s="12">
        <v>305</v>
      </c>
      <c r="I802" s="14">
        <v>6684378.5999999996</v>
      </c>
      <c r="J802" s="14">
        <v>0.15</v>
      </c>
      <c r="K802" s="3">
        <v>0</v>
      </c>
      <c r="L802" s="15">
        <v>53809.246522499998</v>
      </c>
    </row>
    <row r="803" spans="1:12" x14ac:dyDescent="0.25">
      <c r="A803" s="12">
        <v>52249009</v>
      </c>
      <c r="B803" s="12"/>
      <c r="C803" s="12" t="s">
        <v>2450</v>
      </c>
      <c r="D803" s="4" t="s">
        <v>2451</v>
      </c>
      <c r="E803" s="13">
        <v>3005009237</v>
      </c>
      <c r="F803" s="4" t="s">
        <v>2452</v>
      </c>
      <c r="G803" s="7">
        <v>11001</v>
      </c>
      <c r="H803" s="12">
        <v>305</v>
      </c>
      <c r="I803" s="14">
        <v>6840615.4499999983</v>
      </c>
      <c r="J803" s="14">
        <v>507667.95199999964</v>
      </c>
      <c r="K803" s="3">
        <v>0</v>
      </c>
      <c r="L803" s="15">
        <v>50980.227358899996</v>
      </c>
    </row>
    <row r="804" spans="1:12" x14ac:dyDescent="0.25">
      <c r="A804" s="12">
        <v>19335891</v>
      </c>
      <c r="B804" s="12"/>
      <c r="C804" s="12" t="s">
        <v>2453</v>
      </c>
      <c r="D804" s="4" t="s">
        <v>2454</v>
      </c>
      <c r="E804" s="13">
        <v>3159493</v>
      </c>
      <c r="F804" s="4" t="s">
        <v>2455</v>
      </c>
      <c r="G804" s="7">
        <v>11001</v>
      </c>
      <c r="H804" s="12">
        <v>305</v>
      </c>
      <c r="I804" s="14">
        <v>6972318.5599999968</v>
      </c>
      <c r="J804" s="14">
        <v>470423.71199999982</v>
      </c>
      <c r="K804" s="3">
        <v>0</v>
      </c>
      <c r="L804" s="15">
        <v>52340.253526399982</v>
      </c>
    </row>
    <row r="805" spans="1:12" x14ac:dyDescent="0.25">
      <c r="A805" s="12">
        <v>6759243</v>
      </c>
      <c r="B805" s="12"/>
      <c r="C805" s="12" t="s">
        <v>2456</v>
      </c>
      <c r="D805" s="4" t="s">
        <v>2457</v>
      </c>
      <c r="E805" s="13">
        <v>6149605</v>
      </c>
      <c r="F805" s="4" t="s">
        <v>2458</v>
      </c>
      <c r="G805" s="7">
        <v>11001</v>
      </c>
      <c r="H805" s="12">
        <v>305</v>
      </c>
      <c r="I805" s="14">
        <v>7120342.8599999994</v>
      </c>
      <c r="J805" s="14">
        <v>631419.47</v>
      </c>
      <c r="K805" s="3">
        <v>0</v>
      </c>
      <c r="L805" s="15">
        <v>52235.833289499999</v>
      </c>
    </row>
    <row r="806" spans="1:12" x14ac:dyDescent="0.25">
      <c r="A806" s="12">
        <v>1006597</v>
      </c>
      <c r="B806" s="12"/>
      <c r="C806" s="12" t="s">
        <v>2459</v>
      </c>
      <c r="D806" s="4" t="s">
        <v>2460</v>
      </c>
      <c r="E806" s="13">
        <v>2749542</v>
      </c>
      <c r="F806" s="4" t="s">
        <v>2461</v>
      </c>
      <c r="G806" s="7">
        <v>11001</v>
      </c>
      <c r="H806" s="12">
        <v>305</v>
      </c>
      <c r="I806" s="14">
        <v>7130265.3900000006</v>
      </c>
      <c r="J806" s="14">
        <v>637325.00199999998</v>
      </c>
      <c r="K806" s="3">
        <v>0</v>
      </c>
      <c r="L806" s="15">
        <v>52268.170123400007</v>
      </c>
    </row>
    <row r="807" spans="1:12" x14ac:dyDescent="0.25">
      <c r="A807" s="12">
        <v>4191890</v>
      </c>
      <c r="B807" s="12"/>
      <c r="C807" s="12" t="s">
        <v>2462</v>
      </c>
      <c r="D807" s="4" t="s">
        <v>535</v>
      </c>
      <c r="E807" s="13">
        <v>3108163015</v>
      </c>
      <c r="F807" s="4" t="s">
        <v>536</v>
      </c>
      <c r="G807" s="7" t="s">
        <v>537</v>
      </c>
      <c r="H807" s="12">
        <v>305</v>
      </c>
      <c r="I807" s="14">
        <v>7806356.4300000016</v>
      </c>
      <c r="J807" s="14">
        <v>1559784.2160000002</v>
      </c>
      <c r="K807" s="3">
        <v>0</v>
      </c>
      <c r="L807" s="15">
        <v>50284.906322700015</v>
      </c>
    </row>
    <row r="808" spans="1:12" x14ac:dyDescent="0.25">
      <c r="A808" s="12">
        <v>16652515</v>
      </c>
      <c r="B808" s="12"/>
      <c r="C808" s="12" t="s">
        <v>2463</v>
      </c>
      <c r="D808" s="4" t="s">
        <v>2464</v>
      </c>
      <c r="E808" s="13">
        <v>3133448590</v>
      </c>
      <c r="F808" s="4" t="s">
        <v>2465</v>
      </c>
      <c r="G808" s="7" t="s">
        <v>144</v>
      </c>
      <c r="H808" s="12">
        <v>305</v>
      </c>
      <c r="I808" s="14">
        <v>8120047.6900000004</v>
      </c>
      <c r="J808" s="14">
        <v>0.15</v>
      </c>
      <c r="K808" s="3">
        <v>0</v>
      </c>
      <c r="L808" s="15">
        <v>65366.382697000008</v>
      </c>
    </row>
    <row r="809" spans="1:12" x14ac:dyDescent="0.25">
      <c r="A809" s="12">
        <v>9532504</v>
      </c>
      <c r="B809" s="12"/>
      <c r="C809" s="12" t="s">
        <v>2466</v>
      </c>
      <c r="D809" s="4" t="s">
        <v>2467</v>
      </c>
      <c r="E809" s="13">
        <v>3107999152</v>
      </c>
      <c r="F809" s="4" t="s">
        <v>2468</v>
      </c>
      <c r="G809" s="7">
        <v>11001</v>
      </c>
      <c r="H809" s="12">
        <v>305</v>
      </c>
      <c r="I809" s="14">
        <v>8383561.5199999996</v>
      </c>
      <c r="J809" s="14">
        <v>551086.64199999999</v>
      </c>
      <c r="K809" s="3">
        <v>0</v>
      </c>
      <c r="L809" s="15">
        <v>63051.422767900003</v>
      </c>
    </row>
    <row r="810" spans="1:12" x14ac:dyDescent="0.25">
      <c r="A810" s="12">
        <v>9398359</v>
      </c>
      <c r="B810" s="12"/>
      <c r="C810" s="12" t="s">
        <v>2469</v>
      </c>
      <c r="D810" s="4" t="s">
        <v>2470</v>
      </c>
      <c r="E810" s="13">
        <v>3102741193</v>
      </c>
      <c r="F810" s="4" t="s">
        <v>2471</v>
      </c>
      <c r="G810" s="7">
        <v>11001</v>
      </c>
      <c r="H810" s="12">
        <v>305</v>
      </c>
      <c r="I810" s="14">
        <v>8710573.7199999951</v>
      </c>
      <c r="J810" s="14">
        <f>1343031.718-106.01</f>
        <v>1342925.7080000001</v>
      </c>
      <c r="K810" s="3">
        <v>0</v>
      </c>
      <c r="L810" s="15">
        <v>59309.56649659996</v>
      </c>
    </row>
    <row r="811" spans="1:12" x14ac:dyDescent="0.25">
      <c r="A811" s="12">
        <v>6769073</v>
      </c>
      <c r="B811" s="12"/>
      <c r="C811" s="12" t="s">
        <v>2472</v>
      </c>
      <c r="D811" s="4" t="s">
        <v>2473</v>
      </c>
      <c r="E811" s="13">
        <v>3123731759</v>
      </c>
      <c r="F811" s="4" t="s">
        <v>2474</v>
      </c>
      <c r="G811" s="7">
        <v>11001</v>
      </c>
      <c r="H811" s="12">
        <v>305</v>
      </c>
      <c r="I811" s="14">
        <v>9935898.8399999999</v>
      </c>
      <c r="J811" s="14">
        <v>0.15</v>
      </c>
      <c r="K811" s="3">
        <v>0</v>
      </c>
      <c r="L811" s="15">
        <v>79983.984454499994</v>
      </c>
    </row>
    <row r="812" spans="1:12" x14ac:dyDescent="0.25">
      <c r="A812" s="12">
        <v>88000450</v>
      </c>
      <c r="B812" s="12"/>
      <c r="C812" s="12" t="s">
        <v>2475</v>
      </c>
      <c r="D812" s="4" t="s">
        <v>2476</v>
      </c>
      <c r="E812" s="13">
        <v>3112316122</v>
      </c>
      <c r="F812" s="4" t="s">
        <v>2477</v>
      </c>
      <c r="G812" s="7">
        <v>11001</v>
      </c>
      <c r="H812" s="12">
        <v>305</v>
      </c>
      <c r="I812" s="14">
        <v>10419960.48</v>
      </c>
      <c r="J812" s="14">
        <v>0.15</v>
      </c>
      <c r="K812" s="3">
        <v>0</v>
      </c>
      <c r="L812" s="15">
        <v>83880.680656500001</v>
      </c>
    </row>
    <row r="813" spans="1:12" x14ac:dyDescent="0.25">
      <c r="A813" s="12">
        <v>46681823</v>
      </c>
      <c r="B813" s="12"/>
      <c r="C813" s="12" t="s">
        <v>2478</v>
      </c>
      <c r="D813" s="4" t="s">
        <v>2479</v>
      </c>
      <c r="E813" s="13">
        <v>3124138228</v>
      </c>
      <c r="F813" s="4" t="s">
        <v>2480</v>
      </c>
      <c r="G813" s="7" t="s">
        <v>15</v>
      </c>
      <c r="H813" s="12">
        <v>305</v>
      </c>
      <c r="I813" s="14">
        <v>10445319.000000002</v>
      </c>
      <c r="J813" s="14">
        <v>0.15</v>
      </c>
      <c r="K813" s="3">
        <v>0</v>
      </c>
      <c r="L813" s="15">
        <v>84084.816742500014</v>
      </c>
    </row>
    <row r="814" spans="1:12" x14ac:dyDescent="0.25">
      <c r="A814" s="12">
        <v>860032715</v>
      </c>
      <c r="B814" s="12">
        <v>5</v>
      </c>
      <c r="C814" s="12" t="s">
        <v>2481</v>
      </c>
      <c r="D814" s="4" t="s">
        <v>2482</v>
      </c>
      <c r="E814" s="13">
        <v>6013242163</v>
      </c>
      <c r="F814" s="4" t="s">
        <v>2483</v>
      </c>
      <c r="G814" s="7">
        <v>11001</v>
      </c>
      <c r="H814" s="12">
        <v>305</v>
      </c>
      <c r="I814" s="14">
        <v>12276823</v>
      </c>
      <c r="J814" s="14">
        <v>0.15</v>
      </c>
      <c r="K814" s="3">
        <v>0</v>
      </c>
      <c r="L814" s="15">
        <v>98828.423942499998</v>
      </c>
    </row>
    <row r="815" spans="1:12" x14ac:dyDescent="0.25">
      <c r="A815" s="12">
        <v>1052394604</v>
      </c>
      <c r="B815" s="12"/>
      <c r="C815" s="12" t="s">
        <v>2484</v>
      </c>
      <c r="D815" s="4" t="s">
        <v>2485</v>
      </c>
      <c r="E815" s="13">
        <v>3106281437</v>
      </c>
      <c r="F815" s="4" t="s">
        <v>2486</v>
      </c>
      <c r="G815" s="7" t="s">
        <v>422</v>
      </c>
      <c r="H815" s="12">
        <v>305</v>
      </c>
      <c r="I815" s="14">
        <v>12334244.170000002</v>
      </c>
      <c r="J815" s="14">
        <v>0.15</v>
      </c>
      <c r="K815" s="3">
        <v>0</v>
      </c>
      <c r="L815" s="15">
        <v>99290.664361000017</v>
      </c>
    </row>
    <row r="816" spans="1:12" x14ac:dyDescent="0.25">
      <c r="A816" s="12">
        <v>19297269</v>
      </c>
      <c r="B816" s="12"/>
      <c r="C816" s="12" t="s">
        <v>2487</v>
      </c>
      <c r="D816" s="4" t="s">
        <v>2488</v>
      </c>
      <c r="E816" s="13">
        <v>3138851457</v>
      </c>
      <c r="F816" s="4" t="s">
        <v>2489</v>
      </c>
      <c r="G816" s="7" t="s">
        <v>144</v>
      </c>
      <c r="H816" s="12">
        <v>305</v>
      </c>
      <c r="I816" s="14">
        <v>12670947.840000002</v>
      </c>
      <c r="J816" s="14">
        <v>894379.84800000023</v>
      </c>
      <c r="K816" s="3">
        <v>0</v>
      </c>
      <c r="L816" s="15">
        <v>94801.372335600026</v>
      </c>
    </row>
    <row r="817" spans="1:12" x14ac:dyDescent="0.25">
      <c r="A817" s="12">
        <v>860016951</v>
      </c>
      <c r="B817" s="12">
        <v>1</v>
      </c>
      <c r="C817" s="12" t="s">
        <v>2490</v>
      </c>
      <c r="D817" s="4" t="s">
        <v>2491</v>
      </c>
      <c r="E817" s="13">
        <v>2905077</v>
      </c>
      <c r="F817" s="4" t="s">
        <v>2492</v>
      </c>
      <c r="G817" s="7">
        <v>11001</v>
      </c>
      <c r="H817" s="12">
        <v>305</v>
      </c>
      <c r="I817" s="14">
        <v>12676865.650000004</v>
      </c>
      <c r="J817" s="14">
        <v>0.15</v>
      </c>
      <c r="K817" s="3">
        <v>0</v>
      </c>
      <c r="L817" s="15">
        <v>102048.76727500003</v>
      </c>
    </row>
    <row r="818" spans="1:12" x14ac:dyDescent="0.25">
      <c r="A818" s="12">
        <v>900075108</v>
      </c>
      <c r="B818" s="12">
        <v>3</v>
      </c>
      <c r="C818" s="12" t="s">
        <v>2493</v>
      </c>
      <c r="D818" s="4" t="s">
        <v>2494</v>
      </c>
      <c r="E818" s="13">
        <v>3017669091</v>
      </c>
      <c r="F818" s="4" t="s">
        <v>2495</v>
      </c>
      <c r="G818" s="7">
        <v>11001</v>
      </c>
      <c r="H818" s="12">
        <v>305</v>
      </c>
      <c r="I818" s="14">
        <v>12703215</v>
      </c>
      <c r="J818" s="14">
        <v>0.15</v>
      </c>
      <c r="K818" s="3">
        <v>0</v>
      </c>
      <c r="L818" s="15">
        <v>102260.8795425</v>
      </c>
    </row>
    <row r="819" spans="1:12" x14ac:dyDescent="0.25">
      <c r="A819" s="12">
        <v>1018406648</v>
      </c>
      <c r="B819" s="12"/>
      <c r="C819" s="12" t="s">
        <v>2496</v>
      </c>
      <c r="D819" s="4" t="s">
        <v>2497</v>
      </c>
      <c r="E819" s="13">
        <v>3212037456</v>
      </c>
      <c r="F819" s="4" t="s">
        <v>2498</v>
      </c>
      <c r="G819" s="7">
        <v>11001</v>
      </c>
      <c r="H819" s="12">
        <v>305</v>
      </c>
      <c r="I819" s="14">
        <v>13246262.92</v>
      </c>
      <c r="J819" s="14">
        <v>0.15</v>
      </c>
      <c r="K819" s="3">
        <v>0</v>
      </c>
      <c r="L819" s="15">
        <v>106632.4152985</v>
      </c>
    </row>
    <row r="820" spans="1:12" x14ac:dyDescent="0.25">
      <c r="A820" s="12">
        <v>46682966</v>
      </c>
      <c r="B820" s="12"/>
      <c r="C820" s="12" t="s">
        <v>2499</v>
      </c>
      <c r="D820" s="4" t="s">
        <v>2500</v>
      </c>
      <c r="E820" s="13">
        <v>3103416751</v>
      </c>
      <c r="F820" s="4" t="s">
        <v>2501</v>
      </c>
      <c r="G820" s="7">
        <v>11001</v>
      </c>
      <c r="H820" s="12">
        <v>305</v>
      </c>
      <c r="I820" s="14">
        <v>14984876</v>
      </c>
      <c r="J820" s="14">
        <v>0.15</v>
      </c>
      <c r="K820" s="3">
        <v>0</v>
      </c>
      <c r="L820" s="15">
        <v>120628.2505925</v>
      </c>
    </row>
    <row r="821" spans="1:12" x14ac:dyDescent="0.25">
      <c r="A821" s="12">
        <v>800229794</v>
      </c>
      <c r="B821" s="12">
        <v>6</v>
      </c>
      <c r="C821" s="12" t="s">
        <v>2502</v>
      </c>
      <c r="D821" s="4" t="s">
        <v>2503</v>
      </c>
      <c r="E821" s="13">
        <v>313594310</v>
      </c>
      <c r="F821" s="4" t="s">
        <v>2504</v>
      </c>
      <c r="G821" s="7">
        <v>11001</v>
      </c>
      <c r="H821" s="12">
        <v>305</v>
      </c>
      <c r="I821" s="14">
        <v>16772607</v>
      </c>
      <c r="J821" s="14">
        <v>0.15</v>
      </c>
      <c r="K821" s="3">
        <v>0</v>
      </c>
      <c r="L821" s="15">
        <v>135019.48514249999</v>
      </c>
    </row>
    <row r="822" spans="1:12" x14ac:dyDescent="0.25">
      <c r="A822" s="12">
        <v>900955903</v>
      </c>
      <c r="B822" s="12">
        <v>9</v>
      </c>
      <c r="C822" s="12" t="s">
        <v>2505</v>
      </c>
      <c r="D822" s="4" t="s">
        <v>2506</v>
      </c>
      <c r="E822" s="13">
        <v>3112627609</v>
      </c>
      <c r="F822" s="4" t="s">
        <v>2507</v>
      </c>
      <c r="G822" s="7">
        <v>11001</v>
      </c>
      <c r="H822" s="12">
        <v>305</v>
      </c>
      <c r="I822" s="14">
        <v>17887485.829999998</v>
      </c>
      <c r="J822" s="14">
        <v>0.15</v>
      </c>
      <c r="K822" s="3">
        <v>0</v>
      </c>
      <c r="L822" s="15">
        <v>143994.259724</v>
      </c>
    </row>
    <row r="823" spans="1:12" x14ac:dyDescent="0.25">
      <c r="A823" s="12">
        <v>23553798</v>
      </c>
      <c r="B823" s="12"/>
      <c r="C823" s="12" t="s">
        <v>2508</v>
      </c>
      <c r="D823" s="4" t="s">
        <v>2509</v>
      </c>
      <c r="E823" s="13">
        <v>3125211376</v>
      </c>
      <c r="F823" s="4" t="s">
        <v>2510</v>
      </c>
      <c r="G823" s="7" t="s">
        <v>422</v>
      </c>
      <c r="H823" s="12">
        <v>305</v>
      </c>
      <c r="I823" s="14">
        <v>18667329.07</v>
      </c>
      <c r="J823" s="14">
        <v>0.15</v>
      </c>
      <c r="K823" s="3">
        <v>0</v>
      </c>
      <c r="L823" s="15">
        <v>150271.99780600003</v>
      </c>
    </row>
    <row r="824" spans="1:12" x14ac:dyDescent="0.25">
      <c r="A824" s="12">
        <v>900134282</v>
      </c>
      <c r="B824" s="12">
        <v>0</v>
      </c>
      <c r="C824" s="12" t="s">
        <v>2511</v>
      </c>
      <c r="D824" s="4" t="s">
        <v>2512</v>
      </c>
      <c r="E824" s="13">
        <v>3187081596</v>
      </c>
      <c r="F824" s="4" t="s">
        <v>2513</v>
      </c>
      <c r="G824" s="7">
        <v>11001</v>
      </c>
      <c r="H824" s="12">
        <v>305</v>
      </c>
      <c r="I824" s="14">
        <v>19518824.819999997</v>
      </c>
      <c r="J824" s="14">
        <v>0.15</v>
      </c>
      <c r="K824" s="3">
        <v>0</v>
      </c>
      <c r="L824" s="15">
        <v>157126.53859349998</v>
      </c>
    </row>
    <row r="825" spans="1:12" x14ac:dyDescent="0.25">
      <c r="A825" s="12">
        <v>900716505</v>
      </c>
      <c r="B825" s="12">
        <v>6</v>
      </c>
      <c r="C825" s="12" t="s">
        <v>2514</v>
      </c>
      <c r="D825" s="4" t="s">
        <v>2515</v>
      </c>
      <c r="E825" s="13">
        <v>3017228692</v>
      </c>
      <c r="F825" s="4" t="s">
        <v>2516</v>
      </c>
      <c r="G825" s="7">
        <v>11001</v>
      </c>
      <c r="H825" s="12">
        <v>305</v>
      </c>
      <c r="I825" s="14">
        <v>21579691</v>
      </c>
      <c r="J825" s="14">
        <v>0.15</v>
      </c>
      <c r="K825" s="3">
        <v>0</v>
      </c>
      <c r="L825" s="15">
        <v>173716.51134250002</v>
      </c>
    </row>
    <row r="826" spans="1:12" x14ac:dyDescent="0.25">
      <c r="A826" s="12">
        <v>860048395</v>
      </c>
      <c r="B826" s="12">
        <v>1</v>
      </c>
      <c r="C826" s="12" t="s">
        <v>2517</v>
      </c>
      <c r="D826" s="4" t="s">
        <v>2518</v>
      </c>
      <c r="E826" s="13">
        <v>3102987911</v>
      </c>
      <c r="F826" s="4" t="s">
        <v>2519</v>
      </c>
      <c r="G826" s="7">
        <v>11001</v>
      </c>
      <c r="H826" s="12">
        <v>305</v>
      </c>
      <c r="I826" s="14">
        <v>22246925.93</v>
      </c>
      <c r="J826" s="14">
        <v>0.15</v>
      </c>
      <c r="K826" s="3">
        <v>0</v>
      </c>
      <c r="L826" s="15">
        <v>179087.75252900002</v>
      </c>
    </row>
    <row r="827" spans="1:12" x14ac:dyDescent="0.25">
      <c r="A827" s="12">
        <v>830087666</v>
      </c>
      <c r="B827" s="12">
        <v>1</v>
      </c>
      <c r="C827" s="12" t="s">
        <v>2520</v>
      </c>
      <c r="D827" s="4" t="s">
        <v>2521</v>
      </c>
      <c r="E827" s="13">
        <v>3102762386</v>
      </c>
      <c r="F827" s="4" t="s">
        <v>2522</v>
      </c>
      <c r="G827" s="7">
        <v>11001</v>
      </c>
      <c r="H827" s="12">
        <v>305</v>
      </c>
      <c r="I827" s="14">
        <v>30634471</v>
      </c>
      <c r="J827" s="14">
        <v>0.15</v>
      </c>
      <c r="K827" s="3">
        <v>0</v>
      </c>
      <c r="L827" s="15">
        <v>246607.49034250004</v>
      </c>
    </row>
    <row r="828" spans="1:12" x14ac:dyDescent="0.25">
      <c r="A828" s="12">
        <v>899999102</v>
      </c>
      <c r="B828" s="12">
        <v>2</v>
      </c>
      <c r="C828" s="12" t="s">
        <v>2523</v>
      </c>
      <c r="D828" s="17" t="s">
        <v>2524</v>
      </c>
      <c r="E828" s="13">
        <v>3116800279</v>
      </c>
      <c r="F828" s="4" t="s">
        <v>2525</v>
      </c>
      <c r="G828" s="7">
        <v>11001</v>
      </c>
      <c r="H828" s="12">
        <v>305</v>
      </c>
      <c r="I828" s="14">
        <v>61385165.820000008</v>
      </c>
      <c r="J828" s="14">
        <v>0.15</v>
      </c>
      <c r="K828" s="3">
        <v>0</v>
      </c>
      <c r="L828" s="15">
        <v>494150.58364350005</v>
      </c>
    </row>
    <row r="829" spans="1:12" x14ac:dyDescent="0.25">
      <c r="A829" s="12">
        <v>900282329</v>
      </c>
      <c r="B829" s="12">
        <v>1</v>
      </c>
      <c r="C829" s="12" t="s">
        <v>2526</v>
      </c>
      <c r="D829" s="4" t="s">
        <v>2527</v>
      </c>
      <c r="E829" s="13">
        <v>3106058535</v>
      </c>
      <c r="F829" s="4" t="s">
        <v>2528</v>
      </c>
      <c r="G829" s="7">
        <v>11001</v>
      </c>
      <c r="H829" s="12">
        <v>305</v>
      </c>
      <c r="I829" s="14">
        <v>63752957.82</v>
      </c>
      <c r="J829" s="14">
        <v>0.15</v>
      </c>
      <c r="K829" s="3">
        <v>0</v>
      </c>
      <c r="L829" s="15">
        <v>513211.3092435</v>
      </c>
    </row>
    <row r="830" spans="1:12" x14ac:dyDescent="0.25">
      <c r="A830" s="12">
        <v>79204832</v>
      </c>
      <c r="B830" s="12"/>
      <c r="C830" s="12" t="s">
        <v>2529</v>
      </c>
      <c r="D830" s="4" t="s">
        <v>2530</v>
      </c>
      <c r="E830" s="13">
        <v>3176485552</v>
      </c>
      <c r="F830" s="4" t="s">
        <v>2531</v>
      </c>
      <c r="G830" s="7">
        <v>11001</v>
      </c>
      <c r="H830" s="12">
        <v>305</v>
      </c>
      <c r="I830" s="14">
        <v>68467077</v>
      </c>
      <c r="J830" s="14">
        <v>0.15</v>
      </c>
      <c r="K830" s="3">
        <v>0</v>
      </c>
      <c r="L830" s="15">
        <v>551159.9686425</v>
      </c>
    </row>
    <row r="831" spans="1:12" x14ac:dyDescent="0.25">
      <c r="A831" s="12">
        <v>830084232</v>
      </c>
      <c r="B831" s="12">
        <v>3</v>
      </c>
      <c r="C831" s="12" t="s">
        <v>2532</v>
      </c>
      <c r="D831" s="4" t="s">
        <v>2533</v>
      </c>
      <c r="E831" s="13">
        <v>6513838</v>
      </c>
      <c r="F831" s="4" t="s">
        <v>2534</v>
      </c>
      <c r="G831" s="7">
        <v>11001</v>
      </c>
      <c r="H831" s="12">
        <v>305</v>
      </c>
      <c r="I831" s="14">
        <v>89583481.099999994</v>
      </c>
      <c r="J831" s="14">
        <v>0.15</v>
      </c>
      <c r="K831" s="3">
        <v>0</v>
      </c>
      <c r="L831" s="15">
        <v>721147.02164749999</v>
      </c>
    </row>
    <row r="832" spans="1:12" x14ac:dyDescent="0.25">
      <c r="A832" s="12">
        <v>860531551</v>
      </c>
      <c r="B832" s="12">
        <v>5</v>
      </c>
      <c r="C832" s="12" t="s">
        <v>2535</v>
      </c>
      <c r="D832" s="4" t="s">
        <v>2536</v>
      </c>
      <c r="E832" s="13">
        <v>3153473854</v>
      </c>
      <c r="F832" s="4" t="s">
        <v>2537</v>
      </c>
      <c r="G832" s="7">
        <v>11001</v>
      </c>
      <c r="H832" s="12">
        <v>305</v>
      </c>
      <c r="I832" s="14">
        <v>150337028</v>
      </c>
      <c r="J832" s="14">
        <v>0.15</v>
      </c>
      <c r="K832" s="3">
        <v>0</v>
      </c>
      <c r="L832" s="15">
        <v>1210213.0741925</v>
      </c>
    </row>
    <row r="833" spans="1:12" x14ac:dyDescent="0.25">
      <c r="A833" s="12">
        <v>860020863</v>
      </c>
      <c r="B833" s="12">
        <v>5</v>
      </c>
      <c r="C833" s="12" t="s">
        <v>2538</v>
      </c>
      <c r="D833" s="18" t="s">
        <v>2539</v>
      </c>
      <c r="E833" s="13">
        <v>3158357620</v>
      </c>
      <c r="F833" s="4" t="s">
        <v>2540</v>
      </c>
      <c r="G833" s="7">
        <v>11001</v>
      </c>
      <c r="H833" s="12">
        <v>305</v>
      </c>
      <c r="I833" s="14">
        <v>161578028.40000001</v>
      </c>
      <c r="J833" s="14">
        <v>0.15</v>
      </c>
      <c r="K833" s="3">
        <v>0</v>
      </c>
      <c r="L833" s="15">
        <v>1300703.1274125001</v>
      </c>
    </row>
    <row r="834" spans="1:12" x14ac:dyDescent="0.25">
      <c r="A834" s="12">
        <v>890903790</v>
      </c>
      <c r="B834" s="12">
        <v>5</v>
      </c>
      <c r="C834" s="12" t="s">
        <v>2541</v>
      </c>
      <c r="D834" s="4" t="s">
        <v>2542</v>
      </c>
      <c r="E834" s="13">
        <v>6014378888</v>
      </c>
      <c r="F834" s="4" t="s">
        <v>2543</v>
      </c>
      <c r="G834" s="7">
        <v>11001</v>
      </c>
      <c r="H834" s="12">
        <v>305</v>
      </c>
      <c r="I834" s="14">
        <v>1757705</v>
      </c>
      <c r="J834" s="14">
        <v>0.15</v>
      </c>
      <c r="K834" s="3"/>
      <c r="L834" s="15">
        <v>14149.524042500001</v>
      </c>
    </row>
    <row r="835" spans="1:12" x14ac:dyDescent="0.25">
      <c r="A835" s="12">
        <v>860034313</v>
      </c>
      <c r="B835" s="12">
        <v>7</v>
      </c>
      <c r="C835" s="12" t="s">
        <v>2544</v>
      </c>
      <c r="D835" s="4" t="s">
        <v>2545</v>
      </c>
      <c r="E835" s="13">
        <v>3300000</v>
      </c>
      <c r="F835" s="4" t="s">
        <v>2546</v>
      </c>
      <c r="G835" s="7">
        <v>11001</v>
      </c>
      <c r="H835" s="12">
        <v>305</v>
      </c>
      <c r="I835" s="14">
        <v>56012107.649999999</v>
      </c>
      <c r="J835" s="14">
        <v>0.15</v>
      </c>
      <c r="K835" s="3">
        <v>0</v>
      </c>
      <c r="L835" s="15">
        <v>450897.46537500003</v>
      </c>
    </row>
    <row r="836" spans="1:12" x14ac:dyDescent="0.25">
      <c r="A836" s="12">
        <v>860007738</v>
      </c>
      <c r="B836" s="12">
        <v>9</v>
      </c>
      <c r="C836" s="12" t="s">
        <v>2547</v>
      </c>
      <c r="D836" s="17" t="s">
        <v>2548</v>
      </c>
      <c r="E836" s="13">
        <v>2905077</v>
      </c>
      <c r="F836" s="4" t="s">
        <v>2525</v>
      </c>
      <c r="G836" s="7">
        <v>11001</v>
      </c>
      <c r="H836" s="12">
        <v>305</v>
      </c>
      <c r="I836" s="14">
        <v>1439971.5</v>
      </c>
      <c r="J836" s="14">
        <v>0.15</v>
      </c>
      <c r="K836" s="3">
        <v>0</v>
      </c>
      <c r="L836" s="15">
        <v>11591.769367500001</v>
      </c>
    </row>
    <row r="837" spans="1:12" s="11" customFormat="1" x14ac:dyDescent="0.25">
      <c r="D837" s="19"/>
      <c r="E837" s="20"/>
      <c r="F837" s="19"/>
      <c r="I837" s="21">
        <f>SUM(I2:I836)</f>
        <v>3499014175.7500024</v>
      </c>
      <c r="J837" s="21">
        <f>SUM(J2:J836)</f>
        <v>202175268.80800068</v>
      </c>
      <c r="K837" s="21">
        <f>SUM(K2:K836)</f>
        <v>0</v>
      </c>
      <c r="L837" s="21">
        <f>SUM(L2:L836)</f>
        <v>26539553</v>
      </c>
    </row>
    <row r="838" spans="1:12" s="11" customFormat="1" x14ac:dyDescent="0.25">
      <c r="D838" s="19"/>
      <c r="E838" s="20"/>
      <c r="F838" s="19"/>
      <c r="I838" s="22"/>
      <c r="J838" s="22"/>
    </row>
    <row r="839" spans="1:12" s="11" customFormat="1" x14ac:dyDescent="0.25">
      <c r="D839" s="19"/>
      <c r="E839" s="20"/>
      <c r="F839" s="19"/>
    </row>
    <row r="840" spans="1:12" s="11" customFormat="1" x14ac:dyDescent="0.25">
      <c r="D840" s="19"/>
      <c r="E840" s="20"/>
      <c r="F840" s="19"/>
      <c r="I840" s="23"/>
      <c r="K840" s="24"/>
      <c r="L840" s="25"/>
    </row>
    <row r="841" spans="1:12" x14ac:dyDescent="0.25">
      <c r="L841" s="28"/>
    </row>
    <row r="844" spans="1:12" x14ac:dyDescent="0.25">
      <c r="I844" s="29"/>
      <c r="J844" s="29"/>
      <c r="L844" s="29"/>
    </row>
    <row r="845" spans="1:12" x14ac:dyDescent="0.25">
      <c r="I845" s="30"/>
      <c r="L845" s="31"/>
    </row>
  </sheetData>
  <hyperlinks>
    <hyperlink ref="D828" r:id="rId1" xr:uid="{F8628233-DC1B-44BB-8BDD-7356E2446A52}"/>
    <hyperlink ref="D830" r:id="rId2" xr:uid="{00F4CC85-8775-48AE-98A3-5383D14424A7}"/>
    <hyperlink ref="D836" r:id="rId3" xr:uid="{4F83B0C0-767C-47A8-A119-37335D86D3A0}"/>
    <hyperlink ref="D2" r:id="rId4" xr:uid="{5649BF04-900D-49A7-9438-8C3A5CA92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>Club Militar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Lucia Gallo</dc:creator>
  <cp:lastModifiedBy>Martha Lucia Gallo</cp:lastModifiedBy>
  <dcterms:created xsi:type="dcterms:W3CDTF">2025-08-27T18:26:39Z</dcterms:created>
  <dcterms:modified xsi:type="dcterms:W3CDTF">2025-08-27T18:27:34Z</dcterms:modified>
</cp:coreProperties>
</file>