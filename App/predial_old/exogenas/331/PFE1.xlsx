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VARIOS\rodricar\EXOGENAS PAIPA\"/>
    </mc:Choice>
  </mc:AlternateContent>
  <bookViews>
    <workbookView xWindow="0" yWindow="0" windowWidth="20490" windowHeight="672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2" i="1" l="1"/>
  <c r="I277" i="1"/>
  <c r="I273" i="1"/>
  <c r="I271" i="1"/>
  <c r="I268" i="1"/>
  <c r="I265" i="1"/>
  <c r="I258" i="1"/>
  <c r="I245" i="1"/>
  <c r="I241" i="1"/>
  <c r="I229" i="1"/>
  <c r="I221" i="1"/>
  <c r="I216" i="1"/>
  <c r="I194" i="1"/>
  <c r="I189" i="1"/>
  <c r="I181" i="1"/>
  <c r="I179" i="1"/>
  <c r="I176" i="1"/>
  <c r="I172" i="1"/>
  <c r="I170" i="1"/>
  <c r="I167" i="1"/>
  <c r="I146" i="1"/>
  <c r="I138" i="1"/>
  <c r="I133" i="1"/>
  <c r="I129" i="1"/>
  <c r="I124" i="1"/>
  <c r="I122" i="1"/>
  <c r="I115" i="1"/>
  <c r="I114" i="1"/>
  <c r="I112" i="1"/>
  <c r="I107" i="1"/>
  <c r="I94" i="1"/>
  <c r="I90" i="1"/>
  <c r="I86" i="1"/>
  <c r="I78" i="1"/>
  <c r="I70" i="1"/>
  <c r="I60" i="1"/>
  <c r="I59" i="1"/>
  <c r="I56" i="1"/>
  <c r="I54" i="1"/>
  <c r="I53" i="1"/>
  <c r="I46" i="1"/>
  <c r="I37" i="1"/>
  <c r="I27" i="1"/>
  <c r="I20" i="1"/>
</calcChain>
</file>

<file path=xl/sharedStrings.xml><?xml version="1.0" encoding="utf-8"?>
<sst xmlns="http://schemas.openxmlformats.org/spreadsheetml/2006/main" count="3331" uniqueCount="3221">
  <si>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</si>
  <si>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</si>
  <si>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</si>
  <si>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</si>
  <si>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</si>
  <si>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</si>
  <si>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</si>
  <si>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</si>
  <si>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</si>
  <si>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</si>
  <si>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</si>
  <si>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</si>
  <si>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</si>
  <si>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</si>
  <si>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</si>
  <si>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</si>
  <si>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</si>
  <si>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</si>
  <si>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</si>
  <si>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</si>
  <si>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</si>
  <si>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</si>
  <si>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</si>
  <si>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</si>
  <si>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</si>
  <si>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</si>
  <si>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</si>
  <si>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</si>
  <si>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</si>
  <si>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</si>
  <si>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</si>
  <si>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</si>
  <si>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</si>
  <si>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</si>
  <si>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</si>
  <si>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</si>
  <si>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</si>
  <si>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</si>
  <si>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</si>
  <si>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</si>
  <si>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</si>
  <si>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</si>
  <si>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</si>
  <si>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</si>
  <si>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</si>
  <si>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</si>
  <si>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</si>
  <si>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</si>
  <si>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</si>
  <si>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</si>
  <si>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</si>
  <si>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</si>
  <si>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</si>
  <si>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</si>
  <si>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</si>
  <si>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</si>
  <si>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</si>
  <si>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</si>
  <si>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</si>
  <si>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</si>
  <si>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</si>
  <si>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</si>
  <si>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</si>
  <si>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</si>
  <si>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</si>
  <si>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</si>
  <si>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</si>
  <si>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</si>
  <si>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</si>
  <si>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</si>
  <si>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</si>
  <si>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</si>
  <si>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</si>
  <si>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</si>
  <si>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</si>
  <si>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</si>
  <si>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</si>
  <si>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</si>
  <si>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</si>
  <si>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</si>
  <si>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</si>
  <si>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</si>
  <si>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</si>
  <si>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</si>
  <si>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</si>
  <si>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</si>
  <si>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</si>
  <si>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</si>
  <si>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</si>
  <si>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</si>
  <si>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</si>
  <si>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</si>
  <si>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</si>
  <si>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</si>
  <si>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</si>
  <si>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</si>
  <si>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</si>
  <si>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</si>
  <si>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</si>
  <si>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</si>
  <si>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</si>
  <si>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</si>
  <si>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</si>
  <si>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</si>
  <si>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</si>
  <si>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</si>
  <si>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</si>
  <si>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</si>
  <si>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</si>
  <si>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</si>
  <si>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</si>
  <si>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</si>
  <si>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</si>
  <si>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</si>
  <si>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</si>
  <si>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</si>
  <si>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</si>
  <si>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</si>
  <si>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</si>
  <si>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</si>
  <si>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</si>
  <si>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</si>
  <si>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</si>
  <si>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</si>
  <si>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</si>
  <si>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</si>
  <si>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</si>
  <si>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</si>
  <si>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</si>
  <si>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</si>
  <si>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</si>
  <si>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</si>
  <si>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</si>
  <si>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</si>
  <si>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</si>
  <si>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</si>
  <si>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</si>
  <si>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</si>
  <si>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</si>
  <si>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</si>
  <si>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</si>
  <si>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</si>
  <si>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</si>
  <si>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</si>
  <si>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</si>
  <si>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</si>
  <si>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</si>
  <si>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</si>
  <si>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</si>
  <si>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</si>
  <si>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</si>
  <si>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</si>
  <si>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</si>
  <si>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</si>
  <si>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</si>
  <si>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</si>
  <si>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</si>
  <si>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</si>
  <si>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</si>
  <si>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</si>
  <si>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</si>
  <si>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</si>
  <si>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</si>
  <si>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</si>
  <si>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</si>
  <si>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</si>
  <si>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</si>
  <si>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</si>
  <si>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</si>
  <si>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</si>
  <si>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</si>
  <si>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</si>
  <si>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</si>
  <si>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</si>
  <si>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</si>
  <si>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</si>
  <si>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</si>
  <si>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</si>
  <si>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</si>
  <si>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</si>
  <si>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</si>
  <si>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</si>
  <si>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</si>
  <si>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</si>
  <si>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</si>
  <si>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</si>
  <si>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</si>
  <si>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</si>
  <si>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</si>
  <si>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</si>
  <si>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</si>
  <si>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</si>
  <si>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</si>
  <si>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</si>
  <si>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</si>
  <si>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</si>
  <si>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</si>
  <si>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</si>
  <si>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</si>
  <si>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</si>
  <si>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</si>
  <si>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</si>
  <si>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</si>
  <si>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</si>
  <si>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</si>
  <si>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</si>
  <si>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</si>
  <si>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</si>
  <si>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</si>
  <si>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</si>
  <si>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</si>
  <si>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</si>
  <si>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</si>
  <si>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</si>
  <si>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</si>
  <si>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</si>
  <si>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</si>
  <si>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</si>
  <si>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</si>
  <si>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</si>
  <si>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</si>
  <si>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</si>
  <si>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</si>
  <si>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</si>
  <si>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</si>
  <si>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</si>
  <si>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</si>
  <si>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</si>
  <si>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</si>
  <si>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</si>
  <si>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</si>
  <si>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</si>
  <si>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</si>
  <si>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</si>
  <si>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</si>
  <si>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</si>
  <si>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</si>
  <si>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</si>
  <si>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</si>
  <si>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</si>
  <si>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</si>
  <si>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</si>
  <si>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</si>
  <si>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</si>
  <si>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</si>
  <si>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</si>
  <si>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</si>
  <si>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</si>
  <si>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</si>
  <si>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</si>
  <si>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</si>
  <si>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</si>
  <si>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</si>
  <si>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</si>
  <si>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</si>
  <si>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</si>
  <si>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</si>
  <si>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</si>
  <si>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</si>
  <si>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</si>
  <si>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</si>
  <si>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</si>
  <si>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</si>
  <si>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</si>
  <si>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</si>
  <si>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</si>
  <si>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</si>
  <si>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</si>
  <si>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</si>
  <si>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</si>
  <si>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</si>
  <si>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</si>
  <si>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</si>
  <si>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</si>
  <si>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</si>
  <si>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</si>
  <si>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</si>
  <si>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</si>
  <si>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</si>
  <si>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</si>
  <si>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</si>
  <si>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</si>
  <si>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</si>
  <si>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</si>
  <si>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</si>
  <si>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</si>
  <si>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</si>
  <si>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</si>
  <si>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</si>
  <si>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</si>
  <si>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</si>
  <si>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</si>
  <si>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</si>
  <si>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</si>
  <si>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</si>
  <si>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</si>
  <si>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</si>
  <si>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</si>
  <si>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</si>
  <si>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</si>
  <si>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</si>
  <si>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</si>
  <si>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</si>
  <si>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</si>
  <si>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</si>
  <si>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</si>
  <si>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</si>
  <si>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</si>
  <si>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</si>
  <si>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</si>
  <si>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</si>
  <si>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</si>
  <si>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</si>
  <si>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</si>
  <si>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</si>
  <si>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</si>
  <si>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</si>
  <si>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</si>
  <si>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</si>
  <si>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</si>
  <si>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</si>
  <si>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</si>
  <si>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</si>
  <si>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</si>
  <si>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</si>
  <si>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</si>
  <si>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</si>
  <si>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</si>
  <si>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</si>
  <si>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</si>
  <si>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</si>
  <si>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</si>
  <si>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</si>
  <si>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</si>
  <si>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</si>
  <si>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</si>
  <si>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</si>
  <si>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</si>
  <si>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</si>
  <si>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</si>
  <si>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</si>
  <si>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</si>
  <si>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</si>
  <si>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</si>
  <si>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</si>
  <si>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</si>
  <si>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</si>
  <si>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</si>
  <si>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</si>
  <si>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</si>
  <si>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</si>
  <si>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</si>
  <si>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</si>
  <si>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</si>
  <si>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</si>
  <si>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</si>
  <si>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</si>
  <si>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</si>
  <si>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</si>
  <si>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</si>
  <si>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</si>
  <si>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</si>
  <si>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</si>
  <si>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</si>
  <si>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</si>
  <si>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</si>
  <si>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</si>
  <si>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</si>
  <si>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</si>
  <si>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</si>
  <si>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</si>
  <si>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</si>
  <si>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</si>
  <si>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</si>
  <si>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</si>
  <si>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</si>
  <si>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</si>
  <si>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</si>
  <si>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</si>
  <si>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</si>
  <si>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</si>
  <si>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</si>
  <si>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</si>
  <si>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</si>
  <si>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</si>
  <si>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</si>
  <si>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</si>
  <si>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</si>
  <si>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</si>
  <si>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</si>
  <si>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</si>
  <si>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</si>
  <si>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</si>
  <si>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</si>
  <si>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</si>
  <si>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</si>
  <si>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</si>
  <si>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</si>
  <si>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</si>
  <si>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</si>
  <si>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</si>
  <si>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</si>
  <si>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</si>
  <si>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</si>
  <si>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</si>
  <si>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</si>
  <si>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</si>
  <si>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</si>
  <si>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</si>
  <si>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</si>
  <si>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</si>
  <si>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</si>
  <si>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</si>
  <si>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</si>
  <si>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</si>
  <si>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</si>
  <si>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</si>
  <si>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</si>
  <si>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</si>
  <si>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</si>
  <si>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</si>
  <si>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</si>
  <si>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</si>
  <si>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</si>
  <si>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</si>
  <si>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</si>
  <si>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</si>
  <si>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</si>
  <si>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</si>
  <si>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</si>
  <si>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</si>
  <si>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</si>
  <si>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</si>
  <si>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</si>
  <si>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</si>
  <si>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</si>
  <si>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</si>
  <si>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</si>
  <si>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</si>
  <si>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</si>
  <si>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</si>
  <si>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</si>
  <si>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</si>
  <si>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</si>
  <si>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</si>
  <si>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</si>
  <si>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</si>
  <si>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</si>
  <si>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</si>
  <si>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</si>
  <si>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</si>
  <si>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</si>
  <si>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</si>
  <si>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</si>
  <si>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</si>
  <si>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</si>
  <si>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</si>
  <si>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</si>
  <si>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</si>
  <si>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</si>
  <si>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</si>
  <si>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</si>
  <si>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</si>
  <si>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</si>
  <si>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</si>
  <si>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</si>
  <si>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</si>
  <si>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</si>
  <si>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</si>
  <si>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</si>
  <si>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</si>
  <si>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</si>
  <si>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</si>
  <si>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</si>
  <si>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</si>
  <si>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</si>
  <si>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</si>
  <si>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</si>
  <si>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</si>
  <si>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</si>
  <si>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</si>
  <si>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</si>
  <si>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</si>
  <si>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</si>
  <si>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</si>
  <si>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</si>
  <si>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</si>
  <si>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</si>
  <si>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</si>
  <si>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</si>
  <si>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</si>
  <si>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</si>
  <si>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</si>
  <si>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</si>
  <si>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</si>
  <si>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</si>
  <si>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</si>
  <si>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</si>
  <si>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</si>
  <si>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</si>
  <si>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</si>
  <si>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</si>
  <si>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</si>
  <si>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</si>
  <si>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</si>
  <si>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</si>
  <si>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</si>
  <si>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</si>
  <si>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</si>
  <si>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</si>
  <si>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</si>
  <si>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</si>
  <si>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</si>
  <si>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</si>
  <si>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</si>
  <si>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</si>
  <si>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</si>
  <si>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</si>
  <si>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</si>
  <si>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</si>
  <si>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</si>
  <si>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</si>
  <si>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</si>
  <si>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</si>
  <si>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</si>
  <si>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</si>
  <si>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</si>
  <si>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</si>
  <si>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</si>
  <si>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</si>
  <si>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</si>
  <si>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</si>
  <si>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</si>
  <si>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</si>
  <si>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</si>
  <si>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</si>
  <si>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</si>
  <si>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</si>
  <si>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</si>
  <si>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</si>
  <si>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</si>
  <si>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</si>
  <si>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</si>
  <si>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</si>
  <si>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</si>
  <si>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</si>
  <si>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</si>
  <si>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</si>
  <si>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</si>
  <si>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</si>
  <si>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</si>
  <si>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</si>
  <si>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</si>
  <si>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</si>
  <si>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</si>
  <si>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</si>
  <si>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</si>
  <si>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</si>
  <si>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</si>
  <si>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</si>
  <si>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</si>
  <si>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</si>
  <si>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</si>
  <si>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</si>
  <si>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</si>
  <si>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</si>
  <si>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</si>
  <si>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</si>
  <si>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</si>
  <si>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</si>
  <si>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</si>
  <si>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</si>
  <si>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</si>
  <si>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</si>
  <si>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</si>
  <si>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</si>
  <si>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</si>
  <si>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</si>
  <si>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</si>
  <si>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</si>
  <si>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</si>
  <si>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</si>
  <si>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</si>
  <si>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</si>
  <si>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</si>
  <si>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</si>
  <si>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</si>
  <si>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</si>
  <si>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</si>
  <si>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</si>
  <si>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</si>
  <si>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</si>
  <si>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</si>
  <si>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</si>
  <si>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</si>
  <si>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</si>
  <si>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</si>
  <si>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</si>
  <si>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</si>
  <si>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</si>
  <si>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</si>
  <si>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</si>
  <si>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</si>
  <si>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</si>
  <si>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</si>
  <si>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</si>
  <si>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</si>
  <si>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</si>
  <si>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</si>
  <si>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</si>
  <si>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</si>
  <si>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</si>
  <si>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</si>
  <si>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</si>
  <si>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</si>
  <si>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</si>
  <si>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</si>
  <si>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</si>
  <si>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</si>
  <si>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</si>
  <si>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</si>
  <si>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</si>
  <si>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</si>
  <si>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</si>
  <si>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</si>
  <si>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</si>
  <si>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</si>
  <si>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</si>
  <si>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</si>
  <si>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</si>
  <si>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</si>
  <si>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</si>
  <si>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</si>
  <si>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</si>
  <si>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</si>
  <si>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</si>
  <si>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</si>
  <si>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</si>
  <si>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</si>
  <si>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</si>
  <si>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</si>
  <si>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</si>
  <si>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</si>
  <si>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</si>
  <si>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</si>
  <si>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</si>
  <si>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</si>
  <si>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</si>
  <si>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</si>
  <si>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</si>
  <si>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</si>
  <si>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</si>
  <si>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</si>
  <si>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</si>
  <si>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</si>
  <si>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</si>
  <si>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</si>
  <si>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</si>
  <si>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</si>
  <si>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</si>
  <si>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</si>
  <si>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</si>
  <si>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</si>
  <si>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</si>
  <si>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</si>
  <si>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</si>
  <si>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</si>
  <si>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</si>
  <si>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</si>
  <si>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</si>
  <si>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</si>
  <si>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</si>
  <si>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</si>
  <si>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</si>
  <si>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</si>
  <si>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</si>
  <si>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</si>
  <si>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</si>
  <si>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</si>
  <si>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</si>
  <si>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</si>
  <si>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</si>
  <si>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</si>
  <si>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</si>
  <si>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</si>
  <si>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</si>
  <si>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</si>
  <si>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</si>
  <si>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</si>
  <si>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</si>
  <si>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</si>
  <si>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</si>
  <si>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</si>
  <si>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</si>
  <si>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</si>
  <si>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</si>
  <si>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</si>
  <si>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</si>
  <si>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</si>
  <si>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</si>
  <si>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</si>
  <si>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</si>
  <si>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</si>
  <si>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</si>
  <si>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</si>
  <si>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</si>
  <si>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</si>
  <si>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</si>
  <si>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</si>
  <si>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</si>
  <si>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</si>
  <si>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</si>
  <si>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</si>
  <si>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</si>
  <si>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</si>
  <si>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</si>
  <si>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</si>
  <si>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</si>
  <si>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</si>
  <si>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</si>
  <si>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</si>
  <si>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</si>
  <si>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</si>
  <si>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</si>
  <si>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</si>
  <si>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</si>
  <si>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</si>
  <si>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</si>
  <si>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</si>
  <si>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</si>
  <si>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</si>
  <si>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</si>
  <si>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</si>
  <si>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</si>
  <si>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</si>
  <si>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</si>
  <si>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</si>
  <si>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</si>
  <si>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</si>
  <si>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</si>
  <si>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</si>
  <si>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</si>
  <si>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</si>
  <si>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</si>
  <si>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</si>
  <si>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</si>
  <si>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</si>
  <si>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</si>
  <si>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</si>
  <si>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</si>
  <si>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</si>
  <si>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</si>
  <si>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</si>
  <si>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</si>
  <si>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</si>
  <si>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</si>
  <si>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</si>
  <si>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</si>
  <si>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</si>
  <si>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</si>
  <si>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</si>
  <si>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</si>
  <si>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</si>
  <si>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</si>
  <si>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</si>
  <si>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</si>
  <si>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</si>
  <si>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</si>
  <si>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</si>
  <si>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</si>
  <si>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</si>
  <si>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</si>
  <si>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</si>
  <si>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</si>
  <si>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</si>
  <si>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</si>
  <si>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</si>
  <si>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</si>
  <si>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</si>
  <si>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</si>
  <si>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</si>
  <si>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</si>
  <si>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</si>
  <si>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</si>
  <si>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</si>
  <si>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</si>
  <si>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</si>
  <si>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</si>
  <si>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</si>
  <si>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</si>
  <si>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</si>
  <si>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</si>
  <si>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</si>
  <si>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</si>
  <si>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</si>
  <si>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</si>
  <si>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</si>
  <si>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</si>
  <si>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</si>
  <si>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</si>
  <si>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</si>
  <si>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</si>
  <si>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</si>
  <si>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</si>
  <si>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</si>
  <si>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</si>
  <si>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</si>
  <si>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</si>
  <si>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</si>
  <si>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</si>
  <si>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</si>
  <si>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</si>
  <si>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</si>
  <si>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</si>
  <si>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</si>
  <si>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</si>
  <si>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</si>
  <si>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</si>
  <si>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</si>
  <si>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</si>
  <si>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</si>
  <si>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</si>
  <si>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</si>
  <si>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</si>
  <si>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</si>
  <si>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</si>
  <si>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</si>
  <si>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</si>
  <si>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</si>
  <si>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</si>
  <si>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</si>
  <si>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</si>
  <si>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</si>
  <si>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</si>
  <si>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</si>
  <si>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</si>
  <si>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</si>
  <si>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</si>
  <si>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</si>
  <si>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</si>
  <si>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</si>
  <si>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</si>
  <si>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</si>
  <si>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</si>
  <si>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</si>
  <si>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</si>
  <si>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</si>
  <si>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</si>
  <si>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</si>
  <si>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</si>
  <si>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</si>
  <si>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</si>
  <si>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</si>
  <si>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</si>
  <si>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</si>
  <si>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</si>
  <si>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</si>
  <si>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</si>
  <si>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</si>
  <si>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</si>
  <si>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</si>
  <si>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</si>
  <si>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</si>
  <si>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</si>
  <si>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</si>
  <si>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</si>
  <si>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</si>
  <si>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</si>
  <si>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</si>
  <si>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</si>
  <si>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</si>
  <si>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</si>
  <si>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</si>
  <si>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</si>
  <si>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</si>
  <si>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</si>
  <si>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</si>
  <si>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</si>
  <si>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</si>
  <si>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</si>
  <si>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</si>
  <si>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</si>
  <si>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</si>
  <si>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</si>
  <si>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</si>
  <si>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</si>
  <si>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</si>
  <si>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</si>
  <si>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</si>
  <si>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</si>
  <si>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</si>
  <si>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</si>
  <si>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</si>
  <si>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</si>
  <si>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</si>
  <si>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</si>
  <si>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</si>
  <si>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</si>
  <si>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</si>
  <si>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</si>
  <si>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</si>
  <si>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</si>
  <si>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</si>
  <si>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</si>
  <si>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</si>
  <si>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</si>
  <si>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</si>
  <si>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</si>
  <si>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</si>
  <si>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</si>
  <si>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</si>
  <si>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</si>
  <si>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</si>
  <si>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</si>
  <si>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</si>
  <si>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</si>
  <si>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</si>
  <si>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</si>
  <si>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</si>
  <si>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</si>
  <si>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</si>
  <si>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</si>
  <si>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</si>
  <si>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</si>
  <si>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</si>
  <si>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</si>
  <si>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</si>
  <si>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</si>
  <si>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</si>
  <si>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</si>
  <si>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</si>
  <si>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</si>
  <si>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</si>
  <si>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</si>
  <si>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</si>
  <si>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</si>
  <si>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</si>
  <si>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</si>
  <si>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</si>
  <si>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</si>
  <si>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</si>
  <si>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</si>
  <si>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</si>
  <si>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</si>
  <si>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</si>
  <si>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</si>
  <si>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</si>
  <si>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</si>
  <si>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</si>
  <si>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</si>
  <si>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</si>
  <si>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</si>
  <si>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</si>
  <si>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</si>
  <si>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</si>
  <si>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</si>
  <si>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</si>
  <si>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</si>
  <si>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</si>
  <si>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</si>
  <si>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</si>
  <si>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</si>
  <si>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</si>
  <si>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</si>
  <si>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</si>
  <si>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</si>
  <si>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</si>
  <si>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</si>
  <si>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</si>
  <si>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</si>
  <si>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</si>
  <si>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</si>
  <si>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</si>
  <si>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</si>
  <si>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</si>
  <si>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</si>
  <si>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</si>
  <si>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</si>
  <si>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</si>
  <si>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</si>
  <si>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</si>
  <si>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</si>
  <si>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</si>
  <si>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</si>
  <si>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</si>
  <si>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</si>
  <si>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</si>
  <si>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</si>
  <si>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</si>
  <si>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</si>
  <si>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</si>
  <si>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</si>
  <si>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</si>
  <si>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</si>
  <si>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</si>
  <si>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</si>
  <si>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</si>
  <si>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</si>
  <si>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</si>
  <si>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</si>
  <si>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</si>
  <si>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</si>
  <si>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</si>
  <si>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</si>
  <si>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</si>
  <si>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</si>
  <si>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</si>
  <si>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</si>
  <si>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</si>
  <si>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</si>
  <si>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</si>
  <si>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</si>
  <si>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</si>
  <si>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</si>
  <si>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</si>
  <si>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</si>
  <si>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</si>
  <si>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</si>
  <si>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</si>
  <si>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</si>
  <si>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</si>
  <si>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</si>
  <si>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</si>
  <si>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</si>
  <si>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</si>
  <si>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</si>
  <si>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</si>
  <si>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</si>
  <si>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</si>
  <si>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</si>
  <si>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</si>
  <si>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</si>
  <si>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</si>
  <si>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</si>
  <si>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</si>
  <si>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</si>
  <si>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</si>
  <si>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</si>
  <si>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</si>
  <si>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</si>
  <si>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</si>
  <si>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</si>
  <si>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</si>
  <si>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</si>
  <si>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</si>
  <si>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</si>
  <si>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</si>
  <si>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</si>
  <si>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</si>
  <si>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</si>
  <si>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</si>
  <si>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</si>
  <si>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</si>
  <si>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</si>
  <si>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</si>
  <si>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</si>
  <si>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</si>
  <si>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</si>
  <si>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</si>
  <si>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</si>
  <si>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</si>
  <si>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</si>
  <si>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</si>
  <si>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</si>
  <si>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</si>
  <si>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</si>
  <si>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</si>
  <si>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</si>
  <si>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</si>
  <si>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</si>
  <si>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</si>
  <si>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</si>
  <si>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</si>
  <si>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</si>
  <si>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</si>
  <si>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</si>
  <si>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</si>
  <si>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</si>
  <si>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</si>
  <si>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</si>
  <si>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</si>
  <si>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</si>
  <si>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</si>
  <si>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</si>
  <si>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</si>
  <si>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</si>
  <si>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</si>
  <si>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</si>
  <si>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</si>
  <si>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</si>
  <si>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</si>
  <si>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</si>
  <si>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</si>
  <si>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</si>
  <si>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</si>
  <si>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</si>
  <si>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</si>
  <si>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</si>
  <si>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</si>
  <si>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</si>
  <si>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</si>
  <si>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</si>
  <si>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</si>
  <si>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</si>
  <si>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</si>
  <si>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</si>
  <si>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</si>
  <si>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</si>
  <si>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</si>
  <si>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</si>
  <si>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</si>
  <si>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</si>
  <si>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</si>
  <si>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</si>
  <si>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</si>
  <si>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</si>
  <si>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</si>
  <si>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</si>
  <si>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</si>
  <si>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</si>
  <si>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</si>
  <si>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</si>
  <si>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</si>
  <si>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</si>
  <si>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</si>
  <si>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</si>
  <si>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</si>
  <si>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</si>
  <si>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</si>
  <si>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</si>
  <si>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</si>
  <si>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</si>
  <si>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</si>
  <si>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</si>
  <si>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</si>
  <si>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</si>
  <si>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</si>
  <si>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</si>
  <si>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</si>
  <si>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</si>
  <si>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</si>
  <si>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</si>
  <si>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</si>
  <si>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</si>
  <si>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</si>
  <si>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</si>
  <si>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</si>
  <si>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</si>
  <si>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</si>
  <si>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</si>
  <si>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</si>
  <si>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</si>
  <si>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</si>
  <si>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</si>
  <si>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</si>
  <si>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</si>
  <si>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</si>
  <si>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</si>
  <si>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</si>
  <si>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</si>
  <si>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</si>
  <si>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</si>
  <si>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</si>
  <si>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</si>
  <si>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</si>
  <si>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</si>
  <si>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</si>
  <si>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</si>
  <si>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</si>
  <si>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</si>
  <si>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</si>
  <si>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</si>
  <si>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</si>
  <si>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</si>
  <si>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</si>
  <si>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</si>
  <si>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</si>
  <si>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</si>
  <si>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</si>
  <si>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</si>
  <si>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</si>
  <si>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</si>
  <si>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</si>
  <si>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</si>
  <si>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</si>
  <si>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</si>
  <si>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</si>
  <si>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</si>
  <si>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</si>
  <si>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</si>
  <si>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</si>
  <si>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</si>
  <si>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</si>
  <si>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</si>
  <si>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</si>
  <si>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</si>
  <si>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</si>
  <si>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</si>
  <si>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</si>
  <si>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</si>
  <si>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</si>
  <si>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</si>
  <si>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</si>
  <si>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</si>
  <si>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</si>
  <si>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</si>
  <si>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</si>
  <si>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</si>
  <si>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</si>
  <si>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</si>
  <si>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</si>
  <si>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</si>
  <si>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</si>
  <si>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</si>
  <si>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</si>
  <si>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</si>
  <si>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</si>
  <si>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</si>
  <si>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</si>
  <si>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</si>
  <si>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</si>
  <si>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</si>
  <si>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</si>
  <si>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</si>
  <si>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</si>
  <si>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</si>
  <si>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</si>
  <si>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</si>
  <si>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</si>
  <si>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</si>
  <si>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</si>
  <si>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</si>
  <si>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</si>
  <si>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</si>
  <si>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</si>
  <si>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</si>
  <si>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</si>
  <si>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</si>
  <si>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</si>
  <si>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</si>
  <si>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</si>
  <si>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</si>
  <si>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</si>
  <si>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</si>
  <si>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</si>
  <si>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</si>
  <si>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</si>
  <si>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</si>
  <si>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</si>
  <si>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</si>
  <si>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</si>
  <si>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</si>
  <si>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</si>
  <si>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</si>
  <si>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</si>
  <si>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</si>
  <si>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</si>
  <si>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</si>
  <si>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</si>
  <si>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</si>
  <si>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</si>
  <si>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</si>
  <si>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</si>
  <si>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</si>
  <si>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</si>
  <si>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</si>
  <si>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</si>
  <si>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</si>
  <si>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</si>
  <si>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</si>
  <si>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</si>
  <si>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</si>
  <si>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</si>
  <si>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</si>
  <si>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</si>
  <si>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</si>
  <si>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</si>
  <si>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</si>
  <si>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</si>
  <si>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</si>
  <si>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</si>
  <si>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</si>
  <si>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</si>
  <si>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</si>
  <si>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</si>
  <si>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</si>
  <si>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</si>
  <si>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</si>
  <si>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</si>
  <si>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</si>
  <si>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</si>
  <si>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</si>
  <si>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</si>
  <si>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</si>
  <si>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</si>
  <si>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</si>
  <si>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</si>
  <si>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</si>
  <si>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</si>
  <si>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</si>
  <si>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</si>
  <si>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</si>
  <si>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</si>
  <si>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</si>
  <si>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</si>
  <si>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</si>
  <si>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</si>
  <si>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</si>
  <si>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</si>
  <si>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</si>
  <si>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</si>
  <si>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</si>
  <si>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</si>
  <si>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</si>
  <si>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</si>
  <si>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</si>
  <si>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</si>
  <si>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</si>
  <si>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</si>
  <si>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</si>
  <si>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</si>
  <si>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</si>
  <si>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</si>
  <si>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</si>
  <si>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</si>
  <si>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</si>
  <si>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</si>
  <si>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</si>
  <si>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</si>
  <si>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</si>
  <si>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</si>
  <si>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</si>
  <si>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</si>
  <si>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</si>
  <si>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</si>
  <si>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</si>
  <si>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</si>
  <si>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</si>
  <si>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</si>
  <si>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</si>
  <si>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</si>
  <si>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</si>
  <si>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</si>
  <si>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</si>
  <si>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</si>
  <si>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</si>
  <si>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</si>
  <si>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</si>
  <si>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</si>
  <si>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</si>
  <si>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</si>
  <si>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</si>
  <si>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</si>
  <si>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</si>
  <si>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</si>
  <si>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</si>
  <si>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</si>
  <si>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</si>
  <si>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</si>
  <si>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</si>
  <si>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</si>
  <si>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</si>
  <si>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</si>
  <si>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</si>
  <si>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</si>
  <si>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</si>
  <si>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</si>
  <si>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</si>
  <si>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</si>
  <si>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</si>
  <si>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</si>
  <si>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</si>
  <si>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</si>
  <si>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</si>
  <si>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</si>
  <si>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</si>
  <si>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</si>
  <si>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</si>
  <si>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</si>
  <si>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</si>
  <si>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</si>
  <si>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</si>
  <si>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</si>
  <si>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</si>
  <si>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</si>
  <si>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</si>
  <si>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</si>
  <si>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</si>
  <si>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</si>
  <si>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</si>
  <si>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</si>
  <si>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</si>
  <si>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</si>
  <si>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</si>
  <si>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</si>
  <si>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</si>
  <si>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</si>
  <si>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</si>
  <si>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</si>
  <si>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</si>
  <si>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</si>
  <si>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</si>
  <si>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</si>
  <si>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</si>
  <si>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</si>
  <si>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</si>
  <si>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</si>
  <si>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</si>
  <si>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</si>
  <si>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</si>
  <si>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</si>
  <si>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</si>
  <si>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</si>
  <si>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</si>
  <si>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</si>
  <si>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</si>
  <si>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</si>
  <si>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</si>
  <si>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</si>
  <si>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</si>
  <si>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</si>
  <si>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</si>
  <si>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</si>
  <si>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</si>
  <si>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</si>
  <si>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</si>
  <si>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</si>
  <si>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</si>
  <si>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</si>
  <si>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</si>
  <si>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</si>
  <si>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</si>
  <si>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</si>
  <si>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</si>
  <si>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</si>
  <si>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</si>
  <si>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</si>
  <si>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</si>
  <si>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</si>
  <si>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</si>
  <si>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</si>
  <si>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</si>
  <si>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</si>
  <si>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</si>
  <si>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</si>
  <si>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</si>
  <si>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</si>
  <si>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</si>
  <si>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</si>
  <si>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</si>
  <si>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</si>
  <si>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</si>
  <si>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</si>
  <si>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</si>
  <si>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</si>
  <si>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</si>
  <si>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</si>
  <si>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</si>
  <si>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</si>
  <si>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</si>
  <si>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</si>
  <si>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</si>
  <si>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</si>
  <si>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</si>
  <si>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</si>
  <si>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</si>
  <si>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</si>
  <si>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</si>
  <si>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</si>
  <si>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</si>
  <si>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</si>
  <si>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</si>
  <si>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</si>
  <si>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</si>
  <si>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</si>
  <si>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</si>
  <si>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</si>
  <si>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</si>
  <si>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</si>
  <si>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</si>
  <si>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</si>
  <si>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</si>
  <si>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</si>
  <si>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</si>
  <si>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</si>
  <si>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</si>
  <si>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</si>
  <si>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</si>
  <si>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</si>
  <si>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</si>
  <si>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</si>
  <si>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</si>
  <si>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</si>
  <si>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</si>
  <si>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</si>
  <si>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</si>
  <si>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</si>
  <si>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</si>
  <si>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</si>
  <si>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</si>
  <si>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</si>
  <si>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</si>
  <si>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</si>
  <si>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</si>
  <si>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</si>
  <si>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</si>
  <si>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</si>
  <si>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</si>
  <si>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</si>
  <si>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</si>
  <si>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</si>
  <si>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</si>
  <si>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</si>
  <si>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</si>
  <si>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</si>
  <si>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</si>
  <si>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</si>
  <si>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</si>
  <si>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</si>
  <si>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</si>
  <si>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</si>
  <si>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</si>
  <si>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</si>
  <si>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</si>
  <si>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</si>
  <si>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</si>
  <si>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</si>
  <si>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</si>
  <si>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</si>
  <si>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</si>
  <si>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</si>
  <si>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</si>
  <si>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</si>
  <si>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</si>
  <si>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</si>
  <si>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</si>
  <si>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</si>
  <si>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</si>
  <si>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</si>
  <si>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</si>
  <si>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</si>
  <si>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</si>
  <si>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</si>
  <si>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</si>
  <si>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</si>
  <si>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</si>
  <si>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</si>
  <si>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</si>
  <si>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</si>
  <si>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</si>
  <si>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</si>
  <si>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</si>
  <si>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</si>
  <si>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</si>
  <si>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</si>
  <si>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</si>
  <si>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</si>
  <si>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</si>
  <si>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</si>
  <si>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</si>
  <si>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</si>
  <si>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</si>
  <si>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</si>
  <si>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</si>
  <si>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</si>
  <si>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</si>
  <si>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</si>
  <si>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</si>
  <si>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</si>
  <si>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</si>
  <si>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</si>
  <si>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</si>
  <si>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</si>
  <si>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</si>
  <si>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</si>
  <si>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</si>
  <si>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</si>
  <si>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</si>
  <si>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</si>
  <si>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</si>
  <si>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</si>
  <si>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</si>
  <si>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</si>
  <si>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</si>
  <si>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</si>
  <si>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</si>
  <si>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</si>
  <si>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</si>
  <si>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</si>
  <si>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</si>
  <si>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</si>
  <si>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</si>
  <si>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</si>
  <si>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</si>
  <si>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</si>
  <si>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</si>
  <si>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</si>
  <si>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</si>
  <si>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</si>
  <si>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</si>
  <si>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</si>
  <si>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</si>
  <si>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</si>
  <si>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</si>
  <si>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</si>
  <si>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</si>
  <si>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</si>
  <si>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</si>
  <si>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</si>
  <si>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</si>
  <si>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</si>
  <si>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</si>
  <si>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</si>
  <si>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</si>
  <si>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</si>
  <si>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</si>
  <si>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</si>
  <si>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</si>
  <si>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</si>
  <si>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</si>
  <si>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</si>
  <si>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</si>
  <si>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</si>
  <si>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</si>
  <si>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</si>
  <si>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</si>
  <si>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</si>
  <si>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</si>
  <si>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</si>
  <si>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</si>
  <si>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</si>
  <si>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</si>
  <si>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</si>
  <si>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</si>
  <si>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</si>
  <si>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</si>
  <si>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</si>
  <si>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</si>
  <si>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</si>
  <si>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</si>
  <si>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</si>
  <si>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</si>
  <si>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</si>
  <si>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</si>
  <si>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</si>
  <si>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</si>
  <si>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</si>
  <si>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</si>
  <si>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</si>
  <si>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</si>
  <si>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</si>
  <si>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</si>
  <si>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</si>
  <si>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</si>
  <si>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</si>
  <si>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</si>
  <si>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</si>
  <si>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</si>
  <si>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</si>
  <si>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</si>
  <si>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</si>
  <si>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</si>
  <si>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</si>
  <si>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</si>
  <si>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</si>
  <si>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</si>
  <si>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</si>
  <si>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</si>
  <si>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</si>
  <si>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</si>
  <si>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</si>
  <si>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</si>
  <si>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</si>
  <si>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</si>
  <si>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</si>
  <si>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</si>
  <si>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</si>
  <si>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</si>
  <si>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</si>
  <si>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</si>
  <si>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</si>
  <si>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</si>
  <si>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</si>
  <si>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</si>
  <si>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</si>
  <si>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</si>
  <si>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</si>
  <si>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</si>
  <si>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</si>
  <si>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</si>
  <si>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</si>
  <si>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</si>
  <si>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</si>
  <si>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</si>
  <si>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</si>
  <si>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</si>
  <si>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</si>
  <si>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</si>
  <si>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</si>
  <si>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</si>
  <si>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</si>
  <si>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</si>
  <si>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</si>
  <si>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</si>
  <si>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</si>
  <si>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</si>
  <si>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</si>
  <si>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</si>
  <si>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</si>
  <si>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</si>
  <si>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</si>
  <si>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</si>
  <si>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</si>
  <si>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</si>
  <si>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</si>
  <si>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</si>
  <si>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</si>
  <si>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</si>
  <si>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</si>
  <si>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</si>
  <si>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</si>
  <si>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</si>
  <si>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</si>
  <si>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</si>
  <si>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</si>
  <si>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</si>
  <si>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</si>
  <si>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</si>
  <si>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</si>
  <si>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</si>
  <si>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</si>
  <si>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</si>
  <si>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</si>
  <si>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</si>
  <si>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</si>
  <si>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</si>
  <si>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</si>
  <si>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</si>
  <si>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</si>
  <si>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</si>
  <si>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</si>
  <si>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</si>
  <si>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</si>
  <si>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</si>
  <si>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</si>
  <si>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</si>
  <si>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</si>
  <si>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</si>
  <si>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</si>
  <si>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</si>
  <si>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</si>
  <si>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</si>
  <si>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</si>
  <si>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</si>
  <si>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</si>
  <si>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</si>
  <si>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</si>
  <si>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</si>
  <si>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</si>
  <si>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</si>
  <si>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</si>
  <si>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</si>
  <si>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</si>
  <si>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</si>
  <si>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</si>
  <si>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</si>
  <si>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</si>
  <si>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</si>
  <si>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</si>
  <si>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</si>
  <si>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</si>
  <si>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</si>
  <si>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</si>
  <si>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</si>
  <si>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</si>
  <si>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</si>
  <si>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</si>
  <si>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</si>
  <si>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</si>
  <si>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</si>
  <si>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</si>
  <si>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</si>
  <si>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</si>
  <si>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</si>
  <si>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</si>
  <si>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</si>
  <si>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</si>
  <si>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</si>
  <si>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</si>
  <si>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</si>
  <si>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</si>
  <si>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</si>
  <si>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</si>
  <si>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</si>
  <si>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</si>
  <si>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</si>
  <si>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</si>
  <si>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</si>
  <si>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</si>
  <si>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</si>
  <si>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</si>
  <si>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</si>
  <si>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</si>
  <si>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</si>
  <si>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</si>
  <si>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</si>
  <si>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</si>
  <si>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</si>
  <si>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</si>
  <si>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</si>
  <si>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</si>
  <si>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</si>
  <si>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</si>
  <si>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</si>
  <si>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</si>
  <si>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</si>
  <si>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</si>
  <si>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</si>
  <si>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</si>
  <si>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</si>
  <si>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</si>
  <si>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</si>
  <si>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</si>
  <si>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</si>
  <si>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</si>
  <si>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</si>
  <si>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</si>
  <si>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</si>
  <si>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</si>
  <si>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</si>
  <si>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</si>
  <si>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</si>
  <si>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</si>
  <si>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</si>
  <si>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</si>
  <si>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</si>
  <si>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</si>
  <si>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</si>
  <si>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</si>
  <si>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</si>
  <si>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</si>
  <si>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</si>
  <si>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</si>
  <si>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</si>
  <si>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</si>
  <si>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</si>
  <si>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</si>
  <si>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</si>
  <si>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</si>
  <si>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</si>
  <si>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</si>
  <si>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</si>
  <si>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</si>
  <si>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</si>
  <si>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</si>
  <si>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</si>
  <si>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</si>
  <si>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</si>
  <si>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</si>
  <si>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</si>
  <si>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</si>
  <si>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</si>
  <si>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</si>
  <si>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</si>
  <si>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</si>
  <si>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</si>
  <si>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</si>
  <si>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</si>
  <si>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</si>
  <si>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</si>
  <si>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</si>
  <si>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</si>
  <si>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</si>
  <si>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</si>
  <si>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</si>
  <si>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</si>
  <si>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</si>
  <si>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</si>
  <si>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</si>
  <si>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</si>
  <si>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</si>
  <si>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</si>
  <si>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</si>
  <si>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</si>
  <si>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</si>
  <si>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</si>
  <si>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</si>
  <si>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</si>
  <si>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</si>
  <si>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</si>
  <si>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</si>
  <si>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</si>
  <si>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</si>
  <si>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</si>
  <si>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</si>
  <si>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</si>
  <si>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</si>
  <si>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</si>
  <si>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</si>
  <si>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</si>
  <si>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</si>
  <si>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</si>
  <si>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</si>
  <si>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</si>
  <si>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</si>
  <si>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</si>
  <si>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</si>
  <si>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</si>
  <si>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</si>
  <si>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</si>
  <si>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</si>
  <si>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</si>
  <si>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</si>
  <si>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</si>
  <si>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</si>
  <si>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</si>
  <si>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</si>
  <si>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</si>
  <si>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</si>
  <si>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</si>
  <si>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</si>
  <si>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</si>
  <si>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</si>
  <si>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</si>
  <si>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</si>
  <si>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</si>
  <si>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</si>
  <si>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</si>
  <si>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</si>
  <si>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</si>
  <si>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</si>
  <si>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</si>
  <si>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</si>
  <si>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</si>
  <si>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</si>
  <si>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</si>
  <si>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</si>
  <si>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</si>
  <si>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</si>
  <si>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</si>
  <si>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</si>
  <si>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</si>
  <si>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</si>
  <si>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</si>
  <si>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</si>
  <si>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</si>
  <si>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</si>
  <si>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</si>
  <si>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</si>
  <si>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</si>
  <si>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</si>
  <si>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</si>
  <si>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</si>
  <si>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</si>
  <si>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</si>
  <si>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</si>
  <si>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</si>
  <si>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</si>
  <si>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</si>
  <si>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</si>
  <si>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</si>
  <si>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</si>
  <si>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</si>
  <si>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</si>
  <si>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</si>
  <si>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</si>
  <si>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</si>
  <si>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</si>
  <si>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</si>
  <si>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</si>
  <si>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</si>
  <si>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</si>
  <si>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</si>
  <si>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</si>
  <si>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</si>
  <si>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</si>
  <si>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</si>
  <si>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</si>
  <si>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</si>
  <si>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</si>
  <si>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</si>
  <si>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</si>
  <si>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</si>
  <si>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</si>
  <si>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</si>
  <si>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</si>
  <si>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</si>
  <si>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</si>
  <si>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</si>
  <si>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</si>
  <si>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</si>
  <si>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</si>
  <si>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</si>
  <si>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</si>
  <si>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</si>
  <si>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</si>
  <si>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</si>
  <si>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</si>
  <si>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</si>
  <si>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</si>
  <si>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</si>
  <si>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</si>
  <si>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</si>
  <si>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</si>
  <si>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</si>
  <si>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</si>
  <si>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</si>
  <si>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</si>
  <si>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</si>
  <si>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</si>
  <si>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</si>
  <si>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</si>
  <si>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</si>
  <si>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</si>
  <si>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</si>
  <si>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</si>
  <si>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</si>
  <si>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</si>
  <si>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</si>
  <si>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</si>
  <si>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</si>
  <si>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</si>
  <si>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</si>
  <si>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</si>
  <si>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</si>
  <si>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</si>
  <si>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</si>
  <si>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</si>
  <si>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</si>
  <si>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</si>
  <si>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</si>
  <si>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</si>
  <si>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</si>
  <si>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</si>
  <si>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</si>
  <si>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</si>
  <si>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</si>
  <si>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</si>
  <si>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</si>
  <si>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</si>
  <si>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</si>
  <si>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</si>
  <si>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</si>
  <si>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</si>
  <si>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</si>
  <si>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</si>
  <si>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</si>
  <si>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</si>
  <si>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</si>
  <si>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</si>
  <si>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</si>
  <si>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</si>
  <si>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</si>
  <si>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</si>
  <si>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</si>
  <si>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</si>
  <si>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</si>
  <si>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</si>
  <si>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</si>
  <si>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</si>
  <si>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</si>
  <si>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</si>
  <si>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</si>
  <si>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</si>
  <si>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</si>
  <si>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</si>
  <si>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</si>
  <si>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</si>
  <si>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</si>
  <si>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</si>
  <si>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</si>
  <si>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</si>
  <si>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</si>
  <si>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</si>
  <si>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</si>
  <si>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</si>
  <si>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</si>
  <si>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</si>
  <si>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</si>
  <si>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</si>
  <si>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</si>
  <si>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</si>
  <si>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</si>
  <si>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</si>
  <si>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</si>
  <si>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</si>
  <si>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</si>
  <si>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</si>
  <si>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</si>
  <si>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</si>
  <si>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</si>
  <si>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</si>
  <si>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</si>
  <si>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</si>
  <si>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</si>
  <si>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</si>
  <si>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</si>
  <si>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</si>
  <si>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</si>
  <si>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</si>
  <si>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</si>
  <si>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</si>
  <si>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</si>
  <si>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</si>
  <si>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</si>
  <si>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</si>
  <si>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</si>
  <si>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</si>
  <si>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</si>
  <si>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</si>
  <si>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</si>
  <si>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</si>
  <si>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</si>
  <si>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</si>
  <si>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</si>
  <si>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</si>
  <si>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</si>
  <si>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</si>
  <si>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</si>
  <si>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</si>
  <si>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</si>
  <si>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</si>
  <si>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</si>
  <si>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</si>
  <si>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</si>
  <si>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</si>
  <si>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</si>
  <si>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</si>
  <si>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</si>
  <si>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</si>
  <si>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</si>
  <si>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</si>
  <si>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</si>
  <si>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</si>
  <si>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</si>
  <si>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</si>
  <si>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</si>
  <si>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</si>
  <si>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</si>
  <si>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</si>
  <si>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</si>
  <si>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</si>
  <si>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</si>
  <si>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</si>
  <si>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</si>
  <si>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</si>
  <si>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</si>
  <si>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</si>
  <si>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</si>
  <si>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</si>
  <si>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</si>
  <si>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</si>
  <si>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</si>
  <si>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</si>
  <si>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</si>
  <si>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</si>
  <si>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</si>
  <si>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</si>
  <si>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</si>
  <si>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</si>
  <si>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</si>
  <si>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</si>
  <si>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</si>
  <si>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</si>
  <si>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</si>
  <si>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</si>
  <si>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</si>
  <si>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</si>
  <si>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</si>
  <si>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</si>
  <si>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</si>
  <si>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</si>
  <si>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</si>
  <si>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</si>
  <si>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</si>
  <si>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</si>
  <si>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</si>
  <si>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</si>
  <si>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</si>
  <si>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</si>
  <si>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</si>
  <si>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</si>
  <si>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</si>
  <si>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</si>
  <si>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</si>
  <si>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</si>
  <si>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</si>
  <si>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</si>
  <si>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</si>
  <si>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</si>
  <si>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</si>
  <si>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</si>
  <si>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</si>
  <si>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</si>
  <si>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</si>
  <si>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</si>
  <si>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</si>
  <si>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</si>
  <si>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</si>
  <si>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</si>
  <si>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</si>
  <si>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</si>
  <si>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</si>
  <si>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</si>
  <si>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</si>
  <si>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</si>
  <si>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</si>
  <si>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</si>
  <si>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</si>
  <si>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</si>
  <si>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</si>
  <si>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</si>
  <si>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</si>
  <si>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</si>
  <si>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</si>
  <si>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</si>
  <si>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</si>
  <si>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</si>
  <si>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</si>
  <si>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</si>
  <si>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</si>
  <si>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</si>
  <si>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</si>
  <si>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</si>
  <si>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</si>
  <si>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</si>
  <si>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</si>
  <si>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</si>
  <si>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</si>
  <si>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</si>
  <si>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</si>
  <si>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</si>
  <si>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</si>
  <si>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</si>
  <si>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</si>
  <si>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</si>
  <si>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</si>
  <si>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</si>
  <si>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</si>
  <si>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</si>
  <si>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</si>
  <si>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</si>
  <si>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</si>
  <si>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</si>
  <si>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</si>
  <si>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</si>
  <si>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</si>
  <si>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</si>
  <si>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</si>
  <si>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</si>
  <si>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</si>
  <si>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</si>
  <si>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ADRIANA MARCELA BENAVIDES CAMARGO</t>
  </si>
  <si>
    <t>adrirudolf@hotmail.com</t>
  </si>
  <si>
    <t>CLLE 27 NO 17 - 42</t>
  </si>
  <si>
    <t>1002538431</t>
  </si>
  <si>
    <t>ALEJANDRO GONZALEZ BECERRA</t>
  </si>
  <si>
    <t>gonzalesbecerraalejandro1998@gmail.com</t>
  </si>
  <si>
    <t xml:space="preserve">VEREDA SANTA RITA tuta </t>
  </si>
  <si>
    <t>ALEXA YORLEY JIMENEZ RODRIGUEZ</t>
  </si>
  <si>
    <t>alejime1216@gmail.com</t>
  </si>
  <si>
    <t>VEREDA RESGUARDO  TUTA</t>
  </si>
  <si>
    <t>79473009</t>
  </si>
  <si>
    <t>ALIRIO FIGUEREDO FIGUEREDO</t>
  </si>
  <si>
    <t>figueredoalirio06@gmail.com</t>
  </si>
  <si>
    <t>CALLE 19 N 45-22</t>
  </si>
  <si>
    <t>ANA BRIGIDA SIBO</t>
  </si>
  <si>
    <t>anabrigidasibo29@gmail.com</t>
  </si>
  <si>
    <t>MANZANA A CASA 9 VILLA DE PRADO</t>
  </si>
  <si>
    <t>1056930341</t>
  </si>
  <si>
    <t>ANA MARIA MONROY CORREALES</t>
  </si>
  <si>
    <t>mayu2408@hotmail.com</t>
  </si>
  <si>
    <t>CRA 17 N 26-56</t>
  </si>
  <si>
    <t>ANA MARIA PITA RUIZ</t>
  </si>
  <si>
    <t>ampitar13@gmail.com</t>
  </si>
  <si>
    <t>cra 21 n 27- 98</t>
  </si>
  <si>
    <t>46682989</t>
  </si>
  <si>
    <t>ANA MILENA PUERTO DIAZ</t>
  </si>
  <si>
    <t>apuertodiaz@yahoo.com</t>
  </si>
  <si>
    <t>CALLE 17 N 22 A 03</t>
  </si>
  <si>
    <t>ANA VIRGINIA RUIZ SUAREZ</t>
  </si>
  <si>
    <t>anvirs30@hotmail.com</t>
  </si>
  <si>
    <t>CASA 12 MZ 25 BLOQUE B ESTACION PAIPA</t>
  </si>
  <si>
    <t>1053614240</t>
  </si>
  <si>
    <t>ANDERSON FERNEY ROSAS MEDINA</t>
  </si>
  <si>
    <t>andersonmedina016@gmail.com</t>
  </si>
  <si>
    <t xml:space="preserve">CRA 27 N 26 A 30 </t>
  </si>
  <si>
    <t>ANDREA DEL PILAR ACOSTA</t>
  </si>
  <si>
    <t>pilarandrea97@gmail.com</t>
  </si>
  <si>
    <t xml:space="preserve">calle 13 b n 17 paipa </t>
  </si>
  <si>
    <t>ANDRES ESTEBAN HERNANDEZ PACHECO</t>
  </si>
  <si>
    <t>hernandezpunto04@gmail.com</t>
  </si>
  <si>
    <t>CRA 36 A N 21-43 AVE CAMILO TORRES</t>
  </si>
  <si>
    <t>ANDRES FABIAN ORTEGA</t>
  </si>
  <si>
    <t>andresfabianortegaortega88@gmail.com</t>
  </si>
  <si>
    <t>vereda el salitre  paipa</t>
  </si>
  <si>
    <t>ANDRES FELIPE BURGOS ESPINOSA</t>
  </si>
  <si>
    <t>andresfelipeburgosespinosa49@gmail.com</t>
  </si>
  <si>
    <t>castilla casa 76   PAIPA</t>
  </si>
  <si>
    <t>ANDRES FELIPE DIAZ HURTADO</t>
  </si>
  <si>
    <t>pedroalidiaz@hotmail.com</t>
  </si>
  <si>
    <t>CALLE 33 N 14 -145 CASA 22</t>
  </si>
  <si>
    <t>1007395343</t>
  </si>
  <si>
    <t>ANDRES GIOBANNY DIAZ DIAZ</t>
  </si>
  <si>
    <t>2000andresjzaid@gmail.com</t>
  </si>
  <si>
    <t xml:space="preserve">BARRIO LA ESTACION BLOQUE C MANZANA 8 CASA 26 </t>
  </si>
  <si>
    <t>ANDRES LEONARDO LOPEZ PEDROZA</t>
  </si>
  <si>
    <t>andrespedroza02@gmail.com</t>
  </si>
  <si>
    <t xml:space="preserve">CRA 7 N 4-14 DUITAMA </t>
  </si>
  <si>
    <t>1053609995</t>
  </si>
  <si>
    <t>ANDRES LEONARDO LOPEZ RODRIGUEZ</t>
  </si>
  <si>
    <t>ANDRES10K@HOTMAIL.COM</t>
  </si>
  <si>
    <t>AVENIDA LIBERTADORES N25-70</t>
  </si>
  <si>
    <t>ANGEL ESTEBAN SIERRA ALDANA</t>
  </si>
  <si>
    <t>angelestebansierraaldana@gmail.com</t>
  </si>
  <si>
    <t>MANZANA E 4 CASA 1B</t>
  </si>
  <si>
    <t>1002760580</t>
  </si>
  <si>
    <t>ANGELA ANDREA BENAVIDES BAYONA</t>
  </si>
  <si>
    <t>angelabenavides.abogada@gmail.com</t>
  </si>
  <si>
    <t>CRA 17 N 19A-03</t>
  </si>
  <si>
    <t>ANGELA JOHANA RODRIGUEZ OCHOA</t>
  </si>
  <si>
    <t>angelajohanarodriguezochoa@gmail.com</t>
  </si>
  <si>
    <t>VEREDA EL TUNAL</t>
  </si>
  <si>
    <t>ANGELA JULIETH RODRIGUEZ RODRIGUEZ</t>
  </si>
  <si>
    <t>rjulieth238@gmail.com</t>
  </si>
  <si>
    <t>VEREDA EL SALITRE</t>
  </si>
  <si>
    <t>1054709028</t>
  </si>
  <si>
    <t>ANGELA PAOLA GOMEZ ROMERO</t>
  </si>
  <si>
    <t>angela.gomezz2455@gmail.com</t>
  </si>
  <si>
    <t>VEREDA SAN ANTONIO TUTA</t>
  </si>
  <si>
    <t>ANGELA XIMENA CAMARGO FONSECA</t>
  </si>
  <si>
    <t>ximecam2001@gmail.com</t>
  </si>
  <si>
    <t>BARRIO FATIMA</t>
  </si>
  <si>
    <t>1002459682</t>
  </si>
  <si>
    <t>ANYI LORENA MEDINA RODRIGUEZ</t>
  </si>
  <si>
    <t>anyixita.medina.rodriguez@gmail.com</t>
  </si>
  <si>
    <t>SALITRE ARENERAS</t>
  </si>
  <si>
    <t>4114019</t>
  </si>
  <si>
    <t>ARGEMIRO MORA BERNAL</t>
  </si>
  <si>
    <t>margemiro772@gmail.com</t>
  </si>
  <si>
    <t>VEREDA CARREÑO</t>
  </si>
  <si>
    <t>AURA VANESSA PITA RUIZ</t>
  </si>
  <si>
    <t>aura.pita@uptc.edu.co</t>
  </si>
  <si>
    <t>CRA 21 N 27-98</t>
  </si>
  <si>
    <t>23856850</t>
  </si>
  <si>
    <t>BERTILDE BOLIVAR LOPEZ</t>
  </si>
  <si>
    <t>bolivarbertha7@gmail.com</t>
  </si>
  <si>
    <t>BARRIO VILLA DEL PRADO</t>
  </si>
  <si>
    <t>1053616790</t>
  </si>
  <si>
    <t>BRANDON NICOLAS HILLON ALBA</t>
  </si>
  <si>
    <t>nicolashillon9@gmail.com</t>
  </si>
  <si>
    <t>CALLE 34 N 19-270</t>
  </si>
  <si>
    <t>1053614617</t>
  </si>
  <si>
    <t>BRAYAN DAVID MARTINEZ AVELLA</t>
  </si>
  <si>
    <t>dm3840459@gmail.com</t>
  </si>
  <si>
    <t>TRASVERSAL 22 N14-26</t>
  </si>
  <si>
    <t>1052416342</t>
  </si>
  <si>
    <t>BREINER YESID GONZALEZ GONZALEZ</t>
  </si>
  <si>
    <t>breinergon.123@gmail.com</t>
  </si>
  <si>
    <t>CRA 44 N 21-38 DUITAMA</t>
  </si>
  <si>
    <t>1053617026</t>
  </si>
  <si>
    <t>BRIAN AUGUSTO ROJAS OCHOA</t>
  </si>
  <si>
    <t>augustoochoa1509@gmail.com</t>
  </si>
  <si>
    <t>CALLE 24 N 20 -31</t>
  </si>
  <si>
    <t>CAMILO ALEJANDRO PATIÑO PACHECO</t>
  </si>
  <si>
    <t>calejopapa1@gmail.com</t>
  </si>
  <si>
    <t>CASTILLA CASA 54  PAIPA</t>
  </si>
  <si>
    <t>1053605284</t>
  </si>
  <si>
    <t>CAMILO ANDRES OCHOA CASTIBLANCO</t>
  </si>
  <si>
    <t>camilito8a236@gmail.com</t>
  </si>
  <si>
    <t>AVENIDA LIBERTADORES 21-66</t>
  </si>
  <si>
    <t>CAMILO CAMACHO LOPEZ</t>
  </si>
  <si>
    <t>camacholopezcamilo@gmail.com</t>
  </si>
  <si>
    <t>CALLE 17 22 -20</t>
  </si>
  <si>
    <t>CARLOS ALFONSO ZANGUÑA OCHOA</t>
  </si>
  <si>
    <t>djcharlieremix100@hotmail.com</t>
  </si>
  <si>
    <t>cra 19 n 19 -23 PAIPA</t>
  </si>
  <si>
    <t>CARLOS ALIRIO MELO ALVAREZ</t>
  </si>
  <si>
    <t>CARLOS19998MELO@GMAIL.COM</t>
  </si>
  <si>
    <t>cra 9 n 24 b -32 PAIPA</t>
  </si>
  <si>
    <t>CARLOS ARTURO TORRES OJEDA</t>
  </si>
  <si>
    <t>ctorres.810@hotmail.com</t>
  </si>
  <si>
    <t xml:space="preserve">calle 26 n 16-44 </t>
  </si>
  <si>
    <t>4192042</t>
  </si>
  <si>
    <t>CARLOS JULIO BENAVIDES MATEUS</t>
  </si>
  <si>
    <t>carlosjuliobenavides577@gmail.com</t>
  </si>
  <si>
    <t>VEREDA PEÑA AMARILLA</t>
  </si>
  <si>
    <t>1053605770</t>
  </si>
  <si>
    <t>CARLOS JULIO CORONADO RODRIGUEZ</t>
  </si>
  <si>
    <t>carloscoronado241223@gmail.com</t>
  </si>
  <si>
    <t xml:space="preserve">BARRIO CASTILLA CASA 48 </t>
  </si>
  <si>
    <t>CARLOS JULIO ECHEVERRIA PATIÑO</t>
  </si>
  <si>
    <t>carlosjep43@gmail.com</t>
  </si>
  <si>
    <t>VEREDA TOIBITA PAIPA</t>
  </si>
  <si>
    <t>5642619</t>
  </si>
  <si>
    <t>CARLOS ROGELIO MAYORGA CADENAS</t>
  </si>
  <si>
    <t>rogelio.mayorga@correo.policia.gov.co</t>
  </si>
  <si>
    <t>CALLE 27B 15 47</t>
  </si>
  <si>
    <t>CESAR DAVID RODRIGUEZ FONSECA</t>
  </si>
  <si>
    <t>rodriguezcesardavid.9@gmail.com</t>
  </si>
  <si>
    <t>calle 28 19 a 03  paipa</t>
  </si>
  <si>
    <t>CESAR HERNANDO BELLO REYES</t>
  </si>
  <si>
    <t>cesarhb433@gmail.com</t>
  </si>
  <si>
    <t>BARRIO VILLA VIANNEY</t>
  </si>
  <si>
    <t>CRISTHIAN ALFONSO VEGA PAMPLONA</t>
  </si>
  <si>
    <t>cristhian.vega@uptc.edu.co</t>
  </si>
  <si>
    <t>CRISTIAN CAMILO ESPINOSA SALCEDO</t>
  </si>
  <si>
    <t>cristiancamiloespinosa98@gmail.com</t>
  </si>
  <si>
    <t>CRA 17 N 11-21</t>
  </si>
  <si>
    <t>CRISTIAN CAMILO NIÑO FERNANDEZ</t>
  </si>
  <si>
    <t>criscamife872@gmail.com</t>
  </si>
  <si>
    <t>CRA 32 N 19 -41 DUITAMA</t>
  </si>
  <si>
    <t>1055332035</t>
  </si>
  <si>
    <t>CRISTIAN DANIEL RIVERA LOPEZ</t>
  </si>
  <si>
    <t>cristianriveral2004@gmail.com</t>
  </si>
  <si>
    <t>VEREDA REGENCIA TUTA</t>
  </si>
  <si>
    <t>CRISTIAN DAVID CASTELLANOS OCHOA</t>
  </si>
  <si>
    <t>casteochoa6@gmail.com</t>
  </si>
  <si>
    <t xml:space="preserve">ciudadela manantial casa 7 </t>
  </si>
  <si>
    <t>CRISTIAN DAVID GARATEJO VARGAS</t>
  </si>
  <si>
    <t>correodelbit06@gmail.com</t>
  </si>
  <si>
    <t>CALLE 27 N 22-63 paipa</t>
  </si>
  <si>
    <t>1070965220</t>
  </si>
  <si>
    <t>CRISTIAN JOVANY ALFONSO HERRERA</t>
  </si>
  <si>
    <t>cristianjov92@hotmail.com</t>
  </si>
  <si>
    <t>CALLE 24C N 8-35</t>
  </si>
  <si>
    <t>1056572409</t>
  </si>
  <si>
    <t>CRISTOFER YESID FUQUENE LUIS</t>
  </si>
  <si>
    <t>cristoferyesidfuquene123@gmail.com</t>
  </si>
  <si>
    <t>VEREDA BOSIGAS NORTE</t>
  </si>
  <si>
    <t>CRISTOFFER SNNEYDER BECERRA CAMARGO</t>
  </si>
  <si>
    <t>cristofferyanpier09@gmail.com</t>
  </si>
  <si>
    <t>calle 32 n 31-64 PAIPA</t>
  </si>
  <si>
    <t>DAIRON ESTEBAN SANABRIA CORREDOR</t>
  </si>
  <si>
    <t>daironcorredor3@gmail.com</t>
  </si>
  <si>
    <t>VEREDA SOCONSUCA DE BLANCOS</t>
  </si>
  <si>
    <t>1002404113</t>
  </si>
  <si>
    <t>DANIEL SNEIDER PRIETO AGUILAR</t>
  </si>
  <si>
    <t>daniel14prietoa@gmail.com</t>
  </si>
  <si>
    <t>CRA 4 N 3-77</t>
  </si>
  <si>
    <t>DANISSA ALEJANDRA MURCIA GARCIA</t>
  </si>
  <si>
    <t>dalejita28@gmail.com</t>
  </si>
  <si>
    <t>CALLE 28 N 13 A 39</t>
  </si>
  <si>
    <t>1057579781</t>
  </si>
  <si>
    <t>DAVID ANDREY JURADO GONZALEZ</t>
  </si>
  <si>
    <t>juradodavid09@gmail.com</t>
  </si>
  <si>
    <t>VEREDA PABLO SOLANO ALTO PAIPA</t>
  </si>
  <si>
    <t>1053604757</t>
  </si>
  <si>
    <t>DAVID ESTEBAN MOLANO MONROY</t>
  </si>
  <si>
    <t>davidmolano548@gmail.com</t>
  </si>
  <si>
    <t>VEREDA LA ESPERANZA</t>
  </si>
  <si>
    <t>1050603624</t>
  </si>
  <si>
    <t>DAVID SANTIAGO PANQUEVA RINCON</t>
  </si>
  <si>
    <t>SPANQUEVA7@GMAIL.COM</t>
  </si>
  <si>
    <t>BARRIO SAN DANIEL MANZANA E CASA 5</t>
  </si>
  <si>
    <t>1003566702</t>
  </si>
  <si>
    <t>DAVID STIVEN MARTINEZ VARGAS</t>
  </si>
  <si>
    <t>davidstivenmartinezvargas@gmail.com</t>
  </si>
  <si>
    <t>BOSIGAS CENTRO</t>
  </si>
  <si>
    <t>1056572185</t>
  </si>
  <si>
    <t>DAYANA CATHERINE AMEZQUITA ESPITIA</t>
  </si>
  <si>
    <t>amezquitadayana64@gmail.com</t>
  </si>
  <si>
    <t>TUTA CENTRO</t>
  </si>
  <si>
    <t>DEISY LORENA BETANCOURT BELTRAN</t>
  </si>
  <si>
    <t>deisy.betancourt01@uptc.edu.co</t>
  </si>
  <si>
    <t>CALLE 15 N 17 01</t>
  </si>
  <si>
    <t>1053604792</t>
  </si>
  <si>
    <t>DERLY LILIANA QUIJANO CASTRO</t>
  </si>
  <si>
    <t>derly1912@hotmail.com</t>
  </si>
  <si>
    <t>CALLE 19 N 31-78</t>
  </si>
  <si>
    <t>1055332062</t>
  </si>
  <si>
    <t>DIANA ALEXANDRA ACUÑA CANO</t>
  </si>
  <si>
    <t>acunacanodianaalexandra@gmail.com</t>
  </si>
  <si>
    <t>CRA 3 N 7-25</t>
  </si>
  <si>
    <t>1002551629</t>
  </si>
  <si>
    <t>DIANA MARCELA ALONSO CASTIBLANCO</t>
  </si>
  <si>
    <t>alonsocastiblancodianamarcela@gmail.com</t>
  </si>
  <si>
    <t xml:space="preserve">CALLE 27 N A 70 </t>
  </si>
  <si>
    <t>1050604966</t>
  </si>
  <si>
    <t>DIEGO ALEJANDRO ESPITIA GUALDRON</t>
  </si>
  <si>
    <t>alejandro2006espi@gmail.com</t>
  </si>
  <si>
    <t>CRA 8 N 5-25 TUTA</t>
  </si>
  <si>
    <t>1057570060</t>
  </si>
  <si>
    <t>DIEGO ANDREY RUEDA BAYONA</t>
  </si>
  <si>
    <t>bayonaandrey03@gmail.com</t>
  </si>
  <si>
    <t>BARRIO LA ESTACION</t>
  </si>
  <si>
    <t>1007376102</t>
  </si>
  <si>
    <t>DIEGO AVENDAÑO GARCIA</t>
  </si>
  <si>
    <t>diegoavendano0229@gmail.com</t>
  </si>
  <si>
    <t>CRA 10 N 7-42</t>
  </si>
  <si>
    <t>1002647413</t>
  </si>
  <si>
    <t>DUVAN ARLEY DELGADO RAMIREZ</t>
  </si>
  <si>
    <t>arleyforever4@gmail.com</t>
  </si>
  <si>
    <t>MARIPI</t>
  </si>
  <si>
    <t>1002538874</t>
  </si>
  <si>
    <t>DUVAN RICARDO VASQUEZ SIERRA</t>
  </si>
  <si>
    <t>duvanvasquez58@gmail.com</t>
  </si>
  <si>
    <t>CRA 29 N 26-87</t>
  </si>
  <si>
    <t>EDILMA RINCON GRANADOS</t>
  </si>
  <si>
    <t>RECEPCION.CONDUCE@OUTLOOK.COM</t>
  </si>
  <si>
    <t>VDA LA TOMA</t>
  </si>
  <si>
    <t>1053614871</t>
  </si>
  <si>
    <t>EDISSON ARMANDO CAMACHO CAMARGO</t>
  </si>
  <si>
    <t>edisupermanes45@gmail.com</t>
  </si>
  <si>
    <t>VEREDA CRUZ DE BONZA</t>
  </si>
  <si>
    <t>EDUARDO ANTONIO BRIJALDO SUAREZ</t>
  </si>
  <si>
    <t>jejeronimo2015@gmail.com</t>
  </si>
  <si>
    <t xml:space="preserve">cra 26 n 27 a -02 PAIPA </t>
  </si>
  <si>
    <t>4192803</t>
  </si>
  <si>
    <t>EDUARDO CAMARGO DIAZ</t>
  </si>
  <si>
    <t>camargodiazeduardo@gmail.com</t>
  </si>
  <si>
    <t>PABLO SOLANO</t>
  </si>
  <si>
    <t>1026564007</t>
  </si>
  <si>
    <t>EDWAR FELIPE GONZALEZ LAMUS</t>
  </si>
  <si>
    <t>efy369@hotmail.com</t>
  </si>
  <si>
    <t>VEREDA CORTADERA CHIQUITA</t>
  </si>
  <si>
    <t>1002709612</t>
  </si>
  <si>
    <t>EDWIN ALEXANDER JUNCO DIAZ</t>
  </si>
  <si>
    <t>edwinalexanderjuncodiaz@gmail.com</t>
  </si>
  <si>
    <t>PANTANO DE VARGAS</t>
  </si>
  <si>
    <t>1014176406</t>
  </si>
  <si>
    <t>EDWIN FABIAN TALERO HERNANDEZ</t>
  </si>
  <si>
    <t>edwintalero85@gmail.com</t>
  </si>
  <si>
    <t>CRA 28 N 21-07</t>
  </si>
  <si>
    <t>EDWIN FERNANDO TORRES REALES</t>
  </si>
  <si>
    <t>edwinfernandotorresreales@gmail.com</t>
  </si>
  <si>
    <t>VEREDA GUAVANI</t>
  </si>
  <si>
    <t>70730623</t>
  </si>
  <si>
    <t>ELBER ANDRES GRISALES CUERVO</t>
  </si>
  <si>
    <t>andrescuervo536@gmail.com</t>
  </si>
  <si>
    <t>VEREDA SALITRE</t>
  </si>
  <si>
    <t>1055332604</t>
  </si>
  <si>
    <t>ELBER ANDRES NUMPAQUE BOLIVAR</t>
  </si>
  <si>
    <t>andresnumpaque130@gmail.com</t>
  </si>
  <si>
    <t>CRA 3 N 7-24</t>
  </si>
  <si>
    <t>ELDA MARIA REUTO DIAZ</t>
  </si>
  <si>
    <t>emariareuto@hotmail.com</t>
  </si>
  <si>
    <t>CALLE 6 N 6-42</t>
  </si>
  <si>
    <t>46682439</t>
  </si>
  <si>
    <t>ERIKA MARCELA LOPEZ TOVAR</t>
  </si>
  <si>
    <t>erikkalopezz464@gmail.com</t>
  </si>
  <si>
    <t>VEREDA SANTA RITA TUTA</t>
  </si>
  <si>
    <t>1007305440</t>
  </si>
  <si>
    <t>ERIKA PATRICIA MONROY GARCIA</t>
  </si>
  <si>
    <t>erikamonroy2000@gmail.com</t>
  </si>
  <si>
    <t>VEREDA SATIVA</t>
  </si>
  <si>
    <t>1056928859</t>
  </si>
  <si>
    <t>EVELLIN YAMILE OCHOA CHAPARRO</t>
  </si>
  <si>
    <t>ochoaevellin7950@gmail.com</t>
  </si>
  <si>
    <t>FABIAN RODRIGUEZ GRANADOS</t>
  </si>
  <si>
    <t>fabiantodriguez3@gmail.com</t>
  </si>
  <si>
    <t>VEREDA EL SALITRE paipa</t>
  </si>
  <si>
    <t>1050200428</t>
  </si>
  <si>
    <t>FABIO ANDRES CHAPARRO PEREZ</t>
  </si>
  <si>
    <t>amarillonancy@gmail.com</t>
  </si>
  <si>
    <t>1055332644</t>
  </si>
  <si>
    <t>FELIPE JAVIER TIBOCHE</t>
  </si>
  <si>
    <t>FELIPEJT07@HOTMAIL.COM</t>
  </si>
  <si>
    <t>CARRERA 3 N6-50 TUTA</t>
  </si>
  <si>
    <t>FRANCY YADIRA PACHECO PACHECO</t>
  </si>
  <si>
    <t>francypache2014.com@gmail.com</t>
  </si>
  <si>
    <t>VEREDA EL ALIZAL TUTA</t>
  </si>
  <si>
    <t>1002537875</t>
  </si>
  <si>
    <t>FREDDY ALEXANDER HUERTAS DIAZ</t>
  </si>
  <si>
    <t>freddyhuertas45@gmail.com</t>
  </si>
  <si>
    <t>FREDY LEONARDO CONTRERAS MIRANDA</t>
  </si>
  <si>
    <t>contrerasleonardo4235@gmail.com</t>
  </si>
  <si>
    <t>cra 20 n 18-14 PAIPA</t>
  </si>
  <si>
    <t>1002686727</t>
  </si>
  <si>
    <t>FREDY RICARDO BERMUDEZ RUIZ</t>
  </si>
  <si>
    <t>fredybermudez832@gmail.com</t>
  </si>
  <si>
    <t>CALLE 25 N 22-73</t>
  </si>
  <si>
    <t>1126000045</t>
  </si>
  <si>
    <t>GABRIELA SANDOVAL MACHADO</t>
  </si>
  <si>
    <t>gabrielasandovalmach@gmail.com</t>
  </si>
  <si>
    <t>CRA 7 N 75-98</t>
  </si>
  <si>
    <t>GONZALO SUAREZ TOCARRUNCHO</t>
  </si>
  <si>
    <t>gonzalosuareztocarruncho@gmail.com</t>
  </si>
  <si>
    <t>verda regencia tuta</t>
  </si>
  <si>
    <t>HAROLD SEBASTIAN GARCIA MARTINEZ</t>
  </si>
  <si>
    <t>tatangarciamartinez@gmail.com</t>
  </si>
  <si>
    <t>calle 8 n 7 -22</t>
  </si>
  <si>
    <t>HECTOR MIGUEL PATIÑO PEREZ</t>
  </si>
  <si>
    <t>miguelpatino012.p@gmail.com</t>
  </si>
  <si>
    <t>VEREDA LOS PASTOREROS</t>
  </si>
  <si>
    <t>HEIDY TATIANA MATA DIAZ</t>
  </si>
  <si>
    <t>mataheidy5@gmail.com</t>
  </si>
  <si>
    <t>CRA 8 N 5-23</t>
  </si>
  <si>
    <t>HENRY MEDINA OJEDA</t>
  </si>
  <si>
    <t>henmo456@gmail.com</t>
  </si>
  <si>
    <t>vereda bocigas norte</t>
  </si>
  <si>
    <t>IVAN ANDRES MARTINEZ TORRES</t>
  </si>
  <si>
    <t>martinneztorres28@gmail.com</t>
  </si>
  <si>
    <t>1049649391</t>
  </si>
  <si>
    <t>IVAN ANDRES ROLDAN ROBAYO</t>
  </si>
  <si>
    <t>NOTIENE@gmail.com</t>
  </si>
  <si>
    <t>CALLE 8 N 14-84 TUNJA</t>
  </si>
  <si>
    <t>IVAN DAVID PARRA MORENO</t>
  </si>
  <si>
    <t>davidparrita312@gmail.com</t>
  </si>
  <si>
    <t>cll 22b#22-51 centro PaipA</t>
  </si>
  <si>
    <t>IVAN LEONARDO PEREZ PEÑA</t>
  </si>
  <si>
    <t>przleo2004@gmail.com</t>
  </si>
  <si>
    <t>VEREDA ANGOSTURA  SOTAQUIRA</t>
  </si>
  <si>
    <t>1053443421</t>
  </si>
  <si>
    <t>IVAN NICOLAS FUENTES CORREDOR</t>
  </si>
  <si>
    <t>fuentescorredorivannicolas@gmail.com</t>
  </si>
  <si>
    <t>MANZANA D CASA N 5 LA ESTACION</t>
  </si>
  <si>
    <t>IVONN ANDREA PATARROYO PEREZ</t>
  </si>
  <si>
    <t>iapp.0724@gmail.com</t>
  </si>
  <si>
    <t>DIAGONAL 11 N 13-64</t>
  </si>
  <si>
    <t>1053605600</t>
  </si>
  <si>
    <t>JAIDER KALETH LOPEZ CORREDOR</t>
  </si>
  <si>
    <t>corredorjaider35@gmail.com</t>
  </si>
  <si>
    <t>VEREDA EL VOLCAN</t>
  </si>
  <si>
    <t>1053606342</t>
  </si>
  <si>
    <t>JAIME ALEXANDER GIL ALFONSO</t>
  </si>
  <si>
    <t>jaimegil783@gmail.com</t>
  </si>
  <si>
    <t>CRA 27 N 11-87</t>
  </si>
  <si>
    <t>1002681635</t>
  </si>
  <si>
    <t>JAIME ANDRES GALVIS RIAÑO</t>
  </si>
  <si>
    <t>galvisjaime630@gmail.com</t>
  </si>
  <si>
    <t>VEREDA CORTADERA GRANDE</t>
  </si>
  <si>
    <t>JAIME SANTIAGO CAMARGO TORRES</t>
  </si>
  <si>
    <t>jasacato@gmail.com</t>
  </si>
  <si>
    <t>calle 14 n 6-41  DUITAMA</t>
  </si>
  <si>
    <t>1052838601</t>
  </si>
  <si>
    <t>JAIVER LEONARDO MOLINA LOPEZ</t>
  </si>
  <si>
    <t>jaiverlopez72@gmail.com</t>
  </si>
  <si>
    <t>VEREDA SOCONSUCA</t>
  </si>
  <si>
    <t>1056572561</t>
  </si>
  <si>
    <t>JANPOL IVAN LOPEZ PULIDO</t>
  </si>
  <si>
    <t>janpolivan984@gmail.com</t>
  </si>
  <si>
    <t>VEREDA BOSIGAS NORTE SOTAQUIRA</t>
  </si>
  <si>
    <t>1053604573</t>
  </si>
  <si>
    <t>JAVIER DAVID RAMOS DIAZ</t>
  </si>
  <si>
    <t>ramosjavierdavid427@gmail.com</t>
  </si>
  <si>
    <t>PAIPA-VDA TOIBITA</t>
  </si>
  <si>
    <t>1053609776</t>
  </si>
  <si>
    <t>JAVIER SANTIAGO DIAZ LIZARAZO</t>
  </si>
  <si>
    <t>javiersantiagodiazlizarazo@gmail.com</t>
  </si>
  <si>
    <t>CALLE 32 12B 201</t>
  </si>
  <si>
    <t>1002458330</t>
  </si>
  <si>
    <t>JEFFERSON STIVENN ROJAS PACHECO</t>
  </si>
  <si>
    <t>jeffersonstivenpacheco@gmail.com</t>
  </si>
  <si>
    <t>3164756403</t>
  </si>
  <si>
    <t>1022430663</t>
  </si>
  <si>
    <t>JEISON FERNANDO LOPEZ ESPITIA</t>
  </si>
  <si>
    <t>recepcion.conduce@outlook.com</t>
  </si>
  <si>
    <t>TUTA-BOYACA</t>
  </si>
  <si>
    <t>1053609125</t>
  </si>
  <si>
    <t>JENNY ROCIO CAMARGO ALBARRACIN</t>
  </si>
  <si>
    <t>rochiocamargo06@gmail.com</t>
  </si>
  <si>
    <t>CRA 25 N 29-55</t>
  </si>
  <si>
    <t>JESSICA MIREYA CUCAITA CASTRO</t>
  </si>
  <si>
    <t>VEREDA EL TEJAR</t>
  </si>
  <si>
    <t>1055333127</t>
  </si>
  <si>
    <t>JHON FREDY ALBA BOLIVAR</t>
  </si>
  <si>
    <t>fredyj992@gmail.com</t>
  </si>
  <si>
    <t>CALLE 1 A N 12 A 39</t>
  </si>
  <si>
    <t>JHON SEBASTIAN ESPITIA LEMUS</t>
  </si>
  <si>
    <t>jhonlemus707@gmail.com</t>
  </si>
  <si>
    <t>CALLE 26 A N 24-48 PAIPA</t>
  </si>
  <si>
    <t>JHONATAN ADRIAN HURTADO RODRIGUEZ</t>
  </si>
  <si>
    <t>hurtadojhonatan940@gmail.com</t>
  </si>
  <si>
    <t>1053327154</t>
  </si>
  <si>
    <t>JHUDIT CASTIBLANCO AYALA</t>
  </si>
  <si>
    <t>castiblancojhudit233@gmail.com</t>
  </si>
  <si>
    <t>CALLE 33 #12-14</t>
  </si>
  <si>
    <t>40038561</t>
  </si>
  <si>
    <t>JIMENA ALICIA SAENZ MARTINEZ</t>
  </si>
  <si>
    <t>jimesa11@gmail.com</t>
  </si>
  <si>
    <t xml:space="preserve">CASA 11 BARRIO VILLA ROSITA tuta </t>
  </si>
  <si>
    <t>JOHAN DANIEL PLAZAS CLAVIJO</t>
  </si>
  <si>
    <t>johanpro134@gmail.com</t>
  </si>
  <si>
    <t>CALLE 51 SUR N 41-46</t>
  </si>
  <si>
    <t>1052839880</t>
  </si>
  <si>
    <t>JONATHAN ARLEY BARAJAS LOPEZ</t>
  </si>
  <si>
    <t>jonathanarley2020@gmail.com</t>
  </si>
  <si>
    <t>CLL 11 NO. 27 - 50 DUITTAMA</t>
  </si>
  <si>
    <t>1007305723</t>
  </si>
  <si>
    <t>JONATHAN SEBASTIAN LOPEZ MORENO</t>
  </si>
  <si>
    <t>bogotachina2213@gmail.com</t>
  </si>
  <si>
    <t>VEREDA EL SALITRE SEC. SAN JOSE</t>
  </si>
  <si>
    <t>1007961741</t>
  </si>
  <si>
    <t>JORDAN CAMILO CONDE</t>
  </si>
  <si>
    <t>camiloconde407@gmail.com</t>
  </si>
  <si>
    <t>CALLE 28 A 26-A 20</t>
  </si>
  <si>
    <t>4123229</t>
  </si>
  <si>
    <t>JORGE ALBERTO RODRIGUEZ GONZALEZ</t>
  </si>
  <si>
    <t>jardcr77@gmail.com</t>
  </si>
  <si>
    <t>CALLE 5 N 5 -38</t>
  </si>
  <si>
    <t>1056572501</t>
  </si>
  <si>
    <t>JORGE ANDRES MARTINEZ PORRAS</t>
  </si>
  <si>
    <t>jorgemartinez20062504@gmail.com</t>
  </si>
  <si>
    <t>1053609807</t>
  </si>
  <si>
    <t>JORGE CRUZ BOLIVAR</t>
  </si>
  <si>
    <t>gato.negro92@hotmail.com</t>
  </si>
  <si>
    <t>CRA 24 N 10 A 38</t>
  </si>
  <si>
    <t>JORGE ENRIQUE SUAREZ SUAREZ</t>
  </si>
  <si>
    <t>jorgesua2205@gmail.com</t>
  </si>
  <si>
    <t>AVENIDA 19 B 22 A 11 VILLA MONTANA</t>
  </si>
  <si>
    <t>JORGE SANTIAGO JOYA ALVARADO</t>
  </si>
  <si>
    <t>santiagojoya0921@gmail.com</t>
  </si>
  <si>
    <t>MANZANA H CASA 18 BARRIO LA ESTACION</t>
  </si>
  <si>
    <t>JOSE ABELINO HERNANDEZ FORERO</t>
  </si>
  <si>
    <t>joseabelino1@hotmail.com</t>
  </si>
  <si>
    <t>CALLE 21 A 24 A -19</t>
  </si>
  <si>
    <t>74360427</t>
  </si>
  <si>
    <t>JOSE ALFREDO MATEUS CHACON</t>
  </si>
  <si>
    <t>josealfredomateus25@gmail.com</t>
  </si>
  <si>
    <t xml:space="preserve">VEREDA EL RETIRO </t>
  </si>
  <si>
    <t>JOSE ALIRIO GOMEZ CARDENAS</t>
  </si>
  <si>
    <t>josealiriogomez17@gmail.com</t>
  </si>
  <si>
    <t xml:space="preserve">VEREDA EL TUNAL </t>
  </si>
  <si>
    <t>1018498594</t>
  </si>
  <si>
    <t>JOSE DAVID MEJIA ARIAS</t>
  </si>
  <si>
    <t>mejiaariasjosedavid@gmail.com</t>
  </si>
  <si>
    <t>VEREDA LLANO GRANDE</t>
  </si>
  <si>
    <t>74324217</t>
  </si>
  <si>
    <t>JOSE DEL CARMEN PEDRAZA TUTA</t>
  </si>
  <si>
    <t>josedelcarmenpedrazatuta30@gmail.com</t>
  </si>
  <si>
    <t>1071328733</t>
  </si>
  <si>
    <t>JOSE ESTEBAN CASTRO CANDIL</t>
  </si>
  <si>
    <t>castrocandiljoseesteban@gmail.com</t>
  </si>
  <si>
    <t>VEREDA AGUA BLANCA TUTA</t>
  </si>
  <si>
    <t>4265505</t>
  </si>
  <si>
    <t>JOSE FABIAN ROBLES LOPEZ</t>
  </si>
  <si>
    <t>fabianroblesxt@gmail.com</t>
  </si>
  <si>
    <t>VEREDA BOSIGAS SOTTAQUIRA</t>
  </si>
  <si>
    <t>JOSE FERNANDO CACERES HERNANDEZ</t>
  </si>
  <si>
    <t>hernandez864ch@gmail.com</t>
  </si>
  <si>
    <t xml:space="preserve">CRA 17 A N 14 -26 </t>
  </si>
  <si>
    <t>1053512883</t>
  </si>
  <si>
    <t>JOSE FERNANDO GONZALEZ FUENTES</t>
  </si>
  <si>
    <t>gonzalezfuentesjosefernando@gmail.com</t>
  </si>
  <si>
    <t>JOSE GREGORIO CARVAJAL LAMUS</t>
  </si>
  <si>
    <t>lamus2081@gmail.com</t>
  </si>
  <si>
    <t>vereda romita</t>
  </si>
  <si>
    <t>JOSE HERMOGENES GARCIA GARCIA</t>
  </si>
  <si>
    <t>hermogenesgarcia@gmail.com</t>
  </si>
  <si>
    <t>VEREDA SOCONSUQUE DE INDIOS</t>
  </si>
  <si>
    <t>JOSE LUIS PAIPILLA MONROY</t>
  </si>
  <si>
    <t>graficotunja@gmail.com</t>
  </si>
  <si>
    <t>CRA 21 N 23-77</t>
  </si>
  <si>
    <t>1053611543</t>
  </si>
  <si>
    <t>JOSE MIGUEL BAJICA PAMPLONA</t>
  </si>
  <si>
    <t>BAJICAMIGUEL2@GMAIL.COM</t>
  </si>
  <si>
    <t>CARRERA 29 N26-31</t>
  </si>
  <si>
    <t>JOSE NOE MEDINA CASTRO</t>
  </si>
  <si>
    <t>josenoemedina39@gmail.com</t>
  </si>
  <si>
    <t>AVE LIBER- 20 A 23 PAIPA</t>
  </si>
  <si>
    <t>JOSE UBALDO CASTRO ACOSTA</t>
  </si>
  <si>
    <t>joseubaldosistemas@gmail.com</t>
  </si>
  <si>
    <t>CRA 17 N 26-16</t>
  </si>
  <si>
    <t>1022392689</t>
  </si>
  <si>
    <t>JUAN CAMILO CAICEDO NAVARRO</t>
  </si>
  <si>
    <t>juankaicedo94@gmail.com</t>
  </si>
  <si>
    <t>CARRERA 15 B # 14-03</t>
  </si>
  <si>
    <t>1053616614</t>
  </si>
  <si>
    <t>JUAN CARLOS GARZON QUINTERO</t>
  </si>
  <si>
    <t>juancarlosgarzon777@gmail.com</t>
  </si>
  <si>
    <t>VEREDA CAÑOS</t>
  </si>
  <si>
    <t>JUAN DAVID DAZA MATEUS</t>
  </si>
  <si>
    <t>judadama06@gmail.com</t>
  </si>
  <si>
    <t>CALLE 19 A N 15-21</t>
  </si>
  <si>
    <t>JUAN DAVID MONROY RUIZ</t>
  </si>
  <si>
    <t>davidmonroy568@gmail.com</t>
  </si>
  <si>
    <t>VEREDA LOS MEDIOS paipa</t>
  </si>
  <si>
    <t>1010177725</t>
  </si>
  <si>
    <t>JUAN DAVID MORALES CONTRERAS</t>
  </si>
  <si>
    <t>gixxermoralesboyaca@gmail.com</t>
  </si>
  <si>
    <t xml:space="preserve">VEREDA TEJAR </t>
  </si>
  <si>
    <t>JUAN DAVID PATARROYO LEON</t>
  </si>
  <si>
    <t>juandexgamer1423@gmail.com</t>
  </si>
  <si>
    <t>VEREDA RIO DE PIEDRAS</t>
  </si>
  <si>
    <t>JUAN DAVID RODRIGUEZ PEREZ</t>
  </si>
  <si>
    <t>duitamajuandavidrodriguez01@gmail.com</t>
  </si>
  <si>
    <t>1050604332</t>
  </si>
  <si>
    <t>JUAN DAVID VARGAS ESPITIA</t>
  </si>
  <si>
    <t>ESPITIAJUAN762@GMAIL.COM</t>
  </si>
  <si>
    <t>CARRERA 8 N6-16 TUTA</t>
  </si>
  <si>
    <t>JUAN GUILLERMO SUAREZ CHAPARRO</t>
  </si>
  <si>
    <t>juanguillemosuarez218@gmail.com</t>
  </si>
  <si>
    <t>CALLE 7 No 4-74 TUTA</t>
  </si>
  <si>
    <t>1034659755</t>
  </si>
  <si>
    <t>JUAN JOSE CALDERON CASTIBLANCO</t>
  </si>
  <si>
    <t>juanjosecocaloro@gmail.com</t>
  </si>
  <si>
    <t>CALLE 9 N 22-56</t>
  </si>
  <si>
    <t>JUAN JOSE MUÑOZ ROBAYO</t>
  </si>
  <si>
    <t>juanrobayo2007@gmail.com</t>
  </si>
  <si>
    <t>cra 22 n 27 -31</t>
  </si>
  <si>
    <t>JUAN JOSE SANCHEZ RODRIGUEZ</t>
  </si>
  <si>
    <t>catalinavj18@outlook.com</t>
  </si>
  <si>
    <t>CALLE 30  B 14-03 FLOR DE MAYO</t>
  </si>
  <si>
    <t>JUAN PABLO GALVEZ ROA</t>
  </si>
  <si>
    <t>jpgr47@gmail.com</t>
  </si>
  <si>
    <t>CLLE 28 NO 13A 39</t>
  </si>
  <si>
    <t>JUAN PABLO RAMIREZ DIVANTOQUE</t>
  </si>
  <si>
    <t>juanpablodivantoque002@gmail.com</t>
  </si>
  <si>
    <t>SECTOR MANZANO SOTAQUIRA</t>
  </si>
  <si>
    <t>JUAN SEBASTIAN AVENDAÑO BECERRA</t>
  </si>
  <si>
    <t>sebastianavendano2006@outlook.com</t>
  </si>
  <si>
    <t>3167117445|</t>
  </si>
  <si>
    <t>AVENIDA LIBERTADORES N 30 -54</t>
  </si>
  <si>
    <t>1007388564</t>
  </si>
  <si>
    <t>JUAN SEBASTIAN LOTE AVENDAÑO</t>
  </si>
  <si>
    <t>sebhitas2000@hotmail.es</t>
  </si>
  <si>
    <t>VEREDA ROMITA PAIPA</t>
  </si>
  <si>
    <t>1056572079</t>
  </si>
  <si>
    <t>JUAN SEBASTIAN SUAREZ SUAREZ</t>
  </si>
  <si>
    <t>sebassuarez23.2004@gmail.com</t>
  </si>
  <si>
    <t>VEREDA ANGOSTURA</t>
  </si>
  <si>
    <t>JULIAN FELIPE PERALTA BECERRA</t>
  </si>
  <si>
    <t>julian.peraltac@gmail.com</t>
  </si>
  <si>
    <t xml:space="preserve">CRA 3A # 14 -144 </t>
  </si>
  <si>
    <t>1052838108</t>
  </si>
  <si>
    <t>JULIO CESAR RODRIGUEZ DIAZ</t>
  </si>
  <si>
    <t>juliocrd05@gmail.com</t>
  </si>
  <si>
    <t>TRANS 24 .27 A 31</t>
  </si>
  <si>
    <t>1000325664</t>
  </si>
  <si>
    <t>JULLY ALEXANDRA FONSECA SANABRIA</t>
  </si>
  <si>
    <t>jullyf22@gmail.com</t>
  </si>
  <si>
    <t>CRA 5 # 6-89</t>
  </si>
  <si>
    <t>JUSTO ABEL RODRIGUEZ BRAM</t>
  </si>
  <si>
    <t>justobrand258@gmail.com</t>
  </si>
  <si>
    <t>calle n 26-27  PAIPA</t>
  </si>
  <si>
    <t>KAROL JINNETH BECERRA PINEDA</t>
  </si>
  <si>
    <t>pinedayinneth@gmail.com</t>
  </si>
  <si>
    <t>VEREDA EL VOLCAN SECTOR TINTAL</t>
  </si>
  <si>
    <t>KAROL NATALIA MANCIPE OJEDA</t>
  </si>
  <si>
    <t>mancipekarol84@gmail.com</t>
  </si>
  <si>
    <t>VEREDA SALVIAL</t>
  </si>
  <si>
    <t>KAROLL ALEJANDRA RODRIGUEZ HERNANDEZ</t>
  </si>
  <si>
    <t>rodriguezhernadez6@gmail.com</t>
  </si>
  <si>
    <t>TRANSVERSAL 24 N 27 A 31</t>
  </si>
  <si>
    <t>KEVIN ANDREY ROJAS CONTRERAS</t>
  </si>
  <si>
    <t>andreykwrojas@gmail.com</t>
  </si>
  <si>
    <t>CRA 6 N 7  paipa</t>
  </si>
  <si>
    <t>LAURA CRISTINA ESPITIA GARCIA</t>
  </si>
  <si>
    <t>laura.espitiag03@gmail.com</t>
  </si>
  <si>
    <t>CRA 16 N 25 A 20</t>
  </si>
  <si>
    <t>LAURA ESTEFANIA LEON RODRIGUEZ</t>
  </si>
  <si>
    <t>lauraestefanialeon6@gmail.com</t>
  </si>
  <si>
    <t>CALLE 27 N 19 A 75</t>
  </si>
  <si>
    <t>LAURA STEFANI GONZALEZ PIRE</t>
  </si>
  <si>
    <t>lauritagonzalez14@hotmail.com</t>
  </si>
  <si>
    <t xml:space="preserve">CRRA 15 N 30-14 MZ 3 CASA 7 </t>
  </si>
  <si>
    <t>LAURA VALENTINA FORERO PUERTO</t>
  </si>
  <si>
    <t>laura_23vl@hotmail.com</t>
  </si>
  <si>
    <t>1053616334</t>
  </si>
  <si>
    <t>LEYDI YOANA BECERRA GOMEZ</t>
  </si>
  <si>
    <t>leidyyohana903@gmail.com</t>
  </si>
  <si>
    <t>CALLE 21 A N 27-49</t>
  </si>
  <si>
    <t>LICCY MARYURI ANGARITA VELANDIA</t>
  </si>
  <si>
    <t>angaritaliccy92@gmail.com</t>
  </si>
  <si>
    <t>VEREDA EL RESGUARDO  TUTA</t>
  </si>
  <si>
    <t>LINA MARIA BECERRA DIAZ</t>
  </si>
  <si>
    <t>re.lmbd@gmail.com</t>
  </si>
  <si>
    <t>CALLE 15 N 17-26</t>
  </si>
  <si>
    <t>1057586716</t>
  </si>
  <si>
    <t>LIZETH VIVIANA JIMENEZ NIÑO</t>
  </si>
  <si>
    <t>lizvivian9@gmail.com</t>
  </si>
  <si>
    <t>CRA 6 N 10-18</t>
  </si>
  <si>
    <t>1007774594</t>
  </si>
  <si>
    <t>LUCERO RODRIGUEZ RODRIGUEZ</t>
  </si>
  <si>
    <t>lucerodriguezrodriguez321@gmail.com</t>
  </si>
  <si>
    <t>CALLE 19 N 22 A 11</t>
  </si>
  <si>
    <t>78034620</t>
  </si>
  <si>
    <t>LUIS CARLOS PAEZ ARRIETA</t>
  </si>
  <si>
    <t>luispaezarrieta@gmail.com</t>
  </si>
  <si>
    <t>1002681708</t>
  </si>
  <si>
    <t>LUIS FELIPE ACUÑA GARCIA</t>
  </si>
  <si>
    <t>felipe100268@gmail.com</t>
  </si>
  <si>
    <t>LUIS FELIPE GUALDRON CHAPARRO</t>
  </si>
  <si>
    <t>gualdronfelipe57@gmail.com</t>
  </si>
  <si>
    <t xml:space="preserve">CALLE 21 N 44-67 DUITAMA </t>
  </si>
  <si>
    <t>79165730</t>
  </si>
  <si>
    <t>LUIS FERNANDO GAVILAN</t>
  </si>
  <si>
    <t>lgavilan728@gmail.com</t>
  </si>
  <si>
    <t>VEREDA TOMA ABAJO SOTAQUIRA</t>
  </si>
  <si>
    <t>LUIS HERNANDO BENAVIDES RODRIGUEZ</t>
  </si>
  <si>
    <t>luish0391cami@gmail.com</t>
  </si>
  <si>
    <t>AVEN . LIBERTADORES 26-70</t>
  </si>
  <si>
    <t>1002528506</t>
  </si>
  <si>
    <t>LUIS MANUEL GONZALEZ AYALA</t>
  </si>
  <si>
    <t>luismanuelgonzalezayala@outlook.es</t>
  </si>
  <si>
    <t>CALLE 14 N 5-98</t>
  </si>
  <si>
    <t>LUISA MARIA SEPULVEDA BAUTISTA</t>
  </si>
  <si>
    <t>lumaseba30@gmail.com</t>
  </si>
  <si>
    <t>CRA 29 N 16-50 PAIPA</t>
  </si>
  <si>
    <t>1053610649</t>
  </si>
  <si>
    <t>LUZ ADRIANA APERADOR ADAN</t>
  </si>
  <si>
    <t>ARIEK93@GMAIL.COM</t>
  </si>
  <si>
    <t>VEREDA EL MORAL TUTA</t>
  </si>
  <si>
    <t>LUZ MARINA FONSECA OCHOA</t>
  </si>
  <si>
    <t>luzmarinafonsecaochoa@gmail.com</t>
  </si>
  <si>
    <t>65715154</t>
  </si>
  <si>
    <t>LUZ MARINA FRANCO OSMA</t>
  </si>
  <si>
    <t>LUZMA0871@HOTMAIL.COM</t>
  </si>
  <si>
    <t>1115861815</t>
  </si>
  <si>
    <t>LUZ MAYLEN IBICA IVICA</t>
  </si>
  <si>
    <t>luzecithaibica@gmail.com</t>
  </si>
  <si>
    <t>CRA 21 23-78</t>
  </si>
  <si>
    <t>1033730390</t>
  </si>
  <si>
    <t>LUZ NELCY CIFUENTES SANCHEZ</t>
  </si>
  <si>
    <t>luznelcy91@gmail.com</t>
  </si>
  <si>
    <t>VEREDA CORTAADERA CHIQUITA</t>
  </si>
  <si>
    <t>LUZ VALENTINA ROJAS AVELLANEDA</t>
  </si>
  <si>
    <t>avellanedarojas7@gmail.com</t>
  </si>
  <si>
    <t>SALITRE ALTO PAIPA</t>
  </si>
  <si>
    <t>MANUEL FERNANDO CASALLAS CANO</t>
  </si>
  <si>
    <t>fcasallas72@gmail.com</t>
  </si>
  <si>
    <t>VEREDA RESGUARDO SANTA TEREZA</t>
  </si>
  <si>
    <t>MANUEL SANTIAGO MARTINEZ LEGUIZAMO</t>
  </si>
  <si>
    <t>manuel.martinezl@colseminario.edu.co</t>
  </si>
  <si>
    <t>MANZANA Q CASA N B LA ESTACION</t>
  </si>
  <si>
    <t>MARELBY SUESCA SALAMANCA</t>
  </si>
  <si>
    <t>marelsuesca@hotmail.com</t>
  </si>
  <si>
    <t>VERDA SOCONSUCA DE BLANCOS</t>
  </si>
  <si>
    <t>1053607988</t>
  </si>
  <si>
    <t>MARGARETH LILEY CHERLYNE PUERTO LEMUS</t>
  </si>
  <si>
    <t>lileypuertolemus8911@gmail.com</t>
  </si>
  <si>
    <t>CRA 24 A N 30-37</t>
  </si>
  <si>
    <t>1049610468</t>
  </si>
  <si>
    <t>MARGARITA MARIA ALVAREZ RODRIGUEZ</t>
  </si>
  <si>
    <t>margarita.alvarez.office@gmail.com</t>
  </si>
  <si>
    <t>MANZANA M CASA 3 SAN DANIEL</t>
  </si>
  <si>
    <t>1053610740</t>
  </si>
  <si>
    <t>MARIA DILSA GARAVITO SUAREZ</t>
  </si>
  <si>
    <t>mariagaravito538@gmail.com</t>
  </si>
  <si>
    <t xml:space="preserve">AVENIDA LIBERTADORES 19 B 19 </t>
  </si>
  <si>
    <t>MARIA ELBA HURTADO RIVERA</t>
  </si>
  <si>
    <t>elbamariahr@gmail.com</t>
  </si>
  <si>
    <t>CALLE 33 N 14-145</t>
  </si>
  <si>
    <t>MARIA GLADYS RODRIGUEZ SISA</t>
  </si>
  <si>
    <t>maroyuva@gmail.com</t>
  </si>
  <si>
    <t>52320820</t>
  </si>
  <si>
    <t>MARIA ISABEL ORJUELA CASTAÑEDA</t>
  </si>
  <si>
    <t>issabellaorj@gmail.com</t>
  </si>
  <si>
    <t>CRA 26 N 23-18</t>
  </si>
  <si>
    <t>1002551405</t>
  </si>
  <si>
    <t>MARIA NIEVES VARGAS RUIZ</t>
  </si>
  <si>
    <t>marianivargasruiz3115@gmail.com</t>
  </si>
  <si>
    <t>23854626</t>
  </si>
  <si>
    <t>MARIA TERESA CAMARGO RODRIGUEZ</t>
  </si>
  <si>
    <t>mariater7@gmail.com</t>
  </si>
  <si>
    <t>CRA 10 N 24 B -53</t>
  </si>
  <si>
    <t>1053608491</t>
  </si>
  <si>
    <t>MARIBEL GUTIERREZ TOLOZA</t>
  </si>
  <si>
    <t>mabelgutierrez0811@hotmail.com</t>
  </si>
  <si>
    <t>CALLE 30 N 14-08</t>
  </si>
  <si>
    <t>1034778261</t>
  </si>
  <si>
    <t>MARKO ANTONIO ROJAS CARO</t>
  </si>
  <si>
    <t>supercaro06@hotmail.com</t>
  </si>
  <si>
    <t>VEREDA LE TEJAR</t>
  </si>
  <si>
    <t>Martha Cecilia Ruiz Ortiz</t>
  </si>
  <si>
    <t>CALLE 26 N 23-33</t>
  </si>
  <si>
    <t>1126765353</t>
  </si>
  <si>
    <t>MARTIN CHUCURINKA PERDOMO VINCENT</t>
  </si>
  <si>
    <t>PERDOMOMARTINSA@GMAIL.COM</t>
  </si>
  <si>
    <t>VEREDA TEJAR BAJO</t>
  </si>
  <si>
    <t>MARY LUZ FONSECA SUAREZ</t>
  </si>
  <si>
    <t>marymar-89@hotmail.com</t>
  </si>
  <si>
    <t>VEREDA RIO ARRIBA</t>
  </si>
  <si>
    <t>7225007</t>
  </si>
  <si>
    <t>MAXIMINO ROMERO BENAVIDES</t>
  </si>
  <si>
    <t>maximinor438@gmail.com</t>
  </si>
  <si>
    <t>3012679335</t>
  </si>
  <si>
    <t>AVENIDA LIBERTADOPRES 26-34</t>
  </si>
  <si>
    <t>1051286187</t>
  </si>
  <si>
    <t>MAYER ALEJO RIAÑO LOZADA</t>
  </si>
  <si>
    <t>brayanlozada471@gmail.com</t>
  </si>
  <si>
    <t xml:space="preserve">CALLE 32 A N 12A-39 </t>
  </si>
  <si>
    <t>MICHAEL ANDRES LACHE IGUAVITA</t>
  </si>
  <si>
    <t>lacheiguavitamichaelandres@gmail.com</t>
  </si>
  <si>
    <t>cr 4 N 7-39 PAIPA</t>
  </si>
  <si>
    <t>1058431130</t>
  </si>
  <si>
    <t>MIGUEL ANGEL GOMEZ MONROY</t>
  </si>
  <si>
    <t>miguelangelgomezmonroy7@gmail.com</t>
  </si>
  <si>
    <t>VEREDA CALE ARRIBA</t>
  </si>
  <si>
    <t>1054146619</t>
  </si>
  <si>
    <t>MIGUEL ANGEL LEGUIZAMO ROBERTO</t>
  </si>
  <si>
    <t>miguelaleguizamor@gmail.com</t>
  </si>
  <si>
    <t>KM 3 VIA PAIPA -TUNJA VERDA EL VOLCAN</t>
  </si>
  <si>
    <t>MIGUEL ANGEL LOPEZ</t>
  </si>
  <si>
    <t>miguelangeldh9@gmail.com</t>
  </si>
  <si>
    <t>MIGUEL ANGEL ROBLES SALAMANCA</t>
  </si>
  <si>
    <t>miguelroblesnake10@gmail.com</t>
  </si>
  <si>
    <t>CRA 27 A 28 - 33</t>
  </si>
  <si>
    <t>1016063283</t>
  </si>
  <si>
    <t>MIGUEL ANGEL SUAREZ CARVAJAL</t>
  </si>
  <si>
    <t>MIGUELSUAREZCARV@GMAIL.COM</t>
  </si>
  <si>
    <t>CENTRO-TUTA</t>
  </si>
  <si>
    <t>MONICA YANETH CUESTA VALERO</t>
  </si>
  <si>
    <t>monicaycv7@gmail.com</t>
  </si>
  <si>
    <t>CRA 12 N 15-2</t>
  </si>
  <si>
    <t>1002604222</t>
  </si>
  <si>
    <t>MONICA YASMIN ZORRO PUERTO</t>
  </si>
  <si>
    <t>mzorropuerto@gmail.com</t>
  </si>
  <si>
    <t xml:space="preserve">CRA 22 N 11-32 </t>
  </si>
  <si>
    <t>NANCY ROJAS CRISTANCHO</t>
  </si>
  <si>
    <t>artedigital.publi@hotmail.com</t>
  </si>
  <si>
    <t>CALLE 17 A 5A -35 DUITAMA</t>
  </si>
  <si>
    <t>NANCY YADIRA SALAMANCA GRANADOS</t>
  </si>
  <si>
    <t>nancysalamaca.22@icloud.com</t>
  </si>
  <si>
    <t>DIAGONAL 11 A N 24-55</t>
  </si>
  <si>
    <t>1053616839</t>
  </si>
  <si>
    <t>NATALIA FERNANDA MORENO CUESTA</t>
  </si>
  <si>
    <t>fernanda.morenocuesta@gmail.com</t>
  </si>
  <si>
    <t>CRA 25 A N 20 A 18</t>
  </si>
  <si>
    <t>1055333512</t>
  </si>
  <si>
    <t>NEIDER ALEJANDRO SUAREZ ACOSTA</t>
  </si>
  <si>
    <t>nasasuarez.98@gmail.com</t>
  </si>
  <si>
    <t>VEREDA REGENCIA</t>
  </si>
  <si>
    <t>NELSON GUSTAVO GOMEZ ROJAS</t>
  </si>
  <si>
    <t>nelson.gus95@gmail.com</t>
  </si>
  <si>
    <t>CALLE 13 N 35-48 DUITAMA</t>
  </si>
  <si>
    <t>NICOLAS JAVIER RODRIGUEZ VEGA</t>
  </si>
  <si>
    <t>nicolas16092005@gmail.com</t>
  </si>
  <si>
    <t>AVE LIBERTADORES N 26-23</t>
  </si>
  <si>
    <t>1193447861</t>
  </si>
  <si>
    <t>NICOLAS MATEO CAMARGO MARTINEZ</t>
  </si>
  <si>
    <t>nikola.camargo.091@gmail.com</t>
  </si>
  <si>
    <t>CRA 5 N 3-72</t>
  </si>
  <si>
    <t>NUBIA PATRICIA FONSECA PEREZ</t>
  </si>
  <si>
    <t>alissonfonsecap@gmail.com</t>
  </si>
  <si>
    <t>VEREDA TOIBITA</t>
  </si>
  <si>
    <t>1019133505</t>
  </si>
  <si>
    <t>OMAR ROJAS LEON</t>
  </si>
  <si>
    <t>omarroayck@gmail.com</t>
  </si>
  <si>
    <t>VEREDA CATOA</t>
  </si>
  <si>
    <t>1056928062</t>
  </si>
  <si>
    <t>OSCAR ANDRES JIMENEZ SANA</t>
  </si>
  <si>
    <t>oj9637@gmail.com</t>
  </si>
  <si>
    <t>CALLE 10 NO 21-61</t>
  </si>
  <si>
    <t>OSCAR DIAZ HURTADO</t>
  </si>
  <si>
    <t>oscar.diaz.hurtado@gmail.com</t>
  </si>
  <si>
    <t>OSCAR IVAN RODRIGUEZ GONZALEZ</t>
  </si>
  <si>
    <t>oscar.993@gmail.com</t>
  </si>
  <si>
    <t>CRA 20 N 24-22</t>
  </si>
  <si>
    <t>1053604979</t>
  </si>
  <si>
    <t>OSCAR LIBARDO AVELLA SILVA</t>
  </si>
  <si>
    <t>argti_10@live.com</t>
  </si>
  <si>
    <t>DIAGONAL 39 N 20-31</t>
  </si>
  <si>
    <t>1052385590</t>
  </si>
  <si>
    <t>OSCAR SANTIAGO BRAVO BENAVIDES</t>
  </si>
  <si>
    <t>santybravo.1308@gmail.com</t>
  </si>
  <si>
    <t>CALLE 24 N 26-26</t>
  </si>
  <si>
    <t>1019019172</t>
  </si>
  <si>
    <t>PABLO ALBA GONZALEZ</t>
  </si>
  <si>
    <t>hittoriki@gmail.com</t>
  </si>
  <si>
    <t xml:space="preserve">VEREDA EL ESPINAL </t>
  </si>
  <si>
    <t>PAOLA ANDREA RODRIGUEZ CARDENAS</t>
  </si>
  <si>
    <t>paorodriguez001@hotmail.com</t>
  </si>
  <si>
    <t xml:space="preserve">AVENIDA LIBERTADORES 21-50 </t>
  </si>
  <si>
    <t>PEDRO DANIEL PAREDES HURTADO</t>
  </si>
  <si>
    <t>pedro.daniel094@hotmail.com</t>
  </si>
  <si>
    <t>VEREDA VARGUITAS PANTANO DE VARGAS</t>
  </si>
  <si>
    <t>74370388</t>
  </si>
  <si>
    <t>RAUL ALBERTO MORA PEREZ</t>
  </si>
  <si>
    <t>moraperezraulalberto@gmail.com</t>
  </si>
  <si>
    <t xml:space="preserve">SALITRE ALTO 
</t>
  </si>
  <si>
    <t>74369853</t>
  </si>
  <si>
    <t>RICARDO ALEXANDER RODRIGUEZ CEDIEL</t>
  </si>
  <si>
    <t>richi.741119@gmail.com</t>
  </si>
  <si>
    <t xml:space="preserve">CALLE 23 N 17 A -03 </t>
  </si>
  <si>
    <t>1002538243</t>
  </si>
  <si>
    <t>RICHARD MAURICIO HENAO CAMARGO</t>
  </si>
  <si>
    <t>richardmauriciohenaocamargo@gmail.com</t>
  </si>
  <si>
    <t>ROSENDO CIFUENTES ALFONSO</t>
  </si>
  <si>
    <t>rcifuentesalfonso@gmail.com</t>
  </si>
  <si>
    <t>RUTH JAQUELINE OCHOA SILVA</t>
  </si>
  <si>
    <t>jackochoa03@gmail.com</t>
  </si>
  <si>
    <t>1052385300</t>
  </si>
  <si>
    <t>RUTH MARCELA MALDONADO CORREA</t>
  </si>
  <si>
    <t>marcelamaldonadocorrea@gmail.com</t>
  </si>
  <si>
    <t xml:space="preserve">CRA 32 N 19 -40 </t>
  </si>
  <si>
    <t>1052841189</t>
  </si>
  <si>
    <t>SAMUEL LEONARDO BLANCO FLOREZ</t>
  </si>
  <si>
    <t>leosamblaflo@gmail.com</t>
  </si>
  <si>
    <t>CONJUNTO TIMONEL DUITAMA</t>
  </si>
  <si>
    <t>1053608345</t>
  </si>
  <si>
    <t>SANDRA MILENA RAMIREZ GUATIBONZA</t>
  </si>
  <si>
    <t>sandramrg1969@gmail.com</t>
  </si>
  <si>
    <t>CALLE 26C N16-89</t>
  </si>
  <si>
    <t>52741973</t>
  </si>
  <si>
    <t>SANDRA YANET MARTINEZ GONZALEZ</t>
  </si>
  <si>
    <t>sandrateg64@gmail.com</t>
  </si>
  <si>
    <t>VEREDA SAN ANTONIO</t>
  </si>
  <si>
    <t>SANTIAGO GALINDO MEJIA</t>
  </si>
  <si>
    <t>santiago.galindo@uptc.edu.co</t>
  </si>
  <si>
    <t xml:space="preserve">calle 31 b n 12 b 14 </t>
  </si>
  <si>
    <t>80073682</t>
  </si>
  <si>
    <t>SATSHANKAR JESUS ELIAS RIOS RODRIGUEZ</t>
  </si>
  <si>
    <t>jeelri@gmail.com</t>
  </si>
  <si>
    <t>CALLE 29 C N 23A 62</t>
  </si>
  <si>
    <t>SERGIO ALEXANDER COMAS ECHEVERRIA</t>
  </si>
  <si>
    <t>sergioalexcomas123@hotmail.com</t>
  </si>
  <si>
    <t>calle 16 n 16-03</t>
  </si>
  <si>
    <t>1015394758</t>
  </si>
  <si>
    <t>SERGIO NICOLAS CARDONA BENAVIDES</t>
  </si>
  <si>
    <t>nb7591820@gmail.com</t>
  </si>
  <si>
    <t>AVENIDA LIERTADORES N 18-06</t>
  </si>
  <si>
    <t>1052838418</t>
  </si>
  <si>
    <t>SIMON FELIPE CARVAJAL ROJAS</t>
  </si>
  <si>
    <t>simonfelipecarvajal.25@gmail.com</t>
  </si>
  <si>
    <t>1002538733</t>
  </si>
  <si>
    <t>SNEIDER STEVEN GUTIERREZ ESPINOSA</t>
  </si>
  <si>
    <t>sneidernacio2003@gmail.com</t>
  </si>
  <si>
    <t>CALLE 21 A N 27-33</t>
  </si>
  <si>
    <t>1053614501</t>
  </si>
  <si>
    <t>STIVEN PACHECO ALBA</t>
  </si>
  <si>
    <t>stiven97042318586@gmail.com</t>
  </si>
  <si>
    <t>VEREDA EL ESPINAL</t>
  </si>
  <si>
    <t>TIBERIO MOLINA ALFONZO</t>
  </si>
  <si>
    <t>tinerimolina23@gmail.com</t>
  </si>
  <si>
    <t>VEREDA GAUNZA</t>
  </si>
  <si>
    <t>1055313874</t>
  </si>
  <si>
    <t>VICTOR ALFONSO ROJAS PALADINEZ</t>
  </si>
  <si>
    <t>vialropa@gmail.com</t>
  </si>
  <si>
    <t>CALLE 6 N 7-23</t>
  </si>
  <si>
    <t>1052404909</t>
  </si>
  <si>
    <t>VIVIANA DEL PILAR BLANCO ROA</t>
  </si>
  <si>
    <t>viviblanco95@gmail.com</t>
  </si>
  <si>
    <t>VEREDA MONTE REDONDO</t>
  </si>
  <si>
    <t>1053604673</t>
  </si>
  <si>
    <t>WILDER JULIAN PACHECO SANCHEZ</t>
  </si>
  <si>
    <t>pachecowilder2004@gmail.com</t>
  </si>
  <si>
    <t>1002538491</t>
  </si>
  <si>
    <t>WILSON ANDRES SOLER LOPEZ</t>
  </si>
  <si>
    <t>wilsonandressolerlopez79@gmail.com</t>
  </si>
  <si>
    <t>1055332794</t>
  </si>
  <si>
    <t>WILSON FABIAN CASALLAS FONSECA</t>
  </si>
  <si>
    <t>fabiancasallas26@gmail.com</t>
  </si>
  <si>
    <t>VEREDA RESGUARDO TUTA</t>
  </si>
  <si>
    <t>XIMENA DEL PILAR RODRIGUEZ ZARATE</t>
  </si>
  <si>
    <t>pilirous1284@hotmail.com</t>
  </si>
  <si>
    <t>DIAGONAL 11 A N 10 A 86  DUITAMA</t>
  </si>
  <si>
    <t>YECID ALFONSO LEON MESA</t>
  </si>
  <si>
    <t>yesidleonmesa58@gmail.com</t>
  </si>
  <si>
    <t>CLLE 25 17 53</t>
  </si>
  <si>
    <t>1002681897</t>
  </si>
  <si>
    <t>YEFER ALEXANDER MACHUCA OSTOS</t>
  </si>
  <si>
    <t>alexmachuca1820@gmail.com</t>
  </si>
  <si>
    <t>VEREDA ANGOSTURAS</t>
  </si>
  <si>
    <t>1002551566</t>
  </si>
  <si>
    <t>YEFERSON FERNANDO FONSECA SUESCA</t>
  </si>
  <si>
    <t>yefersonfonseca66@gmail.com</t>
  </si>
  <si>
    <t>1053615780</t>
  </si>
  <si>
    <t>YEIMMY ALEXANDRA LUIS PEREZ</t>
  </si>
  <si>
    <t>yeimmyperez226@gmail.com</t>
  </si>
  <si>
    <t>CRA 24 D N 11-23</t>
  </si>
  <si>
    <t>1053604871</t>
  </si>
  <si>
    <t>YEIMY MARIANA BECERRA SANDOVAL</t>
  </si>
  <si>
    <t>yeimy1770@gmail.com</t>
  </si>
  <si>
    <t>CALLE 24 N 25-75</t>
  </si>
  <si>
    <t>1053614113</t>
  </si>
  <si>
    <t>YEIMY MIREYA GRANADOS FONSECA</t>
  </si>
  <si>
    <t>YEIMYGRANADOSFO@GMAIL.COM</t>
  </si>
  <si>
    <t>YEISON HERNANDO MONROY GARAVITO</t>
  </si>
  <si>
    <t>monroyyeison1327@gmail.com</t>
  </si>
  <si>
    <t>1053614486</t>
  </si>
  <si>
    <t>YEISON JAVIER GRANADOS GARZON</t>
  </si>
  <si>
    <t>jheisongarzon97@gmail.com</t>
  </si>
  <si>
    <t>CRA 28 N 28 -110</t>
  </si>
  <si>
    <t>1053616915</t>
  </si>
  <si>
    <t>YENNY TATIANA FONSECA CORREDOR</t>
  </si>
  <si>
    <t>tatafonck05@gmail.com</t>
  </si>
  <si>
    <t>VEREDA CANOCAS PAIPA</t>
  </si>
  <si>
    <t>YESICA YOLIMA FIGUEREDO MONROY</t>
  </si>
  <si>
    <t>dannayolima0302@gmail.com</t>
  </si>
  <si>
    <t>diagonal 22 n 22 -90</t>
  </si>
  <si>
    <t>1056572524</t>
  </si>
  <si>
    <t>YOHAN SEBASTIAN PIRE CARDENAS</t>
  </si>
  <si>
    <t>JHOANSEBASTIANPIRE2019@GMAIL.COM</t>
  </si>
  <si>
    <t>CALLE 7 N8-78 SOTAQUIRA</t>
  </si>
  <si>
    <t>YOHANA RODRIGUEZ GRIJALBA</t>
  </si>
  <si>
    <t>yohanarodriguez.g15@gmail.com</t>
  </si>
  <si>
    <t>AVENIDA LIBERTADORES N 26.68</t>
  </si>
  <si>
    <t>YOLEAN ANDREY JIMENEZ RODRIGUEZ</t>
  </si>
  <si>
    <t>yolean123jimenez@gmail.com</t>
  </si>
  <si>
    <t>vereda el resguardo TUTA</t>
  </si>
  <si>
    <t>1001049921</t>
  </si>
  <si>
    <t>YONATAN CAMILO ACUÑA GONZALES</t>
  </si>
  <si>
    <t>gonzalescamilo1102@gmail.com</t>
  </si>
  <si>
    <t>KM 27 VIA TUNJA PAIPA</t>
  </si>
  <si>
    <t>1054146140</t>
  </si>
  <si>
    <t>YONATAN DAVID RINCON FONSECA</t>
  </si>
  <si>
    <t>rinconyonatan3219@gmail.com</t>
  </si>
  <si>
    <t>VEREDA EL HATO</t>
  </si>
  <si>
    <t>1053613441</t>
  </si>
  <si>
    <t>YONATAN ESTIVEN CANARIA</t>
  </si>
  <si>
    <t>jscanaria34@gmail.com</t>
  </si>
  <si>
    <t>CALLE 25 20 40</t>
  </si>
  <si>
    <t>YUDY LORENA SAAVEDRA SAIZ</t>
  </si>
  <si>
    <t>ysaavedrasaiz@gmail.com</t>
  </si>
  <si>
    <t>CALLE 26 A N 26-60</t>
  </si>
  <si>
    <t>1052837452</t>
  </si>
  <si>
    <t>YUDY VALENTINA MARTINEZ RODRIGUEZ</t>
  </si>
  <si>
    <t>yuvamaro20@gmail.com</t>
  </si>
  <si>
    <t>1053612007</t>
  </si>
  <si>
    <t>YULI MARCELA SANCHEZ MONROY</t>
  </si>
  <si>
    <t>mare1281@hotmail.com</t>
  </si>
  <si>
    <t>VEREDA ROMITA</t>
  </si>
  <si>
    <t>1056573038</t>
  </si>
  <si>
    <t>YULY RAMIREZ RODRIGUEZ</t>
  </si>
  <si>
    <t>yulyraro@live.com</t>
  </si>
  <si>
    <t>MANZANA 9 CASA 3 BLOQUE A</t>
  </si>
  <si>
    <t>1054146233</t>
  </si>
  <si>
    <t>YURI KATERIN FORERO HIGUERA</t>
  </si>
  <si>
    <t>yuriforero85@gmail.com</t>
  </si>
  <si>
    <t>YURLEIDY ALVARADO CAMARGO</t>
  </si>
  <si>
    <t>yurleidyalvarado123@gmail.com</t>
  </si>
  <si>
    <t>1022965375</t>
  </si>
  <si>
    <t>YURY ANDREA CRUZ ROMERO</t>
  </si>
  <si>
    <t>YURYCRUZROM@GMAIL.COM</t>
  </si>
  <si>
    <t>CARRERA 5 N7-37</t>
  </si>
  <si>
    <t>1053607122</t>
  </si>
  <si>
    <t>ZULANLLY KATERINE PEREZ NARVAEZ</t>
  </si>
  <si>
    <t>kathaperez2006@gmail.com</t>
  </si>
  <si>
    <t>CRA 15 B N 29-57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</si>
</sst>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u/>
      <sz val="11"/>
      <color theme="10"/>
      <name val="Calibri"/>
    </font>
    <font>
      <sz val="11"/>
      <color theme="1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rgb="FF2E75B5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3" fillId="2" borderId="9" xfId="0" applyFont="1" applyFill="1" applyBorder="1" applyProtection="1">
      <protection locked="0"/>
    </xf>
    <xf numFmtId="0" fontId="4" fillId="2" borderId="9" xfId="0" applyFont="1" applyFill="1" applyBorder="1" applyProtection="1">
      <protection locked="0"/>
    </xf>
    <xf numFmtId="0" fontId="4" fillId="2" borderId="9" xfId="0" applyFont="1" applyFill="1" applyBorder="1" applyAlignment="1" applyProtection="1">
      <protection locked="0"/>
    </xf>
    <xf numFmtId="0" fontId="5" fillId="2" borderId="9" xfId="0" applyFont="1" applyFill="1" applyBorder="1" applyAlignment="1" applyProtection="1">
      <alignment horizontal="right"/>
      <protection locked="0"/>
    </xf>
    <xf numFmtId="0" fontId="5" fillId="2" borderId="9" xfId="0" applyFont="1" applyFill="1" applyBorder="1" applyAlignment="1" applyProtection="1">
      <protection locked="0"/>
    </xf>
    <xf numFmtId="164" fontId="3" fillId="6" borderId="9" xfId="1" applyNumberFormat="1" applyFont="1" applyFill="1" applyBorder="1" applyAlignment="1" applyProtection="1">
      <alignment horizontal="right"/>
      <protection locked="0"/>
    </xf>
    <xf numFmtId="0" fontId="4" fillId="2" borderId="10" xfId="0" applyFont="1" applyFill="1" applyBorder="1" applyProtection="1">
      <protection locked="0"/>
    </xf>
    <xf numFmtId="0" fontId="5" fillId="2" borderId="9" xfId="0" applyFont="1" applyFill="1" applyBorder="1" applyProtection="1">
      <protection locked="0"/>
    </xf>
    <xf numFmtId="0" fontId="6" fillId="2" borderId="9" xfId="0" applyFont="1" applyFill="1" applyBorder="1" applyAlignment="1" applyProtection="1">
      <alignment wrapText="1"/>
      <protection locked="0"/>
    </xf>
    <xf numFmtId="0" fontId="4" fillId="2" borderId="9" xfId="0" applyFont="1" applyFill="1" applyBorder="1" applyAlignment="1" applyProtection="1">
      <alignment horizontal="right"/>
      <protection locked="0"/>
    </xf>
    <xf numFmtId="0" fontId="5" fillId="2" borderId="9" xfId="0" applyFont="1" applyFill="1" applyBorder="1" applyAlignment="1" applyProtection="1">
      <alignment wrapText="1"/>
      <protection locked="0"/>
    </xf>
    <xf numFmtId="164" fontId="3" fillId="6" borderId="9" xfId="1" applyNumberFormat="1" applyFont="1" applyFill="1" applyBorder="1" applyAlignment="1" applyProtection="1">
      <alignment horizontal="right" wrapText="1"/>
      <protection locked="0"/>
    </xf>
    <xf numFmtId="0" fontId="5" fillId="2" borderId="9" xfId="0" applyFont="1" applyFill="1" applyBorder="1" applyAlignment="1" applyProtection="1">
      <alignment horizontal="right" wrapText="1"/>
      <protection locked="0"/>
    </xf>
    <xf numFmtId="0" fontId="6" fillId="2" borderId="9" xfId="0" applyFont="1" applyFill="1" applyBorder="1" applyProtection="1">
      <protection locked="0"/>
    </xf>
    <xf numFmtId="164" fontId="3" fillId="7" borderId="9" xfId="1" applyNumberFormat="1" applyFont="1" applyFill="1" applyBorder="1" applyAlignment="1" applyProtection="1">
      <alignment horizontal="right" wrapText="1"/>
      <protection locked="0"/>
    </xf>
    <xf numFmtId="0" fontId="3" fillId="8" borderId="9" xfId="0" applyFont="1" applyFill="1" applyBorder="1" applyProtection="1">
      <protection locked="0"/>
    </xf>
    <xf numFmtId="164" fontId="3" fillId="7" borderId="9" xfId="1" applyNumberFormat="1" applyFont="1" applyFill="1" applyBorder="1" applyAlignment="1" applyProtection="1">
      <alignment horizontal="right"/>
      <protection locked="0"/>
    </xf>
    <xf numFmtId="164" fontId="5" fillId="6" borderId="9" xfId="1" applyNumberFormat="1" applyFont="1" applyFill="1" applyBorder="1" applyAlignment="1" applyProtection="1">
      <alignment horizontal="right"/>
      <protection locked="0"/>
    </xf>
    <xf numFmtId="0" fontId="3" fillId="6" borderId="9" xfId="0" applyFont="1" applyFill="1" applyBorder="1" applyProtection="1">
      <protection locked="0"/>
    </xf>
    <xf numFmtId="0" fontId="3" fillId="2" borderId="9" xfId="0" applyFont="1" applyFill="1" applyBorder="1" applyAlignment="1" applyProtection="1">
      <alignment horizontal="right"/>
      <protection locked="0"/>
    </xf>
    <xf numFmtId="0" fontId="5" fillId="9" borderId="9" xfId="0" applyFont="1" applyFill="1" applyBorder="1" applyProtection="1">
      <protection locked="0"/>
    </xf>
    <xf numFmtId="0" fontId="3" fillId="9" borderId="9" xfId="0" applyFont="1" applyFill="1" applyBorder="1" applyProtection="1">
      <protection locked="0"/>
    </xf>
    <xf numFmtId="0" fontId="6" fillId="9" borderId="9" xfId="0" applyFont="1" applyFill="1" applyBorder="1" applyProtection="1">
      <protection locked="0"/>
    </xf>
    <xf numFmtId="0" fontId="3" fillId="9" borderId="9" xfId="0" applyFont="1" applyFill="1" applyBorder="1" applyAlignment="1" applyProtection="1">
      <alignment horizontal="right"/>
      <protection locked="0"/>
    </xf>
    <xf numFmtId="0" fontId="5" fillId="9" borderId="9" xfId="0" applyFont="1" applyFill="1" applyBorder="1" applyAlignment="1" applyProtection="1">
      <alignment wrapText="1"/>
      <protection locked="0"/>
    </xf>
    <xf numFmtId="0" fontId="4" fillId="10" borderId="9" xfId="0" applyFont="1" applyFill="1" applyBorder="1" applyProtection="1">
      <protection locked="0"/>
    </xf>
    <xf numFmtId="0" fontId="3" fillId="7" borderId="9" xfId="0" applyFont="1" applyFill="1" applyBorder="1" applyProtection="1">
      <protection locked="0"/>
    </xf>
    <xf numFmtId="0" fontId="3" fillId="7" borderId="9" xfId="0" applyFont="1" applyFill="1" applyBorder="1" applyAlignment="1" applyProtection="1">
      <alignment horizontal="right"/>
      <protection locked="0"/>
    </xf>
    <xf numFmtId="0" fontId="4" fillId="2" borderId="11" xfId="0" applyFont="1" applyFill="1" applyBorder="1" applyAlignment="1" applyProtection="1">
      <alignment horizontal="right"/>
      <protection locked="0"/>
    </xf>
    <xf numFmtId="0" fontId="4" fillId="2" borderId="11" xfId="0" applyFont="1" applyFill="1" applyBorder="1" applyProtection="1">
      <protection locked="0"/>
    </xf>
    <xf numFmtId="0" fontId="3" fillId="2" borderId="11" xfId="0" applyFont="1" applyFill="1" applyBorder="1" applyAlignment="1" applyProtection="1">
      <alignment horizontal="right"/>
      <protection locked="0"/>
    </xf>
    <xf numFmtId="0" fontId="5" fillId="2" borderId="11" xfId="0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horizontal="right" wrapText="1"/>
      <protection locked="0"/>
    </xf>
    <xf numFmtId="0" fontId="5" fillId="2" borderId="12" xfId="0" applyFont="1" applyFill="1" applyBorder="1" applyAlignment="1" applyProtection="1">
      <alignment wrapText="1"/>
      <protection locked="0"/>
    </xf>
    <xf numFmtId="0" fontId="4" fillId="2" borderId="12" xfId="0" applyFont="1" applyFill="1" applyBorder="1" applyAlignment="1" applyProtection="1">
      <alignment horizontal="right"/>
      <protection locked="0"/>
    </xf>
    <xf numFmtId="0" fontId="5" fillId="2" borderId="11" xfId="0" applyFont="1" applyFill="1" applyBorder="1" applyAlignment="1" applyProtection="1">
      <alignment horizontal="right"/>
      <protection locked="0"/>
    </xf>
    <xf numFmtId="0" fontId="5" fillId="2" borderId="11" xfId="0" applyFont="1" applyFill="1" applyBorder="1" applyAlignment="1" applyProtection="1">
      <protection locked="0"/>
    </xf>
    <xf numFmtId="0" fontId="5" fillId="2" borderId="12" xfId="0" applyFont="1" applyFill="1" applyBorder="1" applyAlignment="1" applyProtection="1">
      <alignment horizontal="right"/>
      <protection locked="0"/>
    </xf>
    <xf numFmtId="0" fontId="5" fillId="2" borderId="12" xfId="0" applyFont="1" applyFill="1" applyBorder="1" applyAlignment="1" applyProtection="1">
      <protection locked="0"/>
    </xf>
    <xf numFmtId="0" fontId="5" fillId="2" borderId="11" xfId="0" applyFont="1" applyFill="1" applyBorder="1" applyAlignment="1" applyProtection="1">
      <alignment horizontal="right" wrapText="1"/>
      <protection locked="0"/>
    </xf>
    <xf numFmtId="0" fontId="3" fillId="2" borderId="9" xfId="0" applyFont="1" applyFill="1" applyBorder="1" applyAlignment="1" applyProtection="1">
      <protection locked="0"/>
    </xf>
    <xf numFmtId="0" fontId="7" fillId="2" borderId="12" xfId="0" applyFont="1" applyFill="1" applyBorder="1" applyAlignment="1" applyProtection="1">
      <alignment wrapText="1"/>
      <protection locked="0"/>
    </xf>
    <xf numFmtId="0" fontId="4" fillId="2" borderId="12" xfId="0" applyFont="1" applyFill="1" applyBorder="1" applyProtection="1">
      <protection locked="0"/>
    </xf>
    <xf numFmtId="0" fontId="4" fillId="2" borderId="11" xfId="0" applyFont="1" applyFill="1" applyBorder="1" applyAlignment="1" applyProtection="1">
      <protection locked="0"/>
    </xf>
    <xf numFmtId="0" fontId="4" fillId="2" borderId="12" xfId="0" applyFont="1" applyFill="1" applyBorder="1" applyAlignment="1" applyProtection="1">
      <protection locked="0"/>
    </xf>
    <xf numFmtId="164" fontId="3" fillId="11" borderId="9" xfId="1" applyNumberFormat="1" applyFont="1" applyFill="1" applyBorder="1" applyAlignment="1" applyProtection="1">
      <alignment horizontal="right"/>
      <protection locked="0"/>
    </xf>
    <xf numFmtId="164" fontId="3" fillId="11" borderId="9" xfId="1" applyNumberFormat="1" applyFont="1" applyFill="1" applyBorder="1" applyAlignment="1" applyProtection="1">
      <alignment horizontal="right" wrapText="1"/>
      <protection locked="0"/>
    </xf>
    <xf numFmtId="164" fontId="5" fillId="11" borderId="9" xfId="1" applyNumberFormat="1" applyFont="1" applyFill="1" applyBorder="1" applyAlignment="1" applyProtection="1">
      <alignment horizontal="right"/>
      <protection locked="0"/>
    </xf>
    <xf numFmtId="0" fontId="4" fillId="6" borderId="9" xfId="0" applyFont="1" applyFill="1" applyBorder="1" applyProtection="1">
      <protection locked="0"/>
    </xf>
    <xf numFmtId="0" fontId="4" fillId="6" borderId="9" xfId="0" applyFont="1" applyFill="1" applyBorder="1" applyAlignment="1" applyProtection="1">
      <protection locked="0"/>
    </xf>
    <xf numFmtId="0" fontId="4" fillId="6" borderId="11" xfId="0" applyFont="1" applyFill="1" applyBorder="1" applyAlignment="1" applyProtection="1">
      <alignment horizontal="right"/>
      <protection locked="0"/>
    </xf>
    <xf numFmtId="0" fontId="5" fillId="6" borderId="11" xfId="0" applyFont="1" applyFill="1" applyBorder="1" applyAlignment="1" applyProtection="1">
      <protection locked="0"/>
    </xf>
    <xf numFmtId="0" fontId="4" fillId="6" borderId="10" xfId="0" applyFont="1" applyFill="1" applyBorder="1" applyProtection="1">
      <protection locked="0"/>
    </xf>
    <xf numFmtId="164" fontId="3" fillId="11" borderId="9" xfId="1" applyNumberFormat="1" applyFont="1" applyFill="1" applyBorder="1" applyAlignment="1" applyProtection="1">
      <alignment wrapText="1"/>
      <protection locked="0"/>
    </xf>
    <xf numFmtId="164" fontId="0" fillId="0" borderId="0" xfId="0" applyNumberForma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RLOS19998MELO@GMAIL.COM" TargetMode="External"/><Relationship Id="rId18" Type="http://schemas.openxmlformats.org/officeDocument/2006/relationships/hyperlink" Target="mailto:criscamife872@gmail.com" TargetMode="External"/><Relationship Id="rId26" Type="http://schemas.openxmlformats.org/officeDocument/2006/relationships/hyperlink" Target="mailto:davidparrita312@gmail.com" TargetMode="External"/><Relationship Id="rId39" Type="http://schemas.openxmlformats.org/officeDocument/2006/relationships/hyperlink" Target="mailto:catalinavj18@outlook.com" TargetMode="External"/><Relationship Id="rId21" Type="http://schemas.openxmlformats.org/officeDocument/2006/relationships/hyperlink" Target="mailto:jejeronimo2015@gmail.com" TargetMode="External"/><Relationship Id="rId34" Type="http://schemas.openxmlformats.org/officeDocument/2006/relationships/hyperlink" Target="mailto:josenoemedina39@gmail.com" TargetMode="External"/><Relationship Id="rId42" Type="http://schemas.openxmlformats.org/officeDocument/2006/relationships/hyperlink" Target="mailto:lauritagonzalez14@hotmail.com" TargetMode="External"/><Relationship Id="rId47" Type="http://schemas.openxmlformats.org/officeDocument/2006/relationships/hyperlink" Target="mailto:luzmarinafonsecaochoa@gmail.com" TargetMode="External"/><Relationship Id="rId50" Type="http://schemas.openxmlformats.org/officeDocument/2006/relationships/hyperlink" Target="mailto:lacheiguavitamichaelandres@gmail.com" TargetMode="External"/><Relationship Id="rId55" Type="http://schemas.openxmlformats.org/officeDocument/2006/relationships/hyperlink" Target="mailto:pedro.daniel094@hotmail.com" TargetMode="External"/><Relationship Id="rId63" Type="http://schemas.openxmlformats.org/officeDocument/2006/relationships/hyperlink" Target="mailto:yolean123jimenez@gmail.com" TargetMode="External"/><Relationship Id="rId7" Type="http://schemas.openxmlformats.org/officeDocument/2006/relationships/hyperlink" Target="mailto:andrespedroza02@gmail.com" TargetMode="External"/><Relationship Id="rId2" Type="http://schemas.openxmlformats.org/officeDocument/2006/relationships/hyperlink" Target="mailto:anabrigidasibo29@gmail.com" TargetMode="External"/><Relationship Id="rId16" Type="http://schemas.openxmlformats.org/officeDocument/2006/relationships/hyperlink" Target="mailto:rodriguezcesardavid.9@gmail.com" TargetMode="External"/><Relationship Id="rId20" Type="http://schemas.openxmlformats.org/officeDocument/2006/relationships/hyperlink" Target="mailto:cristofferyanpier09@gmail.com" TargetMode="External"/><Relationship Id="rId29" Type="http://schemas.openxmlformats.org/officeDocument/2006/relationships/hyperlink" Target="mailto:santiagojoya0921@gmail.com" TargetMode="External"/><Relationship Id="rId41" Type="http://schemas.openxmlformats.org/officeDocument/2006/relationships/hyperlink" Target="mailto:justobrand258@gmail.com" TargetMode="External"/><Relationship Id="rId54" Type="http://schemas.openxmlformats.org/officeDocument/2006/relationships/hyperlink" Target="mailto:nelson.gus95@gmail.com" TargetMode="External"/><Relationship Id="rId62" Type="http://schemas.openxmlformats.org/officeDocument/2006/relationships/hyperlink" Target="mailto:dannayolima0302@gmail.com" TargetMode="External"/><Relationship Id="rId1" Type="http://schemas.openxmlformats.org/officeDocument/2006/relationships/hyperlink" Target="mailto:alejime1216@gmail.com" TargetMode="External"/><Relationship Id="rId6" Type="http://schemas.openxmlformats.org/officeDocument/2006/relationships/hyperlink" Target="mailto:andresfelipeburgosespinosa49@gmail.com" TargetMode="External"/><Relationship Id="rId11" Type="http://schemas.openxmlformats.org/officeDocument/2006/relationships/hyperlink" Target="mailto:calejopapa1@gmail.com" TargetMode="External"/><Relationship Id="rId24" Type="http://schemas.openxmlformats.org/officeDocument/2006/relationships/hyperlink" Target="mailto:tatangarciamartinez@gmail.com" TargetMode="External"/><Relationship Id="rId32" Type="http://schemas.openxmlformats.org/officeDocument/2006/relationships/hyperlink" Target="mailto:hernandez864ch@gmail.com" TargetMode="External"/><Relationship Id="rId37" Type="http://schemas.openxmlformats.org/officeDocument/2006/relationships/hyperlink" Target="mailto:juanguillemosuarez218@gmail.com" TargetMode="External"/><Relationship Id="rId40" Type="http://schemas.openxmlformats.org/officeDocument/2006/relationships/hyperlink" Target="mailto:julian.peraltac@gmail.com" TargetMode="External"/><Relationship Id="rId45" Type="http://schemas.openxmlformats.org/officeDocument/2006/relationships/hyperlink" Target="mailto:luish0391cami@gmail.com" TargetMode="External"/><Relationship Id="rId53" Type="http://schemas.openxmlformats.org/officeDocument/2006/relationships/hyperlink" Target="mailto:artedigital.publi@hotmail.com" TargetMode="External"/><Relationship Id="rId58" Type="http://schemas.openxmlformats.org/officeDocument/2006/relationships/hyperlink" Target="mailto:sergioalexcomas123@hotmail.com" TargetMode="External"/><Relationship Id="rId66" Type="http://schemas.openxmlformats.org/officeDocument/2006/relationships/drawing" Target="../drawings/drawing1.xml"/><Relationship Id="rId5" Type="http://schemas.openxmlformats.org/officeDocument/2006/relationships/hyperlink" Target="mailto:andresfabianortegaortega88@gmail.com" TargetMode="External"/><Relationship Id="rId15" Type="http://schemas.openxmlformats.org/officeDocument/2006/relationships/hyperlink" Target="mailto:carlosjep43@gmail.com" TargetMode="External"/><Relationship Id="rId23" Type="http://schemas.openxmlformats.org/officeDocument/2006/relationships/hyperlink" Target="mailto:gonzalosuareztocarruncho@gmail.com" TargetMode="External"/><Relationship Id="rId28" Type="http://schemas.openxmlformats.org/officeDocument/2006/relationships/hyperlink" Target="mailto:jasacato@gmail.com" TargetMode="External"/><Relationship Id="rId36" Type="http://schemas.openxmlformats.org/officeDocument/2006/relationships/hyperlink" Target="mailto:duitamajuandavidrodriguez01@gmail.com" TargetMode="External"/><Relationship Id="rId49" Type="http://schemas.openxmlformats.org/officeDocument/2006/relationships/hyperlink" Target="mailto:calejopapa1@gmail.com" TargetMode="External"/><Relationship Id="rId57" Type="http://schemas.openxmlformats.org/officeDocument/2006/relationships/hyperlink" Target="mailto:santiago.galindo@uptc.edu.co" TargetMode="External"/><Relationship Id="rId61" Type="http://schemas.openxmlformats.org/officeDocument/2006/relationships/hyperlink" Target="mailto:monroyyeison1327@gmail.com" TargetMode="External"/><Relationship Id="rId10" Type="http://schemas.openxmlformats.org/officeDocument/2006/relationships/hyperlink" Target="mailto:aura.pita@uptc.edu.co" TargetMode="External"/><Relationship Id="rId19" Type="http://schemas.openxmlformats.org/officeDocument/2006/relationships/hyperlink" Target="mailto:casteochoa6@gmail.com" TargetMode="External"/><Relationship Id="rId31" Type="http://schemas.openxmlformats.org/officeDocument/2006/relationships/hyperlink" Target="mailto:josealiriogomez17@gmail.com" TargetMode="External"/><Relationship Id="rId44" Type="http://schemas.openxmlformats.org/officeDocument/2006/relationships/hyperlink" Target="mailto:gualdronfelipe57@gmail.com" TargetMode="External"/><Relationship Id="rId52" Type="http://schemas.openxmlformats.org/officeDocument/2006/relationships/hyperlink" Target="mailto:monicaycv7@gmail.com" TargetMode="External"/><Relationship Id="rId60" Type="http://schemas.openxmlformats.org/officeDocument/2006/relationships/hyperlink" Target="mailto:pilirous1284@hotmail.com" TargetMode="External"/><Relationship Id="rId65" Type="http://schemas.openxmlformats.org/officeDocument/2006/relationships/hyperlink" Target="mailto:yurleidyalvarado123@gmail.com" TargetMode="External"/><Relationship Id="rId4" Type="http://schemas.openxmlformats.org/officeDocument/2006/relationships/hyperlink" Target="mailto:pilarandrea97@gmail.com" TargetMode="External"/><Relationship Id="rId9" Type="http://schemas.openxmlformats.org/officeDocument/2006/relationships/hyperlink" Target="mailto:ximecam2001@gmail.com" TargetMode="External"/><Relationship Id="rId14" Type="http://schemas.openxmlformats.org/officeDocument/2006/relationships/hyperlink" Target="mailto:ctorres.810@hotmail.com" TargetMode="External"/><Relationship Id="rId22" Type="http://schemas.openxmlformats.org/officeDocument/2006/relationships/hyperlink" Target="mailto:contrerasleonardo4235@gmail.com" TargetMode="External"/><Relationship Id="rId27" Type="http://schemas.openxmlformats.org/officeDocument/2006/relationships/hyperlink" Target="mailto:przleo2004@gmail.com" TargetMode="External"/><Relationship Id="rId30" Type="http://schemas.openxmlformats.org/officeDocument/2006/relationships/hyperlink" Target="mailto:joseabelino1@hotmail.com" TargetMode="External"/><Relationship Id="rId35" Type="http://schemas.openxmlformats.org/officeDocument/2006/relationships/hyperlink" Target="mailto:davidmonroy568@gmail.com" TargetMode="External"/><Relationship Id="rId43" Type="http://schemas.openxmlformats.org/officeDocument/2006/relationships/hyperlink" Target="mailto:angaritaliccy92@gmail.com" TargetMode="External"/><Relationship Id="rId48" Type="http://schemas.openxmlformats.org/officeDocument/2006/relationships/hyperlink" Target="mailto:fcasallas72@gmail.com" TargetMode="External"/><Relationship Id="rId56" Type="http://schemas.openxmlformats.org/officeDocument/2006/relationships/hyperlink" Target="mailto:jackochoa03@gmail.com" TargetMode="External"/><Relationship Id="rId64" Type="http://schemas.openxmlformats.org/officeDocument/2006/relationships/hyperlink" Target="mailto:ysaavedrasaiz@gmail.com" TargetMode="External"/><Relationship Id="rId8" Type="http://schemas.openxmlformats.org/officeDocument/2006/relationships/hyperlink" Target="mailto:angelajohanarodriguezochoa@gmail.com" TargetMode="External"/><Relationship Id="rId51" Type="http://schemas.openxmlformats.org/officeDocument/2006/relationships/hyperlink" Target="mailto:miguelangeldh9@gmail.com" TargetMode="External"/><Relationship Id="rId3" Type="http://schemas.openxmlformats.org/officeDocument/2006/relationships/hyperlink" Target="mailto:ampitar13@gmail.com" TargetMode="External"/><Relationship Id="rId12" Type="http://schemas.openxmlformats.org/officeDocument/2006/relationships/hyperlink" Target="mailto:djcharlieremix100@hotmail.com" TargetMode="External"/><Relationship Id="rId17" Type="http://schemas.openxmlformats.org/officeDocument/2006/relationships/hyperlink" Target="mailto:cristiancamiloespinosa98@gmail.com" TargetMode="External"/><Relationship Id="rId25" Type="http://schemas.openxmlformats.org/officeDocument/2006/relationships/hyperlink" Target="mailto:henmo456@gmail.com" TargetMode="External"/><Relationship Id="rId33" Type="http://schemas.openxmlformats.org/officeDocument/2006/relationships/hyperlink" Target="mailto:lamus2081@gmail.com" TargetMode="External"/><Relationship Id="rId38" Type="http://schemas.openxmlformats.org/officeDocument/2006/relationships/hyperlink" Target="mailto:juanrobayo2007@gmail.com" TargetMode="External"/><Relationship Id="rId46" Type="http://schemas.openxmlformats.org/officeDocument/2006/relationships/hyperlink" Target="mailto:lumaseba30@gmail.com" TargetMode="External"/><Relationship Id="rId59" Type="http://schemas.openxmlformats.org/officeDocument/2006/relationships/hyperlink" Target="mailto:tinerimolina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88"/>
  <sheetViews>
    <sheetView tabSelected="1" zoomScale="75" zoomScaleNormal="75" workbookViewId="0">
      <pane ySplit="6" topLeftCell="A282" activePane="bottomLeft" state="frozen"/>
      <selection pane="bottomLeft" activeCell="B5" sqref="B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/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/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/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/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8">
        <v>46682996</v>
      </c>
      <c r="B7" s="29"/>
      <c r="C7" s="28" t="s">
        <v>2252</v>
      </c>
      <c r="D7" s="30" t="s">
        <v>2253</v>
      </c>
      <c r="E7" s="31">
        <v>3114541257</v>
      </c>
      <c r="F7" s="32" t="s">
        <v>2254</v>
      </c>
      <c r="G7" s="29">
        <v>516</v>
      </c>
      <c r="H7" s="29">
        <v>334</v>
      </c>
      <c r="I7" s="33">
        <v>706450</v>
      </c>
      <c r="J7" s="29">
        <v>0</v>
      </c>
      <c r="K7" s="29">
        <v>0</v>
      </c>
      <c r="L7" s="34">
        <v>0</v>
      </c>
    </row>
    <row r="8" spans="1:12" x14ac:dyDescent="0.25">
      <c r="A8" s="28" t="s">
        <v>2255</v>
      </c>
      <c r="B8" s="29"/>
      <c r="C8" s="28" t="s">
        <v>2256</v>
      </c>
      <c r="D8" s="30" t="s">
        <v>2257</v>
      </c>
      <c r="E8" s="31">
        <v>3102752119</v>
      </c>
      <c r="F8" s="30" t="s">
        <v>2258</v>
      </c>
      <c r="G8" s="29">
        <v>516</v>
      </c>
      <c r="H8" s="29">
        <v>334</v>
      </c>
      <c r="I8" s="33">
        <v>706450</v>
      </c>
      <c r="J8" s="29">
        <v>0</v>
      </c>
      <c r="K8" s="29">
        <v>0</v>
      </c>
      <c r="L8" s="34">
        <v>0</v>
      </c>
    </row>
    <row r="9" spans="1:12" ht="45" x14ac:dyDescent="0.25">
      <c r="A9" s="35">
        <v>1055332266</v>
      </c>
      <c r="B9" s="29"/>
      <c r="C9" s="35" t="s">
        <v>2259</v>
      </c>
      <c r="D9" s="36" t="s">
        <v>2260</v>
      </c>
      <c r="E9" s="37">
        <v>3108798652</v>
      </c>
      <c r="F9" s="38" t="s">
        <v>2261</v>
      </c>
      <c r="G9" s="29">
        <v>516</v>
      </c>
      <c r="H9" s="29">
        <v>334</v>
      </c>
      <c r="I9" s="39">
        <v>432057</v>
      </c>
      <c r="J9" s="29">
        <v>0</v>
      </c>
      <c r="K9" s="29">
        <v>0</v>
      </c>
      <c r="L9" s="34">
        <v>0</v>
      </c>
    </row>
    <row r="10" spans="1:12" x14ac:dyDescent="0.25">
      <c r="A10" s="35" t="s">
        <v>2262</v>
      </c>
      <c r="B10" s="29"/>
      <c r="C10" s="35" t="s">
        <v>2263</v>
      </c>
      <c r="D10" s="30" t="s">
        <v>2264</v>
      </c>
      <c r="E10" s="40">
        <v>3134197382</v>
      </c>
      <c r="F10" s="38" t="s">
        <v>2265</v>
      </c>
      <c r="G10" s="29">
        <v>516</v>
      </c>
      <c r="H10" s="29">
        <v>334</v>
      </c>
      <c r="I10" s="33">
        <v>706450</v>
      </c>
      <c r="J10" s="29">
        <v>0</v>
      </c>
      <c r="K10" s="29">
        <v>0</v>
      </c>
      <c r="L10" s="34">
        <v>0</v>
      </c>
    </row>
    <row r="11" spans="1:12" ht="45" x14ac:dyDescent="0.25">
      <c r="A11" s="35">
        <v>24143626</v>
      </c>
      <c r="B11" s="29"/>
      <c r="C11" s="35" t="s">
        <v>2266</v>
      </c>
      <c r="D11" s="41" t="s">
        <v>2267</v>
      </c>
      <c r="E11" s="37">
        <v>3123576417</v>
      </c>
      <c r="F11" s="38" t="s">
        <v>2268</v>
      </c>
      <c r="G11" s="29">
        <v>516</v>
      </c>
      <c r="H11" s="29">
        <v>334</v>
      </c>
      <c r="I11" s="42">
        <v>432057</v>
      </c>
      <c r="J11" s="29">
        <v>0</v>
      </c>
      <c r="K11" s="29">
        <v>0</v>
      </c>
      <c r="L11" s="34">
        <v>0</v>
      </c>
    </row>
    <row r="12" spans="1:12" x14ac:dyDescent="0.25">
      <c r="A12" s="43" t="s">
        <v>2269</v>
      </c>
      <c r="B12" s="29"/>
      <c r="C12" s="43" t="s">
        <v>2270</v>
      </c>
      <c r="D12" s="30" t="s">
        <v>2271</v>
      </c>
      <c r="E12" s="31">
        <v>3118581814</v>
      </c>
      <c r="F12" s="32" t="s">
        <v>2272</v>
      </c>
      <c r="G12" s="29">
        <v>516</v>
      </c>
      <c r="H12" s="29">
        <v>334</v>
      </c>
      <c r="I12" s="44">
        <v>588836</v>
      </c>
      <c r="J12" s="29">
        <v>0</v>
      </c>
      <c r="K12" s="29">
        <v>0</v>
      </c>
      <c r="L12" s="34">
        <v>0</v>
      </c>
    </row>
    <row r="13" spans="1:12" x14ac:dyDescent="0.25">
      <c r="A13" s="43">
        <v>1053610442</v>
      </c>
      <c r="B13" s="29"/>
      <c r="C13" s="43" t="s">
        <v>2273</v>
      </c>
      <c r="D13" s="36" t="s">
        <v>2274</v>
      </c>
      <c r="E13" s="37">
        <v>3204011985</v>
      </c>
      <c r="F13" s="38" t="s">
        <v>2275</v>
      </c>
      <c r="G13" s="29">
        <v>516</v>
      </c>
      <c r="H13" s="29">
        <v>334</v>
      </c>
      <c r="I13" s="39">
        <v>432057</v>
      </c>
      <c r="J13" s="29">
        <v>0</v>
      </c>
      <c r="K13" s="29">
        <v>0</v>
      </c>
      <c r="L13" s="34">
        <v>0</v>
      </c>
    </row>
    <row r="14" spans="1:12" x14ac:dyDescent="0.25">
      <c r="A14" s="35" t="s">
        <v>2276</v>
      </c>
      <c r="B14" s="29"/>
      <c r="C14" s="35" t="s">
        <v>2277</v>
      </c>
      <c r="D14" s="30" t="s">
        <v>2278</v>
      </c>
      <c r="E14" s="37">
        <v>3227278526</v>
      </c>
      <c r="F14" s="38" t="s">
        <v>2279</v>
      </c>
      <c r="G14" s="29">
        <v>516</v>
      </c>
      <c r="H14" s="29">
        <v>334</v>
      </c>
      <c r="I14" s="33">
        <v>432057</v>
      </c>
      <c r="J14" s="29">
        <v>0</v>
      </c>
      <c r="K14" s="29">
        <v>0</v>
      </c>
      <c r="L14" s="34">
        <v>0</v>
      </c>
    </row>
    <row r="15" spans="1:12" ht="45" x14ac:dyDescent="0.25">
      <c r="A15" s="43">
        <v>23857393</v>
      </c>
      <c r="B15" s="29"/>
      <c r="C15" s="43" t="s">
        <v>2280</v>
      </c>
      <c r="D15" s="30" t="s">
        <v>2281</v>
      </c>
      <c r="E15" s="37">
        <v>3144408277</v>
      </c>
      <c r="F15" s="38" t="s">
        <v>2282</v>
      </c>
      <c r="G15" s="29">
        <v>516</v>
      </c>
      <c r="H15" s="29">
        <v>334</v>
      </c>
      <c r="I15" s="45">
        <v>588836</v>
      </c>
      <c r="J15" s="29">
        <v>0</v>
      </c>
      <c r="K15" s="29">
        <v>0</v>
      </c>
      <c r="L15" s="34">
        <v>0</v>
      </c>
    </row>
    <row r="16" spans="1:12" x14ac:dyDescent="0.25">
      <c r="A16" s="35" t="s">
        <v>2283</v>
      </c>
      <c r="B16" s="29"/>
      <c r="C16" s="35" t="s">
        <v>2284</v>
      </c>
      <c r="D16" s="30" t="s">
        <v>2285</v>
      </c>
      <c r="E16" s="40">
        <v>3157051146</v>
      </c>
      <c r="F16" s="38" t="s">
        <v>2286</v>
      </c>
      <c r="G16" s="29">
        <v>516</v>
      </c>
      <c r="H16" s="29">
        <v>334</v>
      </c>
      <c r="I16" s="33">
        <v>432057</v>
      </c>
      <c r="J16" s="29">
        <v>0</v>
      </c>
      <c r="K16" s="29">
        <v>0</v>
      </c>
      <c r="L16" s="34">
        <v>0</v>
      </c>
    </row>
    <row r="17" spans="1:12" ht="30" x14ac:dyDescent="0.25">
      <c r="A17" s="43">
        <v>1056908635</v>
      </c>
      <c r="B17" s="29"/>
      <c r="C17" s="43" t="s">
        <v>2287</v>
      </c>
      <c r="D17" s="36" t="s">
        <v>2288</v>
      </c>
      <c r="E17" s="37">
        <v>3192215162</v>
      </c>
      <c r="F17" s="38" t="s">
        <v>2289</v>
      </c>
      <c r="G17" s="29">
        <v>516</v>
      </c>
      <c r="H17" s="29">
        <v>334</v>
      </c>
      <c r="I17" s="39">
        <v>588784</v>
      </c>
      <c r="J17" s="29">
        <v>0</v>
      </c>
      <c r="K17" s="29">
        <v>0</v>
      </c>
      <c r="L17" s="34">
        <v>0</v>
      </c>
    </row>
    <row r="18" spans="1:12" x14ac:dyDescent="0.25">
      <c r="A18" s="28">
        <v>1052383972</v>
      </c>
      <c r="B18" s="29"/>
      <c r="C18" s="28" t="s">
        <v>2290</v>
      </c>
      <c r="D18" s="30" t="s">
        <v>2291</v>
      </c>
      <c r="E18" s="37">
        <v>3213243774</v>
      </c>
      <c r="F18" s="29" t="s">
        <v>2292</v>
      </c>
      <c r="G18" s="29">
        <v>516</v>
      </c>
      <c r="H18" s="29">
        <v>334</v>
      </c>
      <c r="I18" s="45">
        <v>706450</v>
      </c>
      <c r="J18" s="29">
        <v>0</v>
      </c>
      <c r="K18" s="29">
        <v>0</v>
      </c>
      <c r="L18" s="34">
        <v>0</v>
      </c>
    </row>
    <row r="19" spans="1:12" ht="30" x14ac:dyDescent="0.25">
      <c r="A19" s="28">
        <v>1002523976</v>
      </c>
      <c r="B19" s="29"/>
      <c r="C19" s="28" t="s">
        <v>2293</v>
      </c>
      <c r="D19" s="36" t="s">
        <v>2294</v>
      </c>
      <c r="E19" s="37">
        <v>3112977210</v>
      </c>
      <c r="F19" s="38" t="s">
        <v>2295</v>
      </c>
      <c r="G19" s="29">
        <v>516</v>
      </c>
      <c r="H19" s="29">
        <v>334</v>
      </c>
      <c r="I19" s="39">
        <v>432057</v>
      </c>
      <c r="J19" s="29">
        <v>0</v>
      </c>
      <c r="K19" s="29">
        <v>0</v>
      </c>
      <c r="L19" s="34">
        <v>0</v>
      </c>
    </row>
    <row r="20" spans="1:12" ht="30" x14ac:dyDescent="0.25">
      <c r="A20" s="43">
        <v>1053604715</v>
      </c>
      <c r="B20" s="29"/>
      <c r="C20" s="43" t="s">
        <v>2296</v>
      </c>
      <c r="D20" s="41" t="s">
        <v>2297</v>
      </c>
      <c r="E20" s="37">
        <v>3107748453</v>
      </c>
      <c r="F20" s="38" t="s">
        <v>2298</v>
      </c>
      <c r="G20" s="29">
        <v>516</v>
      </c>
      <c r="H20" s="29">
        <v>334</v>
      </c>
      <c r="I20" s="45">
        <f>432057+706450</f>
        <v>1138507</v>
      </c>
      <c r="J20" s="29">
        <v>0</v>
      </c>
      <c r="K20" s="29">
        <v>0</v>
      </c>
      <c r="L20" s="34">
        <v>0</v>
      </c>
    </row>
    <row r="21" spans="1:12" x14ac:dyDescent="0.25">
      <c r="A21" s="43">
        <v>1014217849</v>
      </c>
      <c r="B21" s="29"/>
      <c r="C21" s="43" t="s">
        <v>2299</v>
      </c>
      <c r="D21" s="30" t="s">
        <v>2300</v>
      </c>
      <c r="E21" s="31">
        <v>3214539809</v>
      </c>
      <c r="F21" s="32" t="s">
        <v>2301</v>
      </c>
      <c r="G21" s="29">
        <v>516</v>
      </c>
      <c r="H21" s="29">
        <v>334</v>
      </c>
      <c r="I21" s="33">
        <v>588836</v>
      </c>
      <c r="J21" s="29">
        <v>0</v>
      </c>
      <c r="K21" s="29">
        <v>0</v>
      </c>
      <c r="L21" s="34">
        <v>0</v>
      </c>
    </row>
    <row r="22" spans="1:12" ht="75" x14ac:dyDescent="0.25">
      <c r="A22" s="35" t="s">
        <v>2302</v>
      </c>
      <c r="B22" s="29"/>
      <c r="C22" s="35" t="s">
        <v>2303</v>
      </c>
      <c r="D22" s="30" t="s">
        <v>2304</v>
      </c>
      <c r="E22" s="40">
        <v>3108848890</v>
      </c>
      <c r="F22" s="38" t="s">
        <v>2305</v>
      </c>
      <c r="G22" s="29">
        <v>516</v>
      </c>
      <c r="H22" s="29">
        <v>334</v>
      </c>
      <c r="I22" s="33">
        <v>706450</v>
      </c>
      <c r="J22" s="29">
        <v>0</v>
      </c>
      <c r="K22" s="29">
        <v>0</v>
      </c>
      <c r="L22" s="34">
        <v>0</v>
      </c>
    </row>
    <row r="23" spans="1:12" ht="30" x14ac:dyDescent="0.25">
      <c r="A23" s="35">
        <v>1052414722</v>
      </c>
      <c r="B23" s="29"/>
      <c r="C23" s="35" t="s">
        <v>2306</v>
      </c>
      <c r="D23" s="36" t="s">
        <v>2307</v>
      </c>
      <c r="E23" s="37">
        <v>3203968413</v>
      </c>
      <c r="F23" s="38" t="s">
        <v>2308</v>
      </c>
      <c r="G23" s="29">
        <v>516</v>
      </c>
      <c r="H23" s="29">
        <v>334</v>
      </c>
      <c r="I23" s="39">
        <v>432057</v>
      </c>
      <c r="J23" s="29">
        <v>0</v>
      </c>
      <c r="K23" s="29">
        <v>0</v>
      </c>
      <c r="L23" s="34">
        <v>0</v>
      </c>
    </row>
    <row r="24" spans="1:12" x14ac:dyDescent="0.25">
      <c r="A24" s="28" t="s">
        <v>2309</v>
      </c>
      <c r="B24" s="29"/>
      <c r="C24" s="28" t="s">
        <v>2310</v>
      </c>
      <c r="D24" s="30" t="s">
        <v>2311</v>
      </c>
      <c r="E24" s="31">
        <v>3186022285</v>
      </c>
      <c r="F24" s="32" t="s">
        <v>2312</v>
      </c>
      <c r="G24" s="29">
        <v>516</v>
      </c>
      <c r="H24" s="29">
        <v>334</v>
      </c>
      <c r="I24" s="33">
        <v>588836</v>
      </c>
      <c r="J24" s="29">
        <v>0</v>
      </c>
      <c r="K24" s="29">
        <v>0</v>
      </c>
      <c r="L24" s="34">
        <v>0</v>
      </c>
    </row>
    <row r="25" spans="1:12" x14ac:dyDescent="0.25">
      <c r="A25" s="43">
        <v>1002727920</v>
      </c>
      <c r="B25" s="29"/>
      <c r="C25" s="43" t="s">
        <v>2313</v>
      </c>
      <c r="D25" s="30" t="s">
        <v>2314</v>
      </c>
      <c r="E25" s="31">
        <v>3142930669</v>
      </c>
      <c r="F25" s="32" t="s">
        <v>2315</v>
      </c>
      <c r="G25" s="29">
        <v>516</v>
      </c>
      <c r="H25" s="29">
        <v>334</v>
      </c>
      <c r="I25" s="33">
        <v>588836</v>
      </c>
      <c r="J25" s="29">
        <v>0</v>
      </c>
      <c r="K25" s="29">
        <v>0</v>
      </c>
      <c r="L25" s="34">
        <v>0</v>
      </c>
    </row>
    <row r="26" spans="1:12" x14ac:dyDescent="0.25">
      <c r="A26" s="43" t="s">
        <v>2316</v>
      </c>
      <c r="B26" s="29"/>
      <c r="C26" s="43" t="s">
        <v>2317</v>
      </c>
      <c r="D26" s="30" t="s">
        <v>2318</v>
      </c>
      <c r="E26" s="31">
        <v>3144131426</v>
      </c>
      <c r="F26" s="30" t="s">
        <v>2319</v>
      </c>
      <c r="G26" s="29">
        <v>516</v>
      </c>
      <c r="H26" s="29">
        <v>334</v>
      </c>
      <c r="I26" s="33">
        <v>588836</v>
      </c>
      <c r="J26" s="29">
        <v>0</v>
      </c>
      <c r="K26" s="29">
        <v>0</v>
      </c>
      <c r="L26" s="34">
        <v>0</v>
      </c>
    </row>
    <row r="27" spans="1:12" x14ac:dyDescent="0.25">
      <c r="A27" s="35">
        <v>1053607161</v>
      </c>
      <c r="B27" s="29"/>
      <c r="C27" s="35" t="s">
        <v>2320</v>
      </c>
      <c r="D27" s="41" t="s">
        <v>2321</v>
      </c>
      <c r="E27" s="37">
        <v>3212206886</v>
      </c>
      <c r="F27" s="38" t="s">
        <v>2322</v>
      </c>
      <c r="G27" s="29">
        <v>516</v>
      </c>
      <c r="H27" s="29">
        <v>334</v>
      </c>
      <c r="I27" s="39">
        <f>706446+432057</f>
        <v>1138503</v>
      </c>
      <c r="J27" s="29">
        <v>0</v>
      </c>
      <c r="K27" s="29">
        <v>0</v>
      </c>
      <c r="L27" s="34">
        <v>0</v>
      </c>
    </row>
    <row r="28" spans="1:12" x14ac:dyDescent="0.25">
      <c r="A28" s="28">
        <v>1053606787</v>
      </c>
      <c r="B28" s="29"/>
      <c r="C28" s="28" t="s">
        <v>2323</v>
      </c>
      <c r="D28" s="30" t="s">
        <v>2324</v>
      </c>
      <c r="E28" s="31">
        <v>3146505357</v>
      </c>
      <c r="F28" s="32" t="s">
        <v>2325</v>
      </c>
      <c r="G28" s="29">
        <v>516</v>
      </c>
      <c r="H28" s="29">
        <v>334</v>
      </c>
      <c r="I28" s="33">
        <v>588836</v>
      </c>
      <c r="J28" s="29">
        <v>0</v>
      </c>
      <c r="K28" s="29">
        <v>0</v>
      </c>
      <c r="L28" s="34">
        <v>0</v>
      </c>
    </row>
    <row r="29" spans="1:12" x14ac:dyDescent="0.25">
      <c r="A29" s="43" t="s">
        <v>2326</v>
      </c>
      <c r="B29" s="29"/>
      <c r="C29" s="43" t="s">
        <v>2327</v>
      </c>
      <c r="D29" s="30" t="s">
        <v>2328</v>
      </c>
      <c r="E29" s="31">
        <v>3223482674</v>
      </c>
      <c r="F29" s="32" t="s">
        <v>2329</v>
      </c>
      <c r="G29" s="29">
        <v>516</v>
      </c>
      <c r="H29" s="29">
        <v>334</v>
      </c>
      <c r="I29" s="33">
        <v>432057</v>
      </c>
      <c r="J29" s="29">
        <v>0</v>
      </c>
      <c r="K29" s="29">
        <v>0</v>
      </c>
      <c r="L29" s="34">
        <v>0</v>
      </c>
    </row>
    <row r="30" spans="1:12" x14ac:dyDescent="0.25">
      <c r="A30" s="35">
        <v>1002537895</v>
      </c>
      <c r="B30" s="29"/>
      <c r="C30" s="35" t="s">
        <v>2330</v>
      </c>
      <c r="D30" s="41" t="s">
        <v>2331</v>
      </c>
      <c r="E30" s="37">
        <v>3208507500</v>
      </c>
      <c r="F30" s="38" t="s">
        <v>2332</v>
      </c>
      <c r="G30" s="29">
        <v>516</v>
      </c>
      <c r="H30" s="29">
        <v>334</v>
      </c>
      <c r="I30" s="39">
        <v>588784</v>
      </c>
      <c r="J30" s="29">
        <v>0</v>
      </c>
      <c r="K30" s="29">
        <v>0</v>
      </c>
      <c r="L30" s="34">
        <v>0</v>
      </c>
    </row>
    <row r="31" spans="1:12" x14ac:dyDescent="0.25">
      <c r="A31" s="43" t="s">
        <v>2333</v>
      </c>
      <c r="B31" s="29"/>
      <c r="C31" s="43" t="s">
        <v>2334</v>
      </c>
      <c r="D31" s="30" t="s">
        <v>2335</v>
      </c>
      <c r="E31" s="31">
        <v>3137082002</v>
      </c>
      <c r="F31" s="32" t="s">
        <v>2336</v>
      </c>
      <c r="G31" s="29">
        <v>516</v>
      </c>
      <c r="H31" s="29">
        <v>334</v>
      </c>
      <c r="I31" s="33">
        <v>588836</v>
      </c>
      <c r="J31" s="29">
        <v>0</v>
      </c>
      <c r="K31" s="29">
        <v>0</v>
      </c>
      <c r="L31" s="34">
        <v>0</v>
      </c>
    </row>
    <row r="32" spans="1:12" x14ac:dyDescent="0.25">
      <c r="A32" s="35" t="s">
        <v>2337</v>
      </c>
      <c r="B32" s="29"/>
      <c r="C32" s="35" t="s">
        <v>2338</v>
      </c>
      <c r="D32" s="30" t="s">
        <v>2339</v>
      </c>
      <c r="E32" s="40">
        <v>3248213154</v>
      </c>
      <c r="F32" s="29" t="s">
        <v>2340</v>
      </c>
      <c r="G32" s="29">
        <v>516</v>
      </c>
      <c r="H32" s="29">
        <v>334</v>
      </c>
      <c r="I32" s="33">
        <v>706450</v>
      </c>
      <c r="J32" s="29">
        <v>0</v>
      </c>
      <c r="K32" s="29">
        <v>0</v>
      </c>
      <c r="L32" s="34">
        <v>0</v>
      </c>
    </row>
    <row r="33" spans="1:12" x14ac:dyDescent="0.25">
      <c r="A33" s="28">
        <v>1053616250</v>
      </c>
      <c r="B33" s="29"/>
      <c r="C33" s="28" t="s">
        <v>2341</v>
      </c>
      <c r="D33" s="36" t="s">
        <v>2342</v>
      </c>
      <c r="E33" s="37">
        <v>3138107184</v>
      </c>
      <c r="F33" s="38" t="s">
        <v>2343</v>
      </c>
      <c r="G33" s="29">
        <v>516</v>
      </c>
      <c r="H33" s="29">
        <v>334</v>
      </c>
      <c r="I33" s="39">
        <v>432057</v>
      </c>
      <c r="J33" s="29">
        <v>0</v>
      </c>
      <c r="K33" s="29">
        <v>0</v>
      </c>
      <c r="L33" s="34">
        <v>0</v>
      </c>
    </row>
    <row r="34" spans="1:12" x14ac:dyDescent="0.25">
      <c r="A34" s="28" t="s">
        <v>2344</v>
      </c>
      <c r="B34" s="29"/>
      <c r="C34" s="28" t="s">
        <v>2345</v>
      </c>
      <c r="D34" s="30" t="s">
        <v>2346</v>
      </c>
      <c r="E34" s="31">
        <v>3133104390</v>
      </c>
      <c r="F34" s="32" t="s">
        <v>2347</v>
      </c>
      <c r="G34" s="29">
        <v>516</v>
      </c>
      <c r="H34" s="29">
        <v>334</v>
      </c>
      <c r="I34" s="33">
        <v>588836</v>
      </c>
      <c r="J34" s="29">
        <v>0</v>
      </c>
      <c r="K34" s="29">
        <v>0</v>
      </c>
      <c r="L34" s="34">
        <v>0</v>
      </c>
    </row>
    <row r="35" spans="1:12" x14ac:dyDescent="0.25">
      <c r="A35" s="43" t="s">
        <v>2348</v>
      </c>
      <c r="B35" s="29"/>
      <c r="C35" s="43" t="s">
        <v>2349</v>
      </c>
      <c r="D35" s="30" t="s">
        <v>2350</v>
      </c>
      <c r="E35" s="31">
        <v>3132328153</v>
      </c>
      <c r="F35" s="32" t="s">
        <v>2351</v>
      </c>
      <c r="G35" s="29">
        <v>516</v>
      </c>
      <c r="H35" s="29">
        <v>334</v>
      </c>
      <c r="I35" s="33">
        <v>432057</v>
      </c>
      <c r="J35" s="29">
        <v>0</v>
      </c>
      <c r="K35" s="29">
        <v>0</v>
      </c>
      <c r="L35" s="34">
        <v>0</v>
      </c>
    </row>
    <row r="36" spans="1:12" x14ac:dyDescent="0.25">
      <c r="A36" s="43" t="s">
        <v>2352</v>
      </c>
      <c r="B36" s="29"/>
      <c r="C36" s="43" t="s">
        <v>2353</v>
      </c>
      <c r="D36" s="30" t="s">
        <v>2354</v>
      </c>
      <c r="E36" s="31">
        <v>3217522555</v>
      </c>
      <c r="F36" s="32" t="s">
        <v>2355</v>
      </c>
      <c r="G36" s="29">
        <v>516</v>
      </c>
      <c r="H36" s="29">
        <v>334</v>
      </c>
      <c r="I36" s="33">
        <v>706450</v>
      </c>
      <c r="J36" s="29">
        <v>0</v>
      </c>
      <c r="K36" s="29">
        <v>0</v>
      </c>
      <c r="L36" s="34">
        <v>0</v>
      </c>
    </row>
    <row r="37" spans="1:12" x14ac:dyDescent="0.25">
      <c r="A37" s="35" t="s">
        <v>2356</v>
      </c>
      <c r="B37" s="29"/>
      <c r="C37" s="35" t="s">
        <v>2357</v>
      </c>
      <c r="D37" s="30" t="s">
        <v>2358</v>
      </c>
      <c r="E37" s="31">
        <v>3115718181</v>
      </c>
      <c r="F37" s="32" t="s">
        <v>2359</v>
      </c>
      <c r="G37" s="29">
        <v>516</v>
      </c>
      <c r="H37" s="29">
        <v>334</v>
      </c>
      <c r="I37" s="45">
        <f>706450+432057</f>
        <v>1138507</v>
      </c>
      <c r="J37" s="29">
        <v>0</v>
      </c>
      <c r="K37" s="29">
        <v>0</v>
      </c>
      <c r="L37" s="34">
        <v>0</v>
      </c>
    </row>
    <row r="38" spans="1:12" x14ac:dyDescent="0.25">
      <c r="A38" s="43" t="s">
        <v>2360</v>
      </c>
      <c r="B38" s="29"/>
      <c r="C38" s="43" t="s">
        <v>2361</v>
      </c>
      <c r="D38" s="30" t="s">
        <v>2362</v>
      </c>
      <c r="E38" s="31">
        <v>3214721605</v>
      </c>
      <c r="F38" s="32" t="s">
        <v>2363</v>
      </c>
      <c r="G38" s="29">
        <v>516</v>
      </c>
      <c r="H38" s="29">
        <v>334</v>
      </c>
      <c r="I38" s="33">
        <v>432057</v>
      </c>
      <c r="J38" s="29">
        <v>0</v>
      </c>
      <c r="K38" s="29">
        <v>0</v>
      </c>
      <c r="L38" s="34">
        <v>0</v>
      </c>
    </row>
    <row r="39" spans="1:12" ht="30" x14ac:dyDescent="0.25">
      <c r="A39" s="35">
        <v>1054146575</v>
      </c>
      <c r="B39" s="29"/>
      <c r="C39" s="35" t="s">
        <v>2364</v>
      </c>
      <c r="D39" s="36" t="s">
        <v>2365</v>
      </c>
      <c r="E39" s="37">
        <v>3146301923</v>
      </c>
      <c r="F39" s="38" t="s">
        <v>2366</v>
      </c>
      <c r="G39" s="29">
        <v>516</v>
      </c>
      <c r="H39" s="29">
        <v>334</v>
      </c>
      <c r="I39" s="39">
        <v>588836</v>
      </c>
      <c r="J39" s="29">
        <v>0</v>
      </c>
      <c r="K39" s="29">
        <v>0</v>
      </c>
      <c r="L39" s="34">
        <v>0</v>
      </c>
    </row>
    <row r="40" spans="1:12" ht="45" x14ac:dyDescent="0.25">
      <c r="A40" s="35" t="s">
        <v>2367</v>
      </c>
      <c r="B40" s="29"/>
      <c r="C40" s="35" t="s">
        <v>2368</v>
      </c>
      <c r="D40" s="30" t="s">
        <v>2369</v>
      </c>
      <c r="E40" s="40">
        <v>3138589407</v>
      </c>
      <c r="F40" s="38" t="s">
        <v>2370</v>
      </c>
      <c r="G40" s="29">
        <v>516</v>
      </c>
      <c r="H40" s="29">
        <v>334</v>
      </c>
      <c r="I40" s="33">
        <v>706450</v>
      </c>
      <c r="J40" s="29">
        <v>0</v>
      </c>
      <c r="K40" s="29">
        <v>0</v>
      </c>
      <c r="L40" s="34">
        <v>0</v>
      </c>
    </row>
    <row r="41" spans="1:12" x14ac:dyDescent="0.25">
      <c r="A41" s="43">
        <v>1052400594</v>
      </c>
      <c r="B41" s="29"/>
      <c r="C41" s="43" t="s">
        <v>2371</v>
      </c>
      <c r="D41" s="30" t="s">
        <v>2372</v>
      </c>
      <c r="E41" s="31">
        <v>3115607767</v>
      </c>
      <c r="F41" s="32" t="s">
        <v>2373</v>
      </c>
      <c r="G41" s="29">
        <v>516</v>
      </c>
      <c r="H41" s="29">
        <v>334</v>
      </c>
      <c r="I41" s="33">
        <v>432057</v>
      </c>
      <c r="J41" s="29">
        <v>0</v>
      </c>
      <c r="K41" s="29">
        <v>0</v>
      </c>
      <c r="L41" s="34">
        <v>0</v>
      </c>
    </row>
    <row r="42" spans="1:12" x14ac:dyDescent="0.25">
      <c r="A42" s="43">
        <v>74130368</v>
      </c>
      <c r="B42" s="29"/>
      <c r="C42" s="43" t="s">
        <v>2374</v>
      </c>
      <c r="D42" s="41" t="s">
        <v>2375</v>
      </c>
      <c r="E42" s="37">
        <v>3142774499</v>
      </c>
      <c r="F42" s="29" t="s">
        <v>2376</v>
      </c>
      <c r="G42" s="29">
        <v>516</v>
      </c>
      <c r="H42" s="29">
        <v>334</v>
      </c>
      <c r="I42" s="45">
        <v>588836</v>
      </c>
      <c r="J42" s="29">
        <v>0</v>
      </c>
      <c r="K42" s="29">
        <v>0</v>
      </c>
      <c r="L42" s="34">
        <v>0</v>
      </c>
    </row>
    <row r="43" spans="1:12" ht="30" x14ac:dyDescent="0.25">
      <c r="A43" s="35">
        <v>1053615489</v>
      </c>
      <c r="B43" s="29"/>
      <c r="C43" s="35" t="s">
        <v>2377</v>
      </c>
      <c r="D43" s="36" t="s">
        <v>2378</v>
      </c>
      <c r="E43" s="37">
        <v>3219476018</v>
      </c>
      <c r="F43" s="38" t="s">
        <v>2379</v>
      </c>
      <c r="G43" s="29">
        <v>516</v>
      </c>
      <c r="H43" s="29">
        <v>334</v>
      </c>
      <c r="I43" s="39">
        <v>432057</v>
      </c>
      <c r="J43" s="29">
        <v>0</v>
      </c>
      <c r="K43" s="29">
        <v>0</v>
      </c>
      <c r="L43" s="34">
        <v>0</v>
      </c>
    </row>
    <row r="44" spans="1:12" x14ac:dyDescent="0.25">
      <c r="A44" s="35">
        <v>7216810</v>
      </c>
      <c r="B44" s="29"/>
      <c r="C44" s="35" t="s">
        <v>2380</v>
      </c>
      <c r="D44" s="36" t="s">
        <v>2381</v>
      </c>
      <c r="E44" s="37">
        <v>3112574805</v>
      </c>
      <c r="F44" s="38" t="s">
        <v>2382</v>
      </c>
      <c r="G44" s="29">
        <v>516</v>
      </c>
      <c r="H44" s="29">
        <v>334</v>
      </c>
      <c r="I44" s="39">
        <v>432057</v>
      </c>
      <c r="J44" s="29">
        <v>0</v>
      </c>
      <c r="K44" s="29">
        <v>0</v>
      </c>
      <c r="L44" s="34">
        <v>0</v>
      </c>
    </row>
    <row r="45" spans="1:12" ht="30" x14ac:dyDescent="0.25">
      <c r="A45" s="35" t="s">
        <v>2383</v>
      </c>
      <c r="B45" s="29"/>
      <c r="C45" s="35" t="s">
        <v>2384</v>
      </c>
      <c r="D45" s="30" t="s">
        <v>2385</v>
      </c>
      <c r="E45" s="40">
        <v>3142340977</v>
      </c>
      <c r="F45" s="38" t="s">
        <v>2386</v>
      </c>
      <c r="G45" s="29">
        <v>516</v>
      </c>
      <c r="H45" s="29">
        <v>334</v>
      </c>
      <c r="I45" s="33">
        <v>706450</v>
      </c>
      <c r="J45" s="29">
        <v>0</v>
      </c>
      <c r="K45" s="29">
        <v>0</v>
      </c>
      <c r="L45" s="34">
        <v>0</v>
      </c>
    </row>
    <row r="46" spans="1:12" ht="30" x14ac:dyDescent="0.25">
      <c r="A46" s="43" t="s">
        <v>2387</v>
      </c>
      <c r="B46" s="29"/>
      <c r="C46" s="46" t="s">
        <v>2388</v>
      </c>
      <c r="D46" s="30" t="s">
        <v>2389</v>
      </c>
      <c r="E46" s="40">
        <v>3132310508</v>
      </c>
      <c r="F46" s="38" t="s">
        <v>2390</v>
      </c>
      <c r="G46" s="29">
        <v>516</v>
      </c>
      <c r="H46" s="29">
        <v>334</v>
      </c>
      <c r="I46" s="33">
        <f>706450+432057</f>
        <v>1138507</v>
      </c>
      <c r="J46" s="29">
        <v>0</v>
      </c>
      <c r="K46" s="29">
        <v>0</v>
      </c>
      <c r="L46" s="34">
        <v>0</v>
      </c>
    </row>
    <row r="47" spans="1:12" ht="30" x14ac:dyDescent="0.25">
      <c r="A47" s="28">
        <v>1053613006</v>
      </c>
      <c r="B47" s="29"/>
      <c r="C47" s="28" t="s">
        <v>2391</v>
      </c>
      <c r="D47" s="41" t="s">
        <v>2392</v>
      </c>
      <c r="E47" s="37">
        <v>3232133007</v>
      </c>
      <c r="F47" s="38" t="s">
        <v>2393</v>
      </c>
      <c r="G47" s="29">
        <v>516</v>
      </c>
      <c r="H47" s="29">
        <v>334</v>
      </c>
      <c r="I47" s="45">
        <v>706450</v>
      </c>
      <c r="J47" s="29">
        <v>0</v>
      </c>
      <c r="K47" s="29">
        <v>0</v>
      </c>
      <c r="L47" s="34">
        <v>0</v>
      </c>
    </row>
    <row r="48" spans="1:12" x14ac:dyDescent="0.25">
      <c r="A48" s="35" t="s">
        <v>2394</v>
      </c>
      <c r="B48" s="29"/>
      <c r="C48" s="35" t="s">
        <v>2395</v>
      </c>
      <c r="D48" s="30" t="s">
        <v>2396</v>
      </c>
      <c r="E48" s="40">
        <v>314445954</v>
      </c>
      <c r="F48" s="38" t="s">
        <v>2397</v>
      </c>
      <c r="G48" s="29">
        <v>516</v>
      </c>
      <c r="H48" s="29">
        <v>334</v>
      </c>
      <c r="I48" s="33">
        <v>432057</v>
      </c>
      <c r="J48" s="29">
        <v>0</v>
      </c>
      <c r="K48" s="29">
        <v>0</v>
      </c>
      <c r="L48" s="34">
        <v>0</v>
      </c>
    </row>
    <row r="49" spans="1:12" ht="30" x14ac:dyDescent="0.25">
      <c r="A49" s="43">
        <v>1053605264</v>
      </c>
      <c r="B49" s="29"/>
      <c r="C49" s="43" t="s">
        <v>2398</v>
      </c>
      <c r="D49" s="36" t="s">
        <v>2399</v>
      </c>
      <c r="E49" s="37">
        <v>3112090507</v>
      </c>
      <c r="F49" s="38" t="s">
        <v>2400</v>
      </c>
      <c r="G49" s="29">
        <v>516</v>
      </c>
      <c r="H49" s="29">
        <v>334</v>
      </c>
      <c r="I49" s="39">
        <v>432057</v>
      </c>
      <c r="J49" s="29">
        <v>0</v>
      </c>
      <c r="K49" s="29">
        <v>0</v>
      </c>
      <c r="L49" s="34">
        <v>0</v>
      </c>
    </row>
    <row r="50" spans="1:12" x14ac:dyDescent="0.25">
      <c r="A50" s="43">
        <v>80921433</v>
      </c>
      <c r="B50" s="29"/>
      <c r="C50" s="43" t="s">
        <v>2401</v>
      </c>
      <c r="D50" s="30" t="s">
        <v>2402</v>
      </c>
      <c r="E50" s="31">
        <v>3244202183</v>
      </c>
      <c r="F50" s="32" t="s">
        <v>2403</v>
      </c>
      <c r="G50" s="29">
        <v>516</v>
      </c>
      <c r="H50" s="29">
        <v>334</v>
      </c>
      <c r="I50" s="33">
        <v>432057</v>
      </c>
      <c r="J50" s="29">
        <v>0</v>
      </c>
      <c r="K50" s="29">
        <v>0</v>
      </c>
      <c r="L50" s="34">
        <v>0</v>
      </c>
    </row>
    <row r="51" spans="1:12" x14ac:dyDescent="0.25">
      <c r="A51" s="28">
        <v>1053615634</v>
      </c>
      <c r="B51" s="29"/>
      <c r="C51" s="28" t="s">
        <v>2404</v>
      </c>
      <c r="D51" s="30" t="s">
        <v>2405</v>
      </c>
      <c r="E51" s="31">
        <v>3146832999</v>
      </c>
      <c r="F51" s="32" t="s">
        <v>1403</v>
      </c>
      <c r="G51" s="29">
        <v>516</v>
      </c>
      <c r="H51" s="29">
        <v>334</v>
      </c>
      <c r="I51" s="33">
        <v>432057</v>
      </c>
      <c r="J51" s="29">
        <v>0</v>
      </c>
      <c r="K51" s="29">
        <v>0</v>
      </c>
      <c r="L51" s="34">
        <v>0</v>
      </c>
    </row>
    <row r="52" spans="1:12" x14ac:dyDescent="0.25">
      <c r="A52" s="35">
        <v>1073525141</v>
      </c>
      <c r="B52" s="29"/>
      <c r="C52" s="35" t="s">
        <v>2406</v>
      </c>
      <c r="D52" s="41" t="s">
        <v>2407</v>
      </c>
      <c r="E52" s="37">
        <v>3108509443</v>
      </c>
      <c r="F52" s="38" t="s">
        <v>2408</v>
      </c>
      <c r="G52" s="29">
        <v>516</v>
      </c>
      <c r="H52" s="29">
        <v>334</v>
      </c>
      <c r="I52" s="39">
        <v>588784</v>
      </c>
      <c r="J52" s="29">
        <v>0</v>
      </c>
      <c r="K52" s="29">
        <v>0</v>
      </c>
      <c r="L52" s="34">
        <v>0</v>
      </c>
    </row>
    <row r="53" spans="1:12" ht="30" x14ac:dyDescent="0.25">
      <c r="A53" s="35">
        <v>1053443362</v>
      </c>
      <c r="B53" s="29"/>
      <c r="C53" s="35" t="s">
        <v>2409</v>
      </c>
      <c r="D53" s="36" t="s">
        <v>2410</v>
      </c>
      <c r="E53" s="37">
        <v>3138018901</v>
      </c>
      <c r="F53" s="38" t="s">
        <v>2411</v>
      </c>
      <c r="G53" s="29">
        <v>516</v>
      </c>
      <c r="H53" s="29">
        <v>334</v>
      </c>
      <c r="I53" s="39">
        <f>706450+432057</f>
        <v>1138507</v>
      </c>
      <c r="J53" s="29">
        <v>0</v>
      </c>
      <c r="K53" s="29">
        <v>0</v>
      </c>
      <c r="L53" s="34">
        <v>0</v>
      </c>
    </row>
    <row r="54" spans="1:12" x14ac:dyDescent="0.25">
      <c r="A54" s="35" t="s">
        <v>2412</v>
      </c>
      <c r="B54" s="29"/>
      <c r="C54" s="35" t="s">
        <v>2413</v>
      </c>
      <c r="D54" s="30" t="s">
        <v>2414</v>
      </c>
      <c r="E54" s="31">
        <v>3106208146</v>
      </c>
      <c r="F54" s="32" t="s">
        <v>2415</v>
      </c>
      <c r="G54" s="29">
        <v>516</v>
      </c>
      <c r="H54" s="29">
        <v>334</v>
      </c>
      <c r="I54" s="45">
        <f>706450+432057</f>
        <v>1138507</v>
      </c>
      <c r="J54" s="29">
        <v>0</v>
      </c>
      <c r="K54" s="29">
        <v>0</v>
      </c>
      <c r="L54" s="34">
        <v>0</v>
      </c>
    </row>
    <row r="55" spans="1:12" ht="30" x14ac:dyDescent="0.25">
      <c r="A55" s="35">
        <v>1052837349</v>
      </c>
      <c r="B55" s="29"/>
      <c r="C55" s="35" t="s">
        <v>2416</v>
      </c>
      <c r="D55" s="41" t="s">
        <v>2417</v>
      </c>
      <c r="E55" s="37">
        <v>3157313921</v>
      </c>
      <c r="F55" s="38" t="s">
        <v>2418</v>
      </c>
      <c r="G55" s="29">
        <v>516</v>
      </c>
      <c r="H55" s="29">
        <v>334</v>
      </c>
      <c r="I55" s="39">
        <v>206446</v>
      </c>
      <c r="J55" s="29">
        <v>0</v>
      </c>
      <c r="K55" s="29">
        <v>0</v>
      </c>
      <c r="L55" s="34">
        <v>0</v>
      </c>
    </row>
    <row r="56" spans="1:12" x14ac:dyDescent="0.25">
      <c r="A56" s="35">
        <v>1001172199</v>
      </c>
      <c r="B56" s="29"/>
      <c r="C56" s="35" t="s">
        <v>2419</v>
      </c>
      <c r="D56" s="30" t="s">
        <v>2420</v>
      </c>
      <c r="E56" s="37">
        <v>3028220890</v>
      </c>
      <c r="F56" s="29" t="s">
        <v>2421</v>
      </c>
      <c r="G56" s="29">
        <v>516</v>
      </c>
      <c r="H56" s="29">
        <v>334</v>
      </c>
      <c r="I56" s="33">
        <f>432057+706450</f>
        <v>1138507</v>
      </c>
      <c r="J56" s="29">
        <v>0</v>
      </c>
      <c r="K56" s="29">
        <v>0</v>
      </c>
      <c r="L56" s="34">
        <v>0</v>
      </c>
    </row>
    <row r="57" spans="1:12" x14ac:dyDescent="0.25">
      <c r="A57" s="43" t="s">
        <v>2422</v>
      </c>
      <c r="B57" s="29"/>
      <c r="C57" s="43" t="s">
        <v>2423</v>
      </c>
      <c r="D57" s="30" t="s">
        <v>2424</v>
      </c>
      <c r="E57" s="31">
        <v>3125199174</v>
      </c>
      <c r="F57" s="32" t="s">
        <v>2425</v>
      </c>
      <c r="G57" s="29">
        <v>516</v>
      </c>
      <c r="H57" s="29">
        <v>334</v>
      </c>
      <c r="I57" s="33">
        <v>706450</v>
      </c>
      <c r="J57" s="29">
        <v>0</v>
      </c>
      <c r="K57" s="29">
        <v>0</v>
      </c>
      <c r="L57" s="34">
        <v>0</v>
      </c>
    </row>
    <row r="58" spans="1:12" ht="30" x14ac:dyDescent="0.25">
      <c r="A58" s="35" t="s">
        <v>2426</v>
      </c>
      <c r="B58" s="29"/>
      <c r="C58" s="35" t="s">
        <v>2427</v>
      </c>
      <c r="D58" s="30" t="s">
        <v>2428</v>
      </c>
      <c r="E58" s="40">
        <v>3204828583</v>
      </c>
      <c r="F58" s="38" t="s">
        <v>2429</v>
      </c>
      <c r="G58" s="29">
        <v>516</v>
      </c>
      <c r="H58" s="29">
        <v>334</v>
      </c>
      <c r="I58" s="33">
        <v>432057</v>
      </c>
      <c r="J58" s="29">
        <v>0</v>
      </c>
      <c r="K58" s="29">
        <v>0</v>
      </c>
      <c r="L58" s="34">
        <v>0</v>
      </c>
    </row>
    <row r="59" spans="1:12" ht="30" x14ac:dyDescent="0.25">
      <c r="A59" s="28">
        <v>1053612799</v>
      </c>
      <c r="B59" s="29"/>
      <c r="C59" s="28" t="s">
        <v>2430</v>
      </c>
      <c r="D59" s="41" t="s">
        <v>2431</v>
      </c>
      <c r="E59" s="37">
        <v>3219333890</v>
      </c>
      <c r="F59" s="38" t="s">
        <v>2432</v>
      </c>
      <c r="G59" s="29">
        <v>516</v>
      </c>
      <c r="H59" s="29">
        <v>334</v>
      </c>
      <c r="I59" s="45">
        <f>706446+432057</f>
        <v>1138503</v>
      </c>
      <c r="J59" s="29">
        <v>0</v>
      </c>
      <c r="K59" s="29">
        <v>0</v>
      </c>
      <c r="L59" s="34">
        <v>0</v>
      </c>
    </row>
    <row r="60" spans="1:12" x14ac:dyDescent="0.25">
      <c r="A60" s="28">
        <v>1052386955</v>
      </c>
      <c r="B60" s="29"/>
      <c r="C60" s="28" t="s">
        <v>2433</v>
      </c>
      <c r="D60" s="30" t="s">
        <v>2434</v>
      </c>
      <c r="E60" s="31">
        <v>3142204881</v>
      </c>
      <c r="F60" s="32" t="s">
        <v>2435</v>
      </c>
      <c r="G60" s="29">
        <v>516</v>
      </c>
      <c r="H60" s="29">
        <v>334</v>
      </c>
      <c r="I60" s="33">
        <f>432057+588836</f>
        <v>1020893</v>
      </c>
      <c r="J60" s="29">
        <v>0</v>
      </c>
      <c r="K60" s="29">
        <v>0</v>
      </c>
      <c r="L60" s="34">
        <v>0</v>
      </c>
    </row>
    <row r="61" spans="1:12" x14ac:dyDescent="0.25">
      <c r="A61" s="35" t="s">
        <v>2436</v>
      </c>
      <c r="B61" s="29"/>
      <c r="C61" s="35" t="s">
        <v>2437</v>
      </c>
      <c r="D61" s="30" t="s">
        <v>2438</v>
      </c>
      <c r="E61" s="40">
        <v>3235877209</v>
      </c>
      <c r="F61" s="38" t="s">
        <v>2439</v>
      </c>
      <c r="G61" s="29">
        <v>516</v>
      </c>
      <c r="H61" s="29">
        <v>334</v>
      </c>
      <c r="I61" s="33">
        <v>432057</v>
      </c>
      <c r="J61" s="29">
        <v>0</v>
      </c>
      <c r="K61" s="29">
        <v>0</v>
      </c>
      <c r="L61" s="34">
        <v>0</v>
      </c>
    </row>
    <row r="62" spans="1:12" x14ac:dyDescent="0.25">
      <c r="A62" s="43">
        <v>1049613178</v>
      </c>
      <c r="B62" s="29"/>
      <c r="C62" s="43" t="s">
        <v>2440</v>
      </c>
      <c r="D62" s="30" t="s">
        <v>2441</v>
      </c>
      <c r="E62" s="31">
        <v>3209704557</v>
      </c>
      <c r="F62" s="32" t="s">
        <v>2442</v>
      </c>
      <c r="G62" s="29">
        <v>516</v>
      </c>
      <c r="H62" s="29">
        <v>334</v>
      </c>
      <c r="I62" s="33">
        <v>588836</v>
      </c>
      <c r="J62" s="29">
        <v>0</v>
      </c>
      <c r="K62" s="29">
        <v>0</v>
      </c>
      <c r="L62" s="34">
        <v>0</v>
      </c>
    </row>
    <row r="63" spans="1:12" x14ac:dyDescent="0.25">
      <c r="A63" s="43" t="s">
        <v>2443</v>
      </c>
      <c r="B63" s="29"/>
      <c r="C63" s="43" t="s">
        <v>2444</v>
      </c>
      <c r="D63" s="30" t="s">
        <v>2445</v>
      </c>
      <c r="E63" s="31">
        <v>3223024964</v>
      </c>
      <c r="F63" s="32" t="s">
        <v>2446</v>
      </c>
      <c r="G63" s="29">
        <v>516</v>
      </c>
      <c r="H63" s="29">
        <v>334</v>
      </c>
      <c r="I63" s="33">
        <v>432057</v>
      </c>
      <c r="J63" s="29">
        <v>0</v>
      </c>
      <c r="K63" s="29">
        <v>0</v>
      </c>
      <c r="L63" s="34">
        <v>0</v>
      </c>
    </row>
    <row r="64" spans="1:12" ht="30" x14ac:dyDescent="0.25">
      <c r="A64" s="35" t="s">
        <v>2447</v>
      </c>
      <c r="B64" s="29"/>
      <c r="C64" s="35" t="s">
        <v>2448</v>
      </c>
      <c r="D64" s="30" t="s">
        <v>2449</v>
      </c>
      <c r="E64" s="40">
        <v>3245710489</v>
      </c>
      <c r="F64" s="38" t="s">
        <v>2450</v>
      </c>
      <c r="G64" s="29">
        <v>516</v>
      </c>
      <c r="H64" s="29">
        <v>334</v>
      </c>
      <c r="I64" s="33">
        <v>706450</v>
      </c>
      <c r="J64" s="29">
        <v>0</v>
      </c>
      <c r="K64" s="29">
        <v>0</v>
      </c>
      <c r="L64" s="34">
        <v>0</v>
      </c>
    </row>
    <row r="65" spans="1:12" x14ac:dyDescent="0.25">
      <c r="A65" s="43" t="s">
        <v>2451</v>
      </c>
      <c r="B65" s="29"/>
      <c r="C65" s="43" t="s">
        <v>2452</v>
      </c>
      <c r="D65" s="30" t="s">
        <v>2453</v>
      </c>
      <c r="E65" s="31">
        <v>3104817638</v>
      </c>
      <c r="F65" s="32" t="s">
        <v>2454</v>
      </c>
      <c r="G65" s="29">
        <v>516</v>
      </c>
      <c r="H65" s="29">
        <v>334</v>
      </c>
      <c r="I65" s="33">
        <v>432057</v>
      </c>
      <c r="J65" s="29">
        <v>0</v>
      </c>
      <c r="K65" s="29">
        <v>0</v>
      </c>
      <c r="L65" s="34">
        <v>0</v>
      </c>
    </row>
    <row r="66" spans="1:12" x14ac:dyDescent="0.25">
      <c r="A66" s="35" t="s">
        <v>2455</v>
      </c>
      <c r="B66" s="29"/>
      <c r="C66" s="35" t="s">
        <v>2456</v>
      </c>
      <c r="D66" s="30" t="s">
        <v>2457</v>
      </c>
      <c r="E66" s="40">
        <v>3132704278</v>
      </c>
      <c r="F66" s="38" t="s">
        <v>2458</v>
      </c>
      <c r="G66" s="29">
        <v>516</v>
      </c>
      <c r="H66" s="29">
        <v>334</v>
      </c>
      <c r="I66" s="33">
        <v>706450</v>
      </c>
      <c r="J66" s="29">
        <v>0</v>
      </c>
      <c r="K66" s="29">
        <v>0</v>
      </c>
      <c r="L66" s="34">
        <v>0</v>
      </c>
    </row>
    <row r="67" spans="1:12" x14ac:dyDescent="0.25">
      <c r="A67" s="35" t="s">
        <v>2459</v>
      </c>
      <c r="B67" s="29"/>
      <c r="C67" s="35" t="s">
        <v>2460</v>
      </c>
      <c r="D67" s="30" t="s">
        <v>2461</v>
      </c>
      <c r="E67" s="40">
        <v>3105821507</v>
      </c>
      <c r="F67" s="38" t="s">
        <v>2462</v>
      </c>
      <c r="G67" s="29">
        <v>516</v>
      </c>
      <c r="H67" s="29">
        <v>334</v>
      </c>
      <c r="I67" s="33">
        <v>588836</v>
      </c>
      <c r="J67" s="29">
        <v>0</v>
      </c>
      <c r="K67" s="29">
        <v>0</v>
      </c>
      <c r="L67" s="34">
        <v>0</v>
      </c>
    </row>
    <row r="68" spans="1:12" x14ac:dyDescent="0.25">
      <c r="A68" s="28">
        <v>1030660902</v>
      </c>
      <c r="B68" s="29"/>
      <c r="C68" s="28" t="s">
        <v>2463</v>
      </c>
      <c r="D68" s="30" t="s">
        <v>2464</v>
      </c>
      <c r="E68" s="31">
        <v>3168098594</v>
      </c>
      <c r="F68" s="32" t="s">
        <v>2465</v>
      </c>
      <c r="G68" s="29">
        <v>516</v>
      </c>
      <c r="H68" s="29">
        <v>334</v>
      </c>
      <c r="I68" s="33">
        <v>588836</v>
      </c>
      <c r="J68" s="29">
        <v>0</v>
      </c>
      <c r="K68" s="29">
        <v>0</v>
      </c>
      <c r="L68" s="34">
        <v>0</v>
      </c>
    </row>
    <row r="69" spans="1:12" x14ac:dyDescent="0.25">
      <c r="A69" s="35" t="s">
        <v>2466</v>
      </c>
      <c r="B69" s="29"/>
      <c r="C69" s="35" t="s">
        <v>2467</v>
      </c>
      <c r="D69" s="30" t="s">
        <v>2468</v>
      </c>
      <c r="E69" s="40">
        <v>3134927035</v>
      </c>
      <c r="F69" s="38" t="s">
        <v>2469</v>
      </c>
      <c r="G69" s="29">
        <v>516</v>
      </c>
      <c r="H69" s="29">
        <v>334</v>
      </c>
      <c r="I69" s="33">
        <v>432057</v>
      </c>
      <c r="J69" s="29">
        <v>0</v>
      </c>
      <c r="K69" s="29">
        <v>0</v>
      </c>
      <c r="L69" s="34">
        <v>0</v>
      </c>
    </row>
    <row r="70" spans="1:12" x14ac:dyDescent="0.25">
      <c r="A70" s="43" t="s">
        <v>2470</v>
      </c>
      <c r="B70" s="29"/>
      <c r="C70" s="43" t="s">
        <v>2471</v>
      </c>
      <c r="D70" s="30" t="s">
        <v>2472</v>
      </c>
      <c r="E70" s="31">
        <v>3128655069</v>
      </c>
      <c r="F70" s="32" t="s">
        <v>2473</v>
      </c>
      <c r="G70" s="29">
        <v>516</v>
      </c>
      <c r="H70" s="29">
        <v>334</v>
      </c>
      <c r="I70" s="33">
        <f>706450+432057</f>
        <v>1138507</v>
      </c>
      <c r="J70" s="29">
        <v>0</v>
      </c>
      <c r="K70" s="29">
        <v>0</v>
      </c>
      <c r="L70" s="34">
        <v>0</v>
      </c>
    </row>
    <row r="71" spans="1:12" x14ac:dyDescent="0.25">
      <c r="A71" s="35" t="s">
        <v>2474</v>
      </c>
      <c r="B71" s="29"/>
      <c r="C71" s="35" t="s">
        <v>2475</v>
      </c>
      <c r="D71" s="30" t="s">
        <v>2476</v>
      </c>
      <c r="E71" s="40">
        <v>3102200284</v>
      </c>
      <c r="F71" s="38" t="s">
        <v>2477</v>
      </c>
      <c r="G71" s="29">
        <v>516</v>
      </c>
      <c r="H71" s="29">
        <v>334</v>
      </c>
      <c r="I71" s="33">
        <v>588836</v>
      </c>
      <c r="J71" s="29">
        <v>0</v>
      </c>
      <c r="K71" s="29">
        <v>0</v>
      </c>
      <c r="L71" s="34">
        <v>0</v>
      </c>
    </row>
    <row r="72" spans="1:12" x14ac:dyDescent="0.25">
      <c r="A72" s="28" t="s">
        <v>2478</v>
      </c>
      <c r="B72" s="29"/>
      <c r="C72" s="28" t="s">
        <v>2479</v>
      </c>
      <c r="D72" s="30" t="s">
        <v>2480</v>
      </c>
      <c r="E72" s="37">
        <v>3208305045</v>
      </c>
      <c r="F72" s="32" t="s">
        <v>2481</v>
      </c>
      <c r="G72" s="29">
        <v>516</v>
      </c>
      <c r="H72" s="29">
        <v>334</v>
      </c>
      <c r="I72" s="33">
        <v>432057</v>
      </c>
      <c r="J72" s="29">
        <v>0</v>
      </c>
      <c r="K72" s="29">
        <v>0</v>
      </c>
      <c r="L72" s="34">
        <v>0</v>
      </c>
    </row>
    <row r="73" spans="1:12" ht="30" x14ac:dyDescent="0.25">
      <c r="A73" s="35" t="s">
        <v>2482</v>
      </c>
      <c r="B73" s="29"/>
      <c r="C73" s="35" t="s">
        <v>2483</v>
      </c>
      <c r="D73" s="30" t="s">
        <v>2484</v>
      </c>
      <c r="E73" s="40">
        <v>3113258725</v>
      </c>
      <c r="F73" s="38" t="s">
        <v>2485</v>
      </c>
      <c r="G73" s="29">
        <v>516</v>
      </c>
      <c r="H73" s="29">
        <v>334</v>
      </c>
      <c r="I73" s="33">
        <v>706450</v>
      </c>
      <c r="J73" s="29">
        <v>0</v>
      </c>
      <c r="K73" s="29">
        <v>0</v>
      </c>
      <c r="L73" s="34">
        <v>0</v>
      </c>
    </row>
    <row r="74" spans="1:12" x14ac:dyDescent="0.25">
      <c r="A74" s="28" t="s">
        <v>2486</v>
      </c>
      <c r="B74" s="29"/>
      <c r="C74" s="28" t="s">
        <v>2487</v>
      </c>
      <c r="D74" s="30" t="s">
        <v>2488</v>
      </c>
      <c r="E74" s="31">
        <v>3125494570</v>
      </c>
      <c r="F74" s="32" t="s">
        <v>2489</v>
      </c>
      <c r="G74" s="29">
        <v>516</v>
      </c>
      <c r="H74" s="29">
        <v>334</v>
      </c>
      <c r="I74" s="33">
        <v>432057</v>
      </c>
      <c r="J74" s="29">
        <v>0</v>
      </c>
      <c r="K74" s="29">
        <v>0</v>
      </c>
      <c r="L74" s="34">
        <v>0</v>
      </c>
    </row>
    <row r="75" spans="1:12" x14ac:dyDescent="0.25">
      <c r="A75" s="28" t="s">
        <v>2490</v>
      </c>
      <c r="B75" s="29"/>
      <c r="C75" s="28" t="s">
        <v>2491</v>
      </c>
      <c r="D75" s="30" t="s">
        <v>2492</v>
      </c>
      <c r="E75" s="31">
        <v>3208341281</v>
      </c>
      <c r="F75" s="32" t="s">
        <v>2493</v>
      </c>
      <c r="G75" s="29">
        <v>516</v>
      </c>
      <c r="H75" s="29">
        <v>334</v>
      </c>
      <c r="I75" s="33">
        <v>432057</v>
      </c>
      <c r="J75" s="29">
        <v>0</v>
      </c>
      <c r="K75" s="29">
        <v>0</v>
      </c>
      <c r="L75" s="34">
        <v>0</v>
      </c>
    </row>
    <row r="76" spans="1:12" x14ac:dyDescent="0.25">
      <c r="A76" s="35" t="s">
        <v>2494</v>
      </c>
      <c r="B76" s="29"/>
      <c r="C76" s="35" t="s">
        <v>2495</v>
      </c>
      <c r="D76" s="30" t="s">
        <v>2496</v>
      </c>
      <c r="E76" s="40">
        <v>3155795883</v>
      </c>
      <c r="F76" s="38" t="s">
        <v>2497</v>
      </c>
      <c r="G76" s="29">
        <v>516</v>
      </c>
      <c r="H76" s="29">
        <v>334</v>
      </c>
      <c r="I76" s="33">
        <v>588836</v>
      </c>
      <c r="J76" s="29">
        <v>0</v>
      </c>
      <c r="K76" s="29">
        <v>0</v>
      </c>
      <c r="L76" s="34">
        <v>0</v>
      </c>
    </row>
    <row r="77" spans="1:12" x14ac:dyDescent="0.25">
      <c r="A77" s="43">
        <v>51719661</v>
      </c>
      <c r="B77" s="29"/>
      <c r="C77" s="43" t="s">
        <v>2498</v>
      </c>
      <c r="D77" s="30" t="s">
        <v>2499</v>
      </c>
      <c r="E77" s="31">
        <v>3107581498</v>
      </c>
      <c r="F77" s="32" t="s">
        <v>2500</v>
      </c>
      <c r="G77" s="29">
        <v>516</v>
      </c>
      <c r="H77" s="29">
        <v>334</v>
      </c>
      <c r="I77" s="33">
        <v>588836</v>
      </c>
      <c r="J77" s="29">
        <v>0</v>
      </c>
      <c r="K77" s="29">
        <v>0</v>
      </c>
      <c r="L77" s="34">
        <v>0</v>
      </c>
    </row>
    <row r="78" spans="1:12" x14ac:dyDescent="0.25">
      <c r="A78" s="35" t="s">
        <v>2501</v>
      </c>
      <c r="B78" s="29"/>
      <c r="C78" s="35" t="s">
        <v>2502</v>
      </c>
      <c r="D78" s="30" t="s">
        <v>2503</v>
      </c>
      <c r="E78" s="31">
        <v>3186306150</v>
      </c>
      <c r="F78" s="32" t="s">
        <v>2504</v>
      </c>
      <c r="G78" s="29">
        <v>516</v>
      </c>
      <c r="H78" s="29">
        <v>334</v>
      </c>
      <c r="I78" s="45">
        <f>706450+432057</f>
        <v>1138507</v>
      </c>
      <c r="J78" s="29">
        <v>0</v>
      </c>
      <c r="K78" s="29">
        <v>0</v>
      </c>
      <c r="L78" s="34">
        <v>0</v>
      </c>
    </row>
    <row r="79" spans="1:12" ht="30" x14ac:dyDescent="0.25">
      <c r="A79" s="35">
        <v>74360504</v>
      </c>
      <c r="B79" s="29"/>
      <c r="C79" s="35" t="s">
        <v>2505</v>
      </c>
      <c r="D79" s="36" t="s">
        <v>2506</v>
      </c>
      <c r="E79" s="37">
        <v>3223788434</v>
      </c>
      <c r="F79" s="38" t="s">
        <v>2507</v>
      </c>
      <c r="G79" s="29">
        <v>516</v>
      </c>
      <c r="H79" s="29">
        <v>334</v>
      </c>
      <c r="I79" s="39">
        <v>706450</v>
      </c>
      <c r="J79" s="29">
        <v>0</v>
      </c>
      <c r="K79" s="29">
        <v>0</v>
      </c>
      <c r="L79" s="34">
        <v>0</v>
      </c>
    </row>
    <row r="80" spans="1:12" x14ac:dyDescent="0.25">
      <c r="A80" s="43" t="s">
        <v>2508</v>
      </c>
      <c r="B80" s="29"/>
      <c r="C80" s="43" t="s">
        <v>2509</v>
      </c>
      <c r="D80" s="30" t="s">
        <v>2510</v>
      </c>
      <c r="E80" s="31">
        <v>3123010688</v>
      </c>
      <c r="F80" s="32" t="s">
        <v>2511</v>
      </c>
      <c r="G80" s="29">
        <v>516</v>
      </c>
      <c r="H80" s="29">
        <v>334</v>
      </c>
      <c r="I80" s="33">
        <v>432057</v>
      </c>
      <c r="J80" s="29">
        <v>0</v>
      </c>
      <c r="K80" s="29">
        <v>0</v>
      </c>
      <c r="L80" s="34">
        <v>0</v>
      </c>
    </row>
    <row r="81" spans="1:12" ht="45" x14ac:dyDescent="0.25">
      <c r="A81" s="35" t="s">
        <v>2512</v>
      </c>
      <c r="B81" s="29"/>
      <c r="C81" s="35" t="s">
        <v>2513</v>
      </c>
      <c r="D81" s="30" t="s">
        <v>2514</v>
      </c>
      <c r="E81" s="40">
        <v>3212184517</v>
      </c>
      <c r="F81" s="38" t="s">
        <v>2515</v>
      </c>
      <c r="G81" s="29">
        <v>516</v>
      </c>
      <c r="H81" s="29">
        <v>334</v>
      </c>
      <c r="I81" s="33">
        <v>432057</v>
      </c>
      <c r="J81" s="29">
        <v>0</v>
      </c>
      <c r="K81" s="29">
        <v>0</v>
      </c>
      <c r="L81" s="34">
        <v>0</v>
      </c>
    </row>
    <row r="82" spans="1:12" ht="30" x14ac:dyDescent="0.25">
      <c r="A82" s="35" t="s">
        <v>2516</v>
      </c>
      <c r="B82" s="29"/>
      <c r="C82" s="35" t="s">
        <v>2517</v>
      </c>
      <c r="D82" s="30" t="s">
        <v>2518</v>
      </c>
      <c r="E82" s="40">
        <v>3214898068</v>
      </c>
      <c r="F82" s="38" t="s">
        <v>2519</v>
      </c>
      <c r="G82" s="29">
        <v>516</v>
      </c>
      <c r="H82" s="29">
        <v>334</v>
      </c>
      <c r="I82" s="33">
        <v>706450</v>
      </c>
      <c r="J82" s="29">
        <v>0</v>
      </c>
      <c r="K82" s="29">
        <v>0</v>
      </c>
      <c r="L82" s="34">
        <v>0</v>
      </c>
    </row>
    <row r="83" spans="1:12" x14ac:dyDescent="0.25">
      <c r="A83" s="35" t="s">
        <v>2520</v>
      </c>
      <c r="B83" s="29"/>
      <c r="C83" s="35" t="s">
        <v>2521</v>
      </c>
      <c r="D83" s="30" t="s">
        <v>2522</v>
      </c>
      <c r="E83" s="40">
        <v>3136836422</v>
      </c>
      <c r="F83" s="38" t="s">
        <v>2523</v>
      </c>
      <c r="G83" s="29">
        <v>516</v>
      </c>
      <c r="H83" s="29">
        <v>334</v>
      </c>
      <c r="I83" s="33">
        <v>432057</v>
      </c>
      <c r="J83" s="29">
        <v>0</v>
      </c>
      <c r="K83" s="29">
        <v>0</v>
      </c>
      <c r="L83" s="34">
        <v>0</v>
      </c>
    </row>
    <row r="84" spans="1:12" x14ac:dyDescent="0.25">
      <c r="A84" s="28">
        <v>1002681877</v>
      </c>
      <c r="B84" s="29"/>
      <c r="C84" s="28" t="s">
        <v>2524</v>
      </c>
      <c r="D84" s="30" t="s">
        <v>2525</v>
      </c>
      <c r="E84" s="31">
        <v>3028202515</v>
      </c>
      <c r="F84" s="32" t="s">
        <v>2526</v>
      </c>
      <c r="G84" s="29">
        <v>516</v>
      </c>
      <c r="H84" s="29">
        <v>334</v>
      </c>
      <c r="I84" s="33">
        <v>706450</v>
      </c>
      <c r="J84" s="29">
        <v>0</v>
      </c>
      <c r="K84" s="29">
        <v>0</v>
      </c>
      <c r="L84" s="34">
        <v>0</v>
      </c>
    </row>
    <row r="85" spans="1:12" x14ac:dyDescent="0.25">
      <c r="A85" s="43" t="s">
        <v>2527</v>
      </c>
      <c r="B85" s="29"/>
      <c r="C85" s="43" t="s">
        <v>2528</v>
      </c>
      <c r="D85" s="30" t="s">
        <v>2529</v>
      </c>
      <c r="E85" s="31">
        <v>3114478915</v>
      </c>
      <c r="F85" s="32" t="s">
        <v>2530</v>
      </c>
      <c r="G85" s="29">
        <v>516</v>
      </c>
      <c r="H85" s="29">
        <v>334</v>
      </c>
      <c r="I85" s="33">
        <v>588836</v>
      </c>
      <c r="J85" s="29">
        <v>0</v>
      </c>
      <c r="K85" s="29">
        <v>0</v>
      </c>
      <c r="L85" s="34">
        <v>0</v>
      </c>
    </row>
    <row r="86" spans="1:12" x14ac:dyDescent="0.25">
      <c r="A86" s="28" t="s">
        <v>2531</v>
      </c>
      <c r="B86" s="29"/>
      <c r="C86" s="28" t="s">
        <v>2532</v>
      </c>
      <c r="D86" s="30" t="s">
        <v>2533</v>
      </c>
      <c r="E86" s="31">
        <v>3162811032</v>
      </c>
      <c r="F86" s="32" t="s">
        <v>2534</v>
      </c>
      <c r="G86" s="29">
        <v>516</v>
      </c>
      <c r="H86" s="29">
        <v>334</v>
      </c>
      <c r="I86" s="33">
        <f>706450+432057</f>
        <v>1138507</v>
      </c>
      <c r="J86" s="29">
        <v>0</v>
      </c>
      <c r="K86" s="29">
        <v>0</v>
      </c>
      <c r="L86" s="34">
        <v>0</v>
      </c>
    </row>
    <row r="87" spans="1:12" x14ac:dyDescent="0.25">
      <c r="A87" s="43">
        <v>68303550</v>
      </c>
      <c r="B87" s="29"/>
      <c r="C87" s="43" t="s">
        <v>2535</v>
      </c>
      <c r="D87" s="30" t="s">
        <v>2536</v>
      </c>
      <c r="E87" s="31">
        <v>3112797767</v>
      </c>
      <c r="F87" s="32" t="s">
        <v>2537</v>
      </c>
      <c r="G87" s="29">
        <v>516</v>
      </c>
      <c r="H87" s="29">
        <v>334</v>
      </c>
      <c r="I87" s="33">
        <v>706450</v>
      </c>
      <c r="J87" s="29">
        <v>0</v>
      </c>
      <c r="K87" s="29">
        <v>0</v>
      </c>
      <c r="L87" s="34">
        <v>0</v>
      </c>
    </row>
    <row r="88" spans="1:12" x14ac:dyDescent="0.25">
      <c r="A88" s="28" t="s">
        <v>2538</v>
      </c>
      <c r="B88" s="29"/>
      <c r="C88" s="28" t="s">
        <v>2539</v>
      </c>
      <c r="D88" s="30" t="s">
        <v>2540</v>
      </c>
      <c r="E88" s="31">
        <v>3143207741</v>
      </c>
      <c r="F88" s="32" t="s">
        <v>2541</v>
      </c>
      <c r="G88" s="29">
        <v>516</v>
      </c>
      <c r="H88" s="29">
        <v>334</v>
      </c>
      <c r="I88" s="33">
        <v>706450</v>
      </c>
      <c r="J88" s="29">
        <v>0</v>
      </c>
      <c r="K88" s="29">
        <v>0</v>
      </c>
      <c r="L88" s="34">
        <v>0</v>
      </c>
    </row>
    <row r="89" spans="1:12" x14ac:dyDescent="0.25">
      <c r="A89" s="35" t="s">
        <v>2542</v>
      </c>
      <c r="B89" s="29"/>
      <c r="C89" s="35" t="s">
        <v>2543</v>
      </c>
      <c r="D89" s="30" t="s">
        <v>2544</v>
      </c>
      <c r="E89" s="31">
        <v>3104149137</v>
      </c>
      <c r="F89" s="32" t="s">
        <v>2545</v>
      </c>
      <c r="G89" s="29">
        <v>516</v>
      </c>
      <c r="H89" s="29">
        <v>334</v>
      </c>
      <c r="I89" s="45">
        <v>588836</v>
      </c>
      <c r="J89" s="29">
        <v>0</v>
      </c>
      <c r="K89" s="29">
        <v>0</v>
      </c>
      <c r="L89" s="34">
        <v>0</v>
      </c>
    </row>
    <row r="90" spans="1:12" x14ac:dyDescent="0.25">
      <c r="A90" s="43" t="s">
        <v>2546</v>
      </c>
      <c r="B90" s="29"/>
      <c r="C90" s="43" t="s">
        <v>2547</v>
      </c>
      <c r="D90" s="30" t="s">
        <v>2548</v>
      </c>
      <c r="E90" s="31">
        <v>3223675818</v>
      </c>
      <c r="F90" s="32" t="s">
        <v>2325</v>
      </c>
      <c r="G90" s="29">
        <v>516</v>
      </c>
      <c r="H90" s="29">
        <v>334</v>
      </c>
      <c r="I90" s="33">
        <f>588836+432057</f>
        <v>1020893</v>
      </c>
      <c r="J90" s="29">
        <v>0</v>
      </c>
      <c r="K90" s="29">
        <v>0</v>
      </c>
      <c r="L90" s="34">
        <v>0</v>
      </c>
    </row>
    <row r="91" spans="1:12" x14ac:dyDescent="0.25">
      <c r="A91" s="28">
        <v>4192123</v>
      </c>
      <c r="B91" s="29"/>
      <c r="C91" s="28" t="s">
        <v>2549</v>
      </c>
      <c r="D91" s="30" t="s">
        <v>2550</v>
      </c>
      <c r="E91" s="37">
        <v>3142342574</v>
      </c>
      <c r="F91" s="29" t="s">
        <v>2551</v>
      </c>
      <c r="G91" s="29">
        <v>516</v>
      </c>
      <c r="H91" s="29">
        <v>334</v>
      </c>
      <c r="I91" s="45">
        <v>588836</v>
      </c>
      <c r="J91" s="29">
        <v>0</v>
      </c>
      <c r="K91" s="29">
        <v>0</v>
      </c>
      <c r="L91" s="34">
        <v>0</v>
      </c>
    </row>
    <row r="92" spans="1:12" x14ac:dyDescent="0.25">
      <c r="A92" s="43" t="s">
        <v>2552</v>
      </c>
      <c r="B92" s="29"/>
      <c r="C92" s="43" t="s">
        <v>2553</v>
      </c>
      <c r="D92" s="30" t="s">
        <v>2554</v>
      </c>
      <c r="E92" s="31">
        <v>3223309751</v>
      </c>
      <c r="F92" s="32" t="s">
        <v>2325</v>
      </c>
      <c r="G92" s="29">
        <v>516</v>
      </c>
      <c r="H92" s="29">
        <v>334</v>
      </c>
      <c r="I92" s="33">
        <v>432057</v>
      </c>
      <c r="J92" s="29">
        <v>0</v>
      </c>
      <c r="K92" s="29">
        <v>0</v>
      </c>
      <c r="L92" s="34">
        <v>0</v>
      </c>
    </row>
    <row r="93" spans="1:12" x14ac:dyDescent="0.25">
      <c r="A93" s="28" t="s">
        <v>2555</v>
      </c>
      <c r="B93" s="29"/>
      <c r="C93" s="28" t="s">
        <v>2556</v>
      </c>
      <c r="D93" s="30" t="s">
        <v>2557</v>
      </c>
      <c r="E93" s="31">
        <v>3026146154</v>
      </c>
      <c r="F93" s="32" t="s">
        <v>2558</v>
      </c>
      <c r="G93" s="29">
        <v>516</v>
      </c>
      <c r="H93" s="29">
        <v>334</v>
      </c>
      <c r="I93" s="33">
        <v>706450</v>
      </c>
      <c r="J93" s="29">
        <v>0</v>
      </c>
      <c r="K93" s="29">
        <v>0</v>
      </c>
      <c r="L93" s="34">
        <v>0</v>
      </c>
    </row>
    <row r="94" spans="1:12" x14ac:dyDescent="0.25">
      <c r="A94" s="28">
        <v>1002551427</v>
      </c>
      <c r="B94" s="29"/>
      <c r="C94" s="28" t="s">
        <v>2559</v>
      </c>
      <c r="D94" s="30" t="s">
        <v>2560</v>
      </c>
      <c r="E94" s="31">
        <v>3193486031</v>
      </c>
      <c r="F94" s="32" t="s">
        <v>2561</v>
      </c>
      <c r="G94" s="29">
        <v>516</v>
      </c>
      <c r="H94" s="29">
        <v>334</v>
      </c>
      <c r="I94" s="33">
        <f>588836+432057</f>
        <v>1020893</v>
      </c>
      <c r="J94" s="29">
        <v>0</v>
      </c>
      <c r="K94" s="29">
        <v>0</v>
      </c>
      <c r="L94" s="34">
        <v>0</v>
      </c>
    </row>
    <row r="95" spans="1:12" x14ac:dyDescent="0.25">
      <c r="A95" s="35" t="s">
        <v>2562</v>
      </c>
      <c r="B95" s="29"/>
      <c r="C95" s="35" t="s">
        <v>2563</v>
      </c>
      <c r="D95" s="30" t="s">
        <v>2564</v>
      </c>
      <c r="E95" s="40">
        <v>3219377025</v>
      </c>
      <c r="F95" s="38" t="s">
        <v>2545</v>
      </c>
      <c r="G95" s="29">
        <v>516</v>
      </c>
      <c r="H95" s="29">
        <v>334</v>
      </c>
      <c r="I95" s="33">
        <v>432057</v>
      </c>
      <c r="J95" s="29">
        <v>0</v>
      </c>
      <c r="K95" s="29">
        <v>0</v>
      </c>
      <c r="L95" s="34">
        <v>0</v>
      </c>
    </row>
    <row r="96" spans="1:12" ht="30" x14ac:dyDescent="0.25">
      <c r="A96" s="35">
        <v>1002538033</v>
      </c>
      <c r="B96" s="29"/>
      <c r="C96" s="35" t="s">
        <v>2565</v>
      </c>
      <c r="D96" s="36" t="s">
        <v>2566</v>
      </c>
      <c r="E96" s="37">
        <v>3227771733</v>
      </c>
      <c r="F96" s="38" t="s">
        <v>2567</v>
      </c>
      <c r="G96" s="29">
        <v>516</v>
      </c>
      <c r="H96" s="29">
        <v>334</v>
      </c>
      <c r="I96" s="39">
        <v>432057</v>
      </c>
      <c r="J96" s="29">
        <v>0</v>
      </c>
      <c r="K96" s="29">
        <v>0</v>
      </c>
      <c r="L96" s="34">
        <v>0</v>
      </c>
    </row>
    <row r="97" spans="1:12" x14ac:dyDescent="0.25">
      <c r="A97" s="35" t="s">
        <v>2568</v>
      </c>
      <c r="B97" s="29"/>
      <c r="C97" s="35" t="s">
        <v>2569</v>
      </c>
      <c r="D97" s="30" t="s">
        <v>2570</v>
      </c>
      <c r="E97" s="31">
        <v>3208113155</v>
      </c>
      <c r="F97" s="32" t="s">
        <v>2571</v>
      </c>
      <c r="G97" s="29">
        <v>516</v>
      </c>
      <c r="H97" s="29">
        <v>334</v>
      </c>
      <c r="I97" s="45">
        <v>706450</v>
      </c>
      <c r="J97" s="29">
        <v>0</v>
      </c>
      <c r="K97" s="29">
        <v>0</v>
      </c>
      <c r="L97" s="34">
        <v>0</v>
      </c>
    </row>
    <row r="98" spans="1:12" x14ac:dyDescent="0.25">
      <c r="A98" s="35" t="s">
        <v>2572</v>
      </c>
      <c r="B98" s="29"/>
      <c r="C98" s="35" t="s">
        <v>2573</v>
      </c>
      <c r="D98" s="30" t="s">
        <v>2574</v>
      </c>
      <c r="E98" s="40">
        <v>3217095315</v>
      </c>
      <c r="F98" s="38" t="s">
        <v>2575</v>
      </c>
      <c r="G98" s="29">
        <v>516</v>
      </c>
      <c r="H98" s="29">
        <v>334</v>
      </c>
      <c r="I98" s="33">
        <v>588836</v>
      </c>
      <c r="J98" s="29">
        <v>0</v>
      </c>
      <c r="K98" s="29">
        <v>0</v>
      </c>
      <c r="L98" s="34">
        <v>0</v>
      </c>
    </row>
    <row r="99" spans="1:12" ht="30" x14ac:dyDescent="0.25">
      <c r="A99" s="35">
        <v>4051567</v>
      </c>
      <c r="B99" s="29"/>
      <c r="C99" s="35" t="s">
        <v>2576</v>
      </c>
      <c r="D99" s="36" t="s">
        <v>2577</v>
      </c>
      <c r="E99" s="37">
        <v>3125798752</v>
      </c>
      <c r="F99" s="38" t="s">
        <v>2578</v>
      </c>
      <c r="G99" s="29">
        <v>516</v>
      </c>
      <c r="H99" s="29">
        <v>334</v>
      </c>
      <c r="I99" s="39">
        <v>432057</v>
      </c>
      <c r="J99" s="29">
        <v>0</v>
      </c>
      <c r="K99" s="29">
        <v>0</v>
      </c>
      <c r="L99" s="34">
        <v>0</v>
      </c>
    </row>
    <row r="100" spans="1:12" x14ac:dyDescent="0.25">
      <c r="A100" s="43">
        <v>1002365105</v>
      </c>
      <c r="B100" s="29"/>
      <c r="C100" s="43" t="s">
        <v>2579</v>
      </c>
      <c r="D100" s="36" t="s">
        <v>2580</v>
      </c>
      <c r="E100" s="37">
        <v>3147067183</v>
      </c>
      <c r="F100" s="38" t="s">
        <v>2581</v>
      </c>
      <c r="G100" s="29">
        <v>516</v>
      </c>
      <c r="H100" s="29">
        <v>334</v>
      </c>
      <c r="I100" s="39">
        <v>588784</v>
      </c>
      <c r="J100" s="29">
        <v>0</v>
      </c>
      <c r="K100" s="29">
        <v>0</v>
      </c>
      <c r="L100" s="34">
        <v>0</v>
      </c>
    </row>
    <row r="101" spans="1:12" ht="30" x14ac:dyDescent="0.25">
      <c r="A101" s="28">
        <v>74323124</v>
      </c>
      <c r="B101" s="29"/>
      <c r="C101" s="28" t="s">
        <v>2582</v>
      </c>
      <c r="D101" s="30" t="s">
        <v>2583</v>
      </c>
      <c r="E101" s="37">
        <v>3118132591</v>
      </c>
      <c r="F101" s="38" t="s">
        <v>2584</v>
      </c>
      <c r="G101" s="29">
        <v>516</v>
      </c>
      <c r="H101" s="29">
        <v>334</v>
      </c>
      <c r="I101" s="45">
        <v>588836</v>
      </c>
      <c r="J101" s="29">
        <v>0</v>
      </c>
      <c r="K101" s="29">
        <v>0</v>
      </c>
      <c r="L101" s="34">
        <v>0</v>
      </c>
    </row>
    <row r="102" spans="1:12" x14ac:dyDescent="0.25">
      <c r="A102" s="28">
        <v>1032798457</v>
      </c>
      <c r="B102" s="29"/>
      <c r="C102" s="28" t="s">
        <v>2585</v>
      </c>
      <c r="D102" s="30" t="s">
        <v>2586</v>
      </c>
      <c r="E102" s="31">
        <v>3213012460</v>
      </c>
      <c r="F102" s="32" t="s">
        <v>2587</v>
      </c>
      <c r="G102" s="29">
        <v>516</v>
      </c>
      <c r="H102" s="29">
        <v>334</v>
      </c>
      <c r="I102" s="33">
        <v>706450</v>
      </c>
      <c r="J102" s="29">
        <v>0</v>
      </c>
      <c r="K102" s="29">
        <v>0</v>
      </c>
      <c r="L102" s="34">
        <v>0</v>
      </c>
    </row>
    <row r="103" spans="1:12" ht="30" x14ac:dyDescent="0.25">
      <c r="A103" s="43">
        <v>1016038576</v>
      </c>
      <c r="B103" s="29"/>
      <c r="C103" s="43" t="s">
        <v>2588</v>
      </c>
      <c r="D103" s="36" t="s">
        <v>2589</v>
      </c>
      <c r="E103" s="37">
        <v>3004978929</v>
      </c>
      <c r="F103" s="38" t="s">
        <v>2590</v>
      </c>
      <c r="G103" s="29">
        <v>516</v>
      </c>
      <c r="H103" s="29">
        <v>334</v>
      </c>
      <c r="I103" s="39">
        <v>706446</v>
      </c>
      <c r="J103" s="29">
        <v>0</v>
      </c>
      <c r="K103" s="29">
        <v>0</v>
      </c>
      <c r="L103" s="34">
        <v>0</v>
      </c>
    </row>
    <row r="104" spans="1:12" x14ac:dyDescent="0.25">
      <c r="A104" s="28">
        <v>1053616233</v>
      </c>
      <c r="B104" s="29"/>
      <c r="C104" s="28" t="s">
        <v>2591</v>
      </c>
      <c r="D104" s="30" t="s">
        <v>2592</v>
      </c>
      <c r="E104" s="37">
        <v>3112832372</v>
      </c>
      <c r="F104" s="29" t="s">
        <v>2545</v>
      </c>
      <c r="G104" s="29">
        <v>516</v>
      </c>
      <c r="H104" s="29">
        <v>334</v>
      </c>
      <c r="I104" s="45">
        <v>706450</v>
      </c>
      <c r="J104" s="29">
        <v>0</v>
      </c>
      <c r="K104" s="29">
        <v>0</v>
      </c>
      <c r="L104" s="34">
        <v>0</v>
      </c>
    </row>
    <row r="105" spans="1:12" x14ac:dyDescent="0.25">
      <c r="A105" s="28" t="s">
        <v>2593</v>
      </c>
      <c r="B105" s="29"/>
      <c r="C105" s="28" t="s">
        <v>2594</v>
      </c>
      <c r="D105" s="30" t="s">
        <v>2595</v>
      </c>
      <c r="E105" s="31">
        <v>3195929278</v>
      </c>
      <c r="F105" s="32" t="s">
        <v>2596</v>
      </c>
      <c r="G105" s="29">
        <v>516</v>
      </c>
      <c r="H105" s="29">
        <v>334</v>
      </c>
      <c r="I105" s="33">
        <v>588836</v>
      </c>
      <c r="J105" s="29">
        <v>0</v>
      </c>
      <c r="K105" s="29">
        <v>0</v>
      </c>
      <c r="L105" s="34">
        <v>0</v>
      </c>
    </row>
    <row r="106" spans="1:12" ht="30" x14ac:dyDescent="0.25">
      <c r="A106" s="35">
        <v>1002538497</v>
      </c>
      <c r="B106" s="29"/>
      <c r="C106" s="35" t="s">
        <v>2597</v>
      </c>
      <c r="D106" s="36" t="s">
        <v>2598</v>
      </c>
      <c r="E106" s="37">
        <v>3105396739</v>
      </c>
      <c r="F106" s="38" t="s">
        <v>2599</v>
      </c>
      <c r="G106" s="29">
        <v>516</v>
      </c>
      <c r="H106" s="29">
        <v>334</v>
      </c>
      <c r="I106" s="39">
        <v>706450</v>
      </c>
      <c r="J106" s="29">
        <v>0</v>
      </c>
      <c r="K106" s="29">
        <v>0</v>
      </c>
      <c r="L106" s="34">
        <v>0</v>
      </c>
    </row>
    <row r="107" spans="1:12" ht="45" x14ac:dyDescent="0.25">
      <c r="A107" s="35">
        <v>1056572129</v>
      </c>
      <c r="B107" s="29"/>
      <c r="C107" s="35" t="s">
        <v>2600</v>
      </c>
      <c r="D107" s="36" t="s">
        <v>2601</v>
      </c>
      <c r="E107" s="37">
        <v>3142524177</v>
      </c>
      <c r="F107" s="38" t="s">
        <v>2602</v>
      </c>
      <c r="G107" s="29">
        <v>516</v>
      </c>
      <c r="H107" s="29">
        <v>334</v>
      </c>
      <c r="I107" s="39">
        <f>588748+706450</f>
        <v>1295198</v>
      </c>
      <c r="J107" s="29">
        <v>0</v>
      </c>
      <c r="K107" s="29">
        <v>0</v>
      </c>
      <c r="L107" s="34">
        <v>0</v>
      </c>
    </row>
    <row r="108" spans="1:12" ht="45" x14ac:dyDescent="0.25">
      <c r="A108" s="35" t="s">
        <v>2603</v>
      </c>
      <c r="B108" s="29"/>
      <c r="C108" s="35" t="s">
        <v>2604</v>
      </c>
      <c r="D108" s="30" t="s">
        <v>2605</v>
      </c>
      <c r="E108" s="40">
        <v>3108494784</v>
      </c>
      <c r="F108" s="38" t="s">
        <v>2606</v>
      </c>
      <c r="G108" s="29">
        <v>516</v>
      </c>
      <c r="H108" s="29">
        <v>334</v>
      </c>
      <c r="I108" s="33">
        <v>706450</v>
      </c>
      <c r="J108" s="29">
        <v>0</v>
      </c>
      <c r="K108" s="29">
        <v>0</v>
      </c>
      <c r="L108" s="34">
        <v>0</v>
      </c>
    </row>
    <row r="109" spans="1:12" x14ac:dyDescent="0.25">
      <c r="A109" s="43">
        <v>1052391370</v>
      </c>
      <c r="B109" s="29"/>
      <c r="C109" s="43" t="s">
        <v>2607</v>
      </c>
      <c r="D109" s="30" t="s">
        <v>2608</v>
      </c>
      <c r="E109" s="31">
        <v>3102682467</v>
      </c>
      <c r="F109" s="32" t="s">
        <v>2609</v>
      </c>
      <c r="G109" s="29">
        <v>516</v>
      </c>
      <c r="H109" s="29">
        <v>334</v>
      </c>
      <c r="I109" s="33">
        <v>588836</v>
      </c>
      <c r="J109" s="29">
        <v>0</v>
      </c>
      <c r="K109" s="29">
        <v>0</v>
      </c>
      <c r="L109" s="34">
        <v>0</v>
      </c>
    </row>
    <row r="110" spans="1:12" x14ac:dyDescent="0.25">
      <c r="A110" s="28" t="s">
        <v>2610</v>
      </c>
      <c r="B110" s="29"/>
      <c r="C110" s="28" t="s">
        <v>2611</v>
      </c>
      <c r="D110" s="30" t="s">
        <v>2612</v>
      </c>
      <c r="E110" s="31">
        <v>3042658164</v>
      </c>
      <c r="F110" s="32" t="s">
        <v>2613</v>
      </c>
      <c r="G110" s="29">
        <v>516</v>
      </c>
      <c r="H110" s="29">
        <v>334</v>
      </c>
      <c r="I110" s="33">
        <v>706450</v>
      </c>
      <c r="J110" s="29">
        <v>0</v>
      </c>
      <c r="K110" s="29">
        <v>0</v>
      </c>
      <c r="L110" s="34">
        <v>0</v>
      </c>
    </row>
    <row r="111" spans="1:12" x14ac:dyDescent="0.25">
      <c r="A111" s="35" t="s">
        <v>2614</v>
      </c>
      <c r="B111" s="29"/>
      <c r="C111" s="35" t="s">
        <v>2615</v>
      </c>
      <c r="D111" s="30" t="s">
        <v>2616</v>
      </c>
      <c r="E111" s="40">
        <v>3212619728</v>
      </c>
      <c r="F111" s="38" t="s">
        <v>2617</v>
      </c>
      <c r="G111" s="29">
        <v>516</v>
      </c>
      <c r="H111" s="29">
        <v>334</v>
      </c>
      <c r="I111" s="33">
        <v>706450</v>
      </c>
      <c r="J111" s="29">
        <v>0</v>
      </c>
      <c r="K111" s="29">
        <v>0</v>
      </c>
      <c r="L111" s="34">
        <v>0</v>
      </c>
    </row>
    <row r="112" spans="1:12" ht="45" x14ac:dyDescent="0.25">
      <c r="A112" s="28" t="s">
        <v>2618</v>
      </c>
      <c r="B112" s="29"/>
      <c r="C112" s="28" t="s">
        <v>2619</v>
      </c>
      <c r="D112" s="30" t="s">
        <v>2620</v>
      </c>
      <c r="E112" s="40">
        <v>3123247259</v>
      </c>
      <c r="F112" s="38" t="s">
        <v>2621</v>
      </c>
      <c r="G112" s="29">
        <v>516</v>
      </c>
      <c r="H112" s="29">
        <v>334</v>
      </c>
      <c r="I112" s="33">
        <f>706450+432057</f>
        <v>1138507</v>
      </c>
      <c r="J112" s="29">
        <v>0</v>
      </c>
      <c r="K112" s="29">
        <v>0</v>
      </c>
      <c r="L112" s="34">
        <v>0</v>
      </c>
    </row>
    <row r="113" spans="1:12" ht="30" x14ac:dyDescent="0.25">
      <c r="A113" s="35">
        <v>1051067633</v>
      </c>
      <c r="B113" s="29"/>
      <c r="C113" s="35" t="s">
        <v>2622</v>
      </c>
      <c r="D113" s="36" t="s">
        <v>2623</v>
      </c>
      <c r="E113" s="37">
        <v>3203269026</v>
      </c>
      <c r="F113" s="38" t="s">
        <v>2624</v>
      </c>
      <c r="G113" s="29">
        <v>516</v>
      </c>
      <c r="H113" s="29">
        <v>334</v>
      </c>
      <c r="I113" s="39">
        <v>588836</v>
      </c>
      <c r="J113" s="29">
        <v>0</v>
      </c>
      <c r="K113" s="29">
        <v>0</v>
      </c>
      <c r="L113" s="34">
        <v>0</v>
      </c>
    </row>
    <row r="114" spans="1:12" x14ac:dyDescent="0.25">
      <c r="A114" s="28" t="s">
        <v>2625</v>
      </c>
      <c r="B114" s="29"/>
      <c r="C114" s="28" t="s">
        <v>2626</v>
      </c>
      <c r="D114" s="30" t="s">
        <v>2627</v>
      </c>
      <c r="E114" s="31">
        <v>3132800088</v>
      </c>
      <c r="F114" s="32" t="s">
        <v>2628</v>
      </c>
      <c r="G114" s="29">
        <v>516</v>
      </c>
      <c r="H114" s="29">
        <v>334</v>
      </c>
      <c r="I114" s="33">
        <f>432057+706450</f>
        <v>1138507</v>
      </c>
      <c r="J114" s="29">
        <v>0</v>
      </c>
      <c r="K114" s="29">
        <v>0</v>
      </c>
      <c r="L114" s="34">
        <v>0</v>
      </c>
    </row>
    <row r="115" spans="1:12" x14ac:dyDescent="0.25">
      <c r="A115" s="28" t="s">
        <v>2629</v>
      </c>
      <c r="B115" s="29"/>
      <c r="C115" s="28" t="s">
        <v>2630</v>
      </c>
      <c r="D115" s="30" t="s">
        <v>2631</v>
      </c>
      <c r="E115" s="37">
        <v>3027444657</v>
      </c>
      <c r="F115" s="32" t="s">
        <v>2632</v>
      </c>
      <c r="G115" s="29">
        <v>516</v>
      </c>
      <c r="H115" s="29">
        <v>334</v>
      </c>
      <c r="I115" s="33">
        <f>706450+432057</f>
        <v>1138507</v>
      </c>
      <c r="J115" s="29">
        <v>0</v>
      </c>
      <c r="K115" s="29">
        <v>0</v>
      </c>
      <c r="L115" s="34">
        <v>0</v>
      </c>
    </row>
    <row r="116" spans="1:12" ht="30" x14ac:dyDescent="0.25">
      <c r="A116" s="35" t="s">
        <v>2633</v>
      </c>
      <c r="B116" s="29"/>
      <c r="C116" s="35" t="s">
        <v>2634</v>
      </c>
      <c r="D116" s="30" t="s">
        <v>2635</v>
      </c>
      <c r="E116" s="40">
        <v>3142811366</v>
      </c>
      <c r="F116" s="38" t="s">
        <v>2636</v>
      </c>
      <c r="G116" s="29">
        <v>516</v>
      </c>
      <c r="H116" s="29">
        <v>334</v>
      </c>
      <c r="I116" s="33">
        <v>706450</v>
      </c>
      <c r="J116" s="29">
        <v>0</v>
      </c>
      <c r="K116" s="29">
        <v>0</v>
      </c>
      <c r="L116" s="34">
        <v>0</v>
      </c>
    </row>
    <row r="117" spans="1:12" x14ac:dyDescent="0.25">
      <c r="A117" s="35" t="s">
        <v>2637</v>
      </c>
      <c r="B117" s="29"/>
      <c r="C117" s="35" t="s">
        <v>2638</v>
      </c>
      <c r="D117" s="30" t="s">
        <v>2639</v>
      </c>
      <c r="E117" s="40">
        <v>3104338805</v>
      </c>
      <c r="F117" s="38" t="s">
        <v>2640</v>
      </c>
      <c r="G117" s="29">
        <v>516</v>
      </c>
      <c r="H117" s="29">
        <v>334</v>
      </c>
      <c r="I117" s="33">
        <v>588836</v>
      </c>
      <c r="J117" s="29">
        <v>0</v>
      </c>
      <c r="K117" s="29">
        <v>0</v>
      </c>
      <c r="L117" s="34">
        <v>0</v>
      </c>
    </row>
    <row r="118" spans="1:12" x14ac:dyDescent="0.25">
      <c r="A118" s="35" t="s">
        <v>2641</v>
      </c>
      <c r="B118" s="29"/>
      <c r="C118" s="35" t="s">
        <v>2642</v>
      </c>
      <c r="D118" s="30" t="s">
        <v>2643</v>
      </c>
      <c r="E118" s="40">
        <v>3164756403</v>
      </c>
      <c r="F118" s="38" t="s">
        <v>2644</v>
      </c>
      <c r="G118" s="29">
        <v>516</v>
      </c>
      <c r="H118" s="29">
        <v>334</v>
      </c>
      <c r="I118" s="33">
        <v>706450</v>
      </c>
      <c r="J118" s="29">
        <v>0</v>
      </c>
      <c r="K118" s="29">
        <v>0</v>
      </c>
      <c r="L118" s="34">
        <v>0</v>
      </c>
    </row>
    <row r="119" spans="1:12" x14ac:dyDescent="0.25">
      <c r="A119" s="28" t="s">
        <v>2645</v>
      </c>
      <c r="B119" s="29"/>
      <c r="C119" s="28" t="s">
        <v>2646</v>
      </c>
      <c r="D119" s="30" t="s">
        <v>2647</v>
      </c>
      <c r="E119" s="31">
        <v>3212561978</v>
      </c>
      <c r="F119" s="32" t="s">
        <v>2648</v>
      </c>
      <c r="G119" s="29">
        <v>516</v>
      </c>
      <c r="H119" s="29">
        <v>334</v>
      </c>
      <c r="I119" s="33">
        <v>432057</v>
      </c>
      <c r="J119" s="29">
        <v>0</v>
      </c>
      <c r="K119" s="29">
        <v>0</v>
      </c>
      <c r="L119" s="34">
        <v>0</v>
      </c>
    </row>
    <row r="120" spans="1:12" x14ac:dyDescent="0.25">
      <c r="A120" s="35" t="s">
        <v>2649</v>
      </c>
      <c r="B120" s="29"/>
      <c r="C120" s="35" t="s">
        <v>2650</v>
      </c>
      <c r="D120" s="30" t="s">
        <v>2651</v>
      </c>
      <c r="E120" s="31">
        <v>3224332442</v>
      </c>
      <c r="F120" s="32" t="s">
        <v>2652</v>
      </c>
      <c r="G120" s="29">
        <v>516</v>
      </c>
      <c r="H120" s="29">
        <v>334</v>
      </c>
      <c r="I120" s="45">
        <v>588836</v>
      </c>
      <c r="J120" s="29">
        <v>0</v>
      </c>
      <c r="K120" s="29">
        <v>0</v>
      </c>
      <c r="L120" s="34">
        <v>0</v>
      </c>
    </row>
    <row r="121" spans="1:12" x14ac:dyDescent="0.25">
      <c r="A121" s="43">
        <v>1053612407</v>
      </c>
      <c r="B121" s="29"/>
      <c r="C121" s="43" t="s">
        <v>2653</v>
      </c>
      <c r="D121" s="30" t="s">
        <v>2274</v>
      </c>
      <c r="E121" s="31">
        <v>3112220309</v>
      </c>
      <c r="F121" s="32" t="s">
        <v>2654</v>
      </c>
      <c r="G121" s="29">
        <v>516</v>
      </c>
      <c r="H121" s="29">
        <v>334</v>
      </c>
      <c r="I121" s="33">
        <v>706450</v>
      </c>
      <c r="J121" s="29">
        <v>0</v>
      </c>
      <c r="K121" s="29">
        <v>0</v>
      </c>
      <c r="L121" s="34">
        <v>0</v>
      </c>
    </row>
    <row r="122" spans="1:12" x14ac:dyDescent="0.25">
      <c r="A122" s="43" t="s">
        <v>2655</v>
      </c>
      <c r="B122" s="29"/>
      <c r="C122" s="43" t="s">
        <v>2656</v>
      </c>
      <c r="D122" s="30" t="s">
        <v>2657</v>
      </c>
      <c r="E122" s="31">
        <v>3232255410</v>
      </c>
      <c r="F122" s="32" t="s">
        <v>2658</v>
      </c>
      <c r="G122" s="29">
        <v>516</v>
      </c>
      <c r="H122" s="29">
        <v>334</v>
      </c>
      <c r="I122" s="33">
        <f>706450+432057</f>
        <v>1138507</v>
      </c>
      <c r="J122" s="29">
        <v>0</v>
      </c>
      <c r="K122" s="29">
        <v>0</v>
      </c>
      <c r="L122" s="34">
        <v>0</v>
      </c>
    </row>
    <row r="123" spans="1:12" ht="30" x14ac:dyDescent="0.25">
      <c r="A123" s="43">
        <v>1002537775</v>
      </c>
      <c r="B123" s="29"/>
      <c r="C123" s="43" t="s">
        <v>2659</v>
      </c>
      <c r="D123" s="30" t="s">
        <v>2660</v>
      </c>
      <c r="E123" s="37">
        <v>3013290482</v>
      </c>
      <c r="F123" s="38" t="s">
        <v>2661</v>
      </c>
      <c r="G123" s="29">
        <v>516</v>
      </c>
      <c r="H123" s="29">
        <v>334</v>
      </c>
      <c r="I123" s="45">
        <v>432057</v>
      </c>
      <c r="J123" s="29">
        <v>0</v>
      </c>
      <c r="K123" s="29">
        <v>0</v>
      </c>
      <c r="L123" s="34">
        <v>0</v>
      </c>
    </row>
    <row r="124" spans="1:12" x14ac:dyDescent="0.25">
      <c r="A124" s="28">
        <v>1052838857</v>
      </c>
      <c r="B124" s="29"/>
      <c r="C124" s="28" t="s">
        <v>2662</v>
      </c>
      <c r="D124" s="30" t="s">
        <v>2663</v>
      </c>
      <c r="E124" s="31">
        <v>3123961048</v>
      </c>
      <c r="F124" s="32" t="s">
        <v>2322</v>
      </c>
      <c r="G124" s="29">
        <v>516</v>
      </c>
      <c r="H124" s="29">
        <v>334</v>
      </c>
      <c r="I124" s="33">
        <f>432057+706450</f>
        <v>1138507</v>
      </c>
      <c r="J124" s="29">
        <v>0</v>
      </c>
      <c r="K124" s="29">
        <v>0</v>
      </c>
      <c r="L124" s="34">
        <v>0</v>
      </c>
    </row>
    <row r="125" spans="1:12" x14ac:dyDescent="0.25">
      <c r="A125" s="35" t="s">
        <v>2664</v>
      </c>
      <c r="B125" s="29"/>
      <c r="C125" s="35" t="s">
        <v>2665</v>
      </c>
      <c r="D125" s="30" t="s">
        <v>2666</v>
      </c>
      <c r="E125" s="40">
        <v>3102677818</v>
      </c>
      <c r="F125" s="38" t="s">
        <v>2667</v>
      </c>
      <c r="G125" s="29">
        <v>516</v>
      </c>
      <c r="H125" s="29">
        <v>334</v>
      </c>
      <c r="I125" s="33">
        <v>588836</v>
      </c>
      <c r="J125" s="29">
        <v>0</v>
      </c>
      <c r="K125" s="29">
        <v>0</v>
      </c>
      <c r="L125" s="34">
        <v>0</v>
      </c>
    </row>
    <row r="126" spans="1:12" x14ac:dyDescent="0.25">
      <c r="A126" s="28" t="s">
        <v>2668</v>
      </c>
      <c r="B126" s="29"/>
      <c r="C126" s="28" t="s">
        <v>2669</v>
      </c>
      <c r="D126" s="30" t="s">
        <v>2670</v>
      </c>
      <c r="E126" s="31">
        <v>3134582829</v>
      </c>
      <c r="F126" s="32" t="s">
        <v>2671</v>
      </c>
      <c r="G126" s="29">
        <v>516</v>
      </c>
      <c r="H126" s="29">
        <v>334</v>
      </c>
      <c r="I126" s="33">
        <v>588836</v>
      </c>
      <c r="J126" s="29">
        <v>0</v>
      </c>
      <c r="K126" s="29">
        <v>0</v>
      </c>
      <c r="L126" s="34">
        <v>0</v>
      </c>
    </row>
    <row r="127" spans="1:12" x14ac:dyDescent="0.25">
      <c r="A127" s="43">
        <v>1025530123</v>
      </c>
      <c r="B127" s="29"/>
      <c r="C127" s="43" t="s">
        <v>2672</v>
      </c>
      <c r="D127" s="30" t="s">
        <v>2673</v>
      </c>
      <c r="E127" s="31">
        <v>3124606482</v>
      </c>
      <c r="F127" s="32" t="s">
        <v>2674</v>
      </c>
      <c r="G127" s="29">
        <v>516</v>
      </c>
      <c r="H127" s="29">
        <v>334</v>
      </c>
      <c r="I127" s="33">
        <v>432057</v>
      </c>
      <c r="J127" s="29">
        <v>0</v>
      </c>
      <c r="K127" s="29">
        <v>0</v>
      </c>
      <c r="L127" s="34">
        <v>0</v>
      </c>
    </row>
    <row r="128" spans="1:12" ht="30" x14ac:dyDescent="0.25">
      <c r="A128" s="35" t="s">
        <v>2675</v>
      </c>
      <c r="B128" s="29"/>
      <c r="C128" s="35" t="s">
        <v>2676</v>
      </c>
      <c r="D128" s="30" t="s">
        <v>2677</v>
      </c>
      <c r="E128" s="40">
        <v>3102253916</v>
      </c>
      <c r="F128" s="38" t="s">
        <v>2678</v>
      </c>
      <c r="G128" s="29">
        <v>516</v>
      </c>
      <c r="H128" s="29">
        <v>334</v>
      </c>
      <c r="I128" s="33">
        <v>588836</v>
      </c>
      <c r="J128" s="29">
        <v>0</v>
      </c>
      <c r="K128" s="29">
        <v>0</v>
      </c>
      <c r="L128" s="34">
        <v>0</v>
      </c>
    </row>
    <row r="129" spans="1:12" ht="45" x14ac:dyDescent="0.25">
      <c r="A129" s="35" t="s">
        <v>2679</v>
      </c>
      <c r="B129" s="29"/>
      <c r="C129" s="35" t="s">
        <v>2680</v>
      </c>
      <c r="D129" s="30" t="s">
        <v>2681</v>
      </c>
      <c r="E129" s="47">
        <v>3108448151</v>
      </c>
      <c r="F129" s="38" t="s">
        <v>2682</v>
      </c>
      <c r="G129" s="29">
        <v>516</v>
      </c>
      <c r="H129" s="29">
        <v>334</v>
      </c>
      <c r="I129" s="33">
        <f>706450+432057</f>
        <v>1138507</v>
      </c>
      <c r="J129" s="29">
        <v>0</v>
      </c>
      <c r="K129" s="29">
        <v>0</v>
      </c>
      <c r="L129" s="34">
        <v>0</v>
      </c>
    </row>
    <row r="130" spans="1:12" ht="30" x14ac:dyDescent="0.25">
      <c r="A130" s="35" t="s">
        <v>2683</v>
      </c>
      <c r="B130" s="29"/>
      <c r="C130" s="35" t="s">
        <v>2684</v>
      </c>
      <c r="D130" s="30" t="s">
        <v>2685</v>
      </c>
      <c r="E130" s="40">
        <v>3239850526</v>
      </c>
      <c r="F130" s="38" t="s">
        <v>2686</v>
      </c>
      <c r="G130" s="29">
        <v>516</v>
      </c>
      <c r="H130" s="29">
        <v>334</v>
      </c>
      <c r="I130" s="33">
        <v>432057</v>
      </c>
      <c r="J130" s="29">
        <v>0</v>
      </c>
      <c r="K130" s="29">
        <v>0</v>
      </c>
      <c r="L130" s="34">
        <v>0</v>
      </c>
    </row>
    <row r="131" spans="1:12" x14ac:dyDescent="0.25">
      <c r="A131" s="35" t="s">
        <v>2687</v>
      </c>
      <c r="B131" s="29"/>
      <c r="C131" s="35" t="s">
        <v>2688</v>
      </c>
      <c r="D131" s="30" t="s">
        <v>2689</v>
      </c>
      <c r="E131" s="31">
        <v>3203753076</v>
      </c>
      <c r="F131" s="32" t="s">
        <v>2690</v>
      </c>
      <c r="G131" s="29">
        <v>516</v>
      </c>
      <c r="H131" s="29">
        <v>334</v>
      </c>
      <c r="I131" s="45">
        <v>432057</v>
      </c>
      <c r="J131" s="29">
        <v>0</v>
      </c>
      <c r="K131" s="29">
        <v>0</v>
      </c>
      <c r="L131" s="34">
        <v>0</v>
      </c>
    </row>
    <row r="132" spans="1:12" x14ac:dyDescent="0.25">
      <c r="A132" s="28" t="s">
        <v>2691</v>
      </c>
      <c r="B132" s="29"/>
      <c r="C132" s="28" t="s">
        <v>2692</v>
      </c>
      <c r="D132" s="30" t="s">
        <v>2693</v>
      </c>
      <c r="E132" s="31">
        <v>3214171967</v>
      </c>
      <c r="F132" s="32" t="s">
        <v>2530</v>
      </c>
      <c r="G132" s="29">
        <v>516</v>
      </c>
      <c r="H132" s="29">
        <v>334</v>
      </c>
      <c r="I132" s="33">
        <v>706450</v>
      </c>
      <c r="J132" s="29">
        <v>0</v>
      </c>
      <c r="K132" s="29">
        <v>0</v>
      </c>
      <c r="L132" s="34">
        <v>0</v>
      </c>
    </row>
    <row r="133" spans="1:12" x14ac:dyDescent="0.25">
      <c r="A133" s="35" t="s">
        <v>2694</v>
      </c>
      <c r="B133" s="29"/>
      <c r="C133" s="35" t="s">
        <v>2695</v>
      </c>
      <c r="D133" s="30" t="s">
        <v>2696</v>
      </c>
      <c r="E133" s="31">
        <v>3219729330</v>
      </c>
      <c r="F133" s="32" t="s">
        <v>2697</v>
      </c>
      <c r="G133" s="29">
        <v>516</v>
      </c>
      <c r="H133" s="29">
        <v>334</v>
      </c>
      <c r="I133" s="45">
        <f>706450+432057</f>
        <v>1138507</v>
      </c>
      <c r="J133" s="29">
        <v>0</v>
      </c>
      <c r="K133" s="29">
        <v>0</v>
      </c>
      <c r="L133" s="34">
        <v>0</v>
      </c>
    </row>
    <row r="134" spans="1:12" x14ac:dyDescent="0.25">
      <c r="A134" s="43">
        <v>1007376070</v>
      </c>
      <c r="B134" s="29"/>
      <c r="C134" s="43" t="s">
        <v>2698</v>
      </c>
      <c r="D134" s="30" t="s">
        <v>2699</v>
      </c>
      <c r="E134" s="37">
        <v>3222006948</v>
      </c>
      <c r="F134" s="29" t="s">
        <v>2700</v>
      </c>
      <c r="G134" s="29">
        <v>516</v>
      </c>
      <c r="H134" s="29">
        <v>334</v>
      </c>
      <c r="I134" s="45">
        <v>706450</v>
      </c>
      <c r="J134" s="29">
        <v>0</v>
      </c>
      <c r="K134" s="29">
        <v>0</v>
      </c>
      <c r="L134" s="34">
        <v>0</v>
      </c>
    </row>
    <row r="135" spans="1:12" ht="45" x14ac:dyDescent="0.25">
      <c r="A135" s="35">
        <v>1056572087</v>
      </c>
      <c r="B135" s="29"/>
      <c r="C135" s="35" t="s">
        <v>2701</v>
      </c>
      <c r="D135" s="41" t="s">
        <v>2702</v>
      </c>
      <c r="E135" s="37">
        <v>3102982268</v>
      </c>
      <c r="F135" s="38" t="s">
        <v>2703</v>
      </c>
      <c r="G135" s="29">
        <v>516</v>
      </c>
      <c r="H135" s="29">
        <v>334</v>
      </c>
      <c r="I135" s="39">
        <v>588784</v>
      </c>
      <c r="J135" s="29">
        <v>0</v>
      </c>
      <c r="K135" s="29">
        <v>0</v>
      </c>
      <c r="L135" s="34">
        <v>0</v>
      </c>
    </row>
    <row r="136" spans="1:12" ht="30" x14ac:dyDescent="0.25">
      <c r="A136" s="35">
        <v>74130579</v>
      </c>
      <c r="B136" s="29"/>
      <c r="C136" s="35" t="s">
        <v>2704</v>
      </c>
      <c r="D136" s="41" t="s">
        <v>2705</v>
      </c>
      <c r="E136" s="37">
        <v>3214902121</v>
      </c>
      <c r="F136" s="38" t="s">
        <v>2706</v>
      </c>
      <c r="G136" s="29">
        <v>516</v>
      </c>
      <c r="H136" s="29">
        <v>334</v>
      </c>
      <c r="I136" s="39">
        <v>588784</v>
      </c>
      <c r="J136" s="29">
        <v>0</v>
      </c>
      <c r="K136" s="29">
        <v>0</v>
      </c>
      <c r="L136" s="34">
        <v>0</v>
      </c>
    </row>
    <row r="137" spans="1:12" x14ac:dyDescent="0.25">
      <c r="A137" s="35" t="s">
        <v>2707</v>
      </c>
      <c r="B137" s="29"/>
      <c r="C137" s="35" t="s">
        <v>2708</v>
      </c>
      <c r="D137" s="30" t="s">
        <v>2709</v>
      </c>
      <c r="E137" s="40">
        <v>3112804052</v>
      </c>
      <c r="F137" s="38" t="s">
        <v>2710</v>
      </c>
      <c r="G137" s="29">
        <v>516</v>
      </c>
      <c r="H137" s="29">
        <v>334</v>
      </c>
      <c r="I137" s="33">
        <v>706450</v>
      </c>
      <c r="J137" s="29">
        <v>0</v>
      </c>
      <c r="K137" s="29">
        <v>0</v>
      </c>
      <c r="L137" s="34">
        <v>0</v>
      </c>
    </row>
    <row r="138" spans="1:12" x14ac:dyDescent="0.25">
      <c r="A138" s="35">
        <v>74357632</v>
      </c>
      <c r="B138" s="29"/>
      <c r="C138" s="35" t="s">
        <v>2711</v>
      </c>
      <c r="D138" s="41" t="s">
        <v>2712</v>
      </c>
      <c r="E138" s="37">
        <v>3108846189</v>
      </c>
      <c r="F138" s="38" t="s">
        <v>2713</v>
      </c>
      <c r="G138" s="29">
        <v>516</v>
      </c>
      <c r="H138" s="29">
        <v>334</v>
      </c>
      <c r="I138" s="39">
        <f>706446+432057</f>
        <v>1138503</v>
      </c>
      <c r="J138" s="29">
        <v>0</v>
      </c>
      <c r="K138" s="29">
        <v>0</v>
      </c>
      <c r="L138" s="34">
        <v>0</v>
      </c>
    </row>
    <row r="139" spans="1:12" x14ac:dyDescent="0.25">
      <c r="A139" s="43" t="s">
        <v>2714</v>
      </c>
      <c r="B139" s="29"/>
      <c r="C139" s="43" t="s">
        <v>2715</v>
      </c>
      <c r="D139" s="30" t="s">
        <v>2716</v>
      </c>
      <c r="E139" s="31">
        <v>3243479561</v>
      </c>
      <c r="F139" s="32" t="s">
        <v>2717</v>
      </c>
      <c r="G139" s="29">
        <v>516</v>
      </c>
      <c r="H139" s="29">
        <v>334</v>
      </c>
      <c r="I139" s="33">
        <v>432057</v>
      </c>
      <c r="J139" s="29">
        <v>0</v>
      </c>
      <c r="K139" s="29">
        <v>0</v>
      </c>
      <c r="L139" s="34">
        <v>0</v>
      </c>
    </row>
    <row r="140" spans="1:12" x14ac:dyDescent="0.25">
      <c r="A140" s="28" t="s">
        <v>2718</v>
      </c>
      <c r="B140" s="29"/>
      <c r="C140" s="28" t="s">
        <v>2719</v>
      </c>
      <c r="D140" s="30" t="s">
        <v>2720</v>
      </c>
      <c r="E140" s="31">
        <v>3134022645</v>
      </c>
      <c r="F140" s="32" t="s">
        <v>2511</v>
      </c>
      <c r="G140" s="29">
        <v>516</v>
      </c>
      <c r="H140" s="29">
        <v>334</v>
      </c>
      <c r="I140" s="33">
        <v>432057</v>
      </c>
      <c r="J140" s="29">
        <v>0</v>
      </c>
      <c r="K140" s="29">
        <v>0</v>
      </c>
      <c r="L140" s="34">
        <v>0</v>
      </c>
    </row>
    <row r="141" spans="1:12" x14ac:dyDescent="0.25">
      <c r="A141" s="43" t="s">
        <v>2721</v>
      </c>
      <c r="B141" s="29"/>
      <c r="C141" s="43" t="s">
        <v>2722</v>
      </c>
      <c r="D141" s="30" t="s">
        <v>2723</v>
      </c>
      <c r="E141" s="31">
        <v>3143573192</v>
      </c>
      <c r="F141" s="32" t="s">
        <v>2724</v>
      </c>
      <c r="G141" s="29">
        <v>516</v>
      </c>
      <c r="H141" s="29">
        <v>334</v>
      </c>
      <c r="I141" s="33">
        <v>432057</v>
      </c>
      <c r="J141" s="29">
        <v>0</v>
      </c>
      <c r="K141" s="29">
        <v>0</v>
      </c>
      <c r="L141" s="34">
        <v>0</v>
      </c>
    </row>
    <row r="142" spans="1:12" x14ac:dyDescent="0.25">
      <c r="A142" s="43" t="s">
        <v>2725</v>
      </c>
      <c r="B142" s="29"/>
      <c r="C142" s="43" t="s">
        <v>2726</v>
      </c>
      <c r="D142" s="30" t="s">
        <v>2727</v>
      </c>
      <c r="E142" s="31">
        <v>3202153802</v>
      </c>
      <c r="F142" s="32" t="s">
        <v>2728</v>
      </c>
      <c r="G142" s="29">
        <v>516</v>
      </c>
      <c r="H142" s="29">
        <v>334</v>
      </c>
      <c r="I142" s="33">
        <v>706450</v>
      </c>
      <c r="J142" s="29">
        <v>0</v>
      </c>
      <c r="K142" s="29">
        <v>0</v>
      </c>
      <c r="L142" s="34">
        <v>0</v>
      </c>
    </row>
    <row r="143" spans="1:12" x14ac:dyDescent="0.25">
      <c r="A143" s="48">
        <v>4240145</v>
      </c>
      <c r="B143" s="49"/>
      <c r="C143" s="48" t="s">
        <v>2729</v>
      </c>
      <c r="D143" s="50" t="s">
        <v>2730</v>
      </c>
      <c r="E143" s="51">
        <v>3177193664</v>
      </c>
      <c r="F143" s="52" t="s">
        <v>2731</v>
      </c>
      <c r="G143" s="49">
        <v>516</v>
      </c>
      <c r="H143" s="53">
        <v>334</v>
      </c>
      <c r="I143" s="39">
        <v>706446</v>
      </c>
      <c r="J143" s="29">
        <v>0</v>
      </c>
      <c r="K143" s="29">
        <v>0</v>
      </c>
      <c r="L143" s="34">
        <v>0</v>
      </c>
    </row>
    <row r="144" spans="1:12" x14ac:dyDescent="0.25">
      <c r="A144" s="28" t="s">
        <v>2732</v>
      </c>
      <c r="B144" s="29"/>
      <c r="C144" s="28" t="s">
        <v>2733</v>
      </c>
      <c r="D144" s="30" t="s">
        <v>2734</v>
      </c>
      <c r="E144" s="31">
        <v>3203021528</v>
      </c>
      <c r="F144" s="32" t="s">
        <v>2340</v>
      </c>
      <c r="G144" s="29">
        <v>516</v>
      </c>
      <c r="H144" s="29">
        <v>334</v>
      </c>
      <c r="I144" s="33">
        <v>588836</v>
      </c>
      <c r="J144" s="29">
        <v>0</v>
      </c>
      <c r="K144" s="29">
        <v>0</v>
      </c>
      <c r="L144" s="34">
        <v>0</v>
      </c>
    </row>
    <row r="145" spans="1:12" x14ac:dyDescent="0.25">
      <c r="A145" s="43">
        <v>74302547</v>
      </c>
      <c r="B145" s="54"/>
      <c r="C145" s="43" t="s">
        <v>2735</v>
      </c>
      <c r="D145" s="36" t="s">
        <v>2736</v>
      </c>
      <c r="E145" s="55">
        <v>3108695282</v>
      </c>
      <c r="F145" s="54" t="s">
        <v>2737</v>
      </c>
      <c r="G145" s="54">
        <v>516</v>
      </c>
      <c r="H145" s="29">
        <v>334</v>
      </c>
      <c r="I145" s="39">
        <v>324815</v>
      </c>
      <c r="J145" s="29">
        <v>0</v>
      </c>
      <c r="K145" s="29">
        <v>0</v>
      </c>
      <c r="L145" s="34">
        <v>0</v>
      </c>
    </row>
    <row r="146" spans="1:12" x14ac:dyDescent="0.25">
      <c r="A146" s="43">
        <v>4265518</v>
      </c>
      <c r="B146" s="29"/>
      <c r="C146" s="43" t="s">
        <v>2738</v>
      </c>
      <c r="D146" s="30" t="s">
        <v>2739</v>
      </c>
      <c r="E146" s="31">
        <v>3168675545</v>
      </c>
      <c r="F146" s="32" t="s">
        <v>2740</v>
      </c>
      <c r="G146" s="29">
        <v>516</v>
      </c>
      <c r="H146" s="29">
        <v>334</v>
      </c>
      <c r="I146" s="33">
        <f>432057+706450</f>
        <v>1138507</v>
      </c>
      <c r="J146" s="29">
        <v>0</v>
      </c>
      <c r="K146" s="29">
        <v>0</v>
      </c>
      <c r="L146" s="34">
        <v>0</v>
      </c>
    </row>
    <row r="147" spans="1:12" x14ac:dyDescent="0.25">
      <c r="A147" s="43">
        <v>1049628228</v>
      </c>
      <c r="B147" s="29"/>
      <c r="C147" s="43" t="s">
        <v>2741</v>
      </c>
      <c r="D147" s="30" t="s">
        <v>2742</v>
      </c>
      <c r="E147" s="31">
        <v>3004661413</v>
      </c>
      <c r="F147" s="32" t="s">
        <v>2743</v>
      </c>
      <c r="G147" s="29">
        <v>516</v>
      </c>
      <c r="H147" s="29">
        <v>334</v>
      </c>
      <c r="I147" s="33">
        <v>432057</v>
      </c>
      <c r="J147" s="29">
        <v>0</v>
      </c>
      <c r="K147" s="29">
        <v>0</v>
      </c>
      <c r="L147" s="34">
        <v>0</v>
      </c>
    </row>
    <row r="148" spans="1:12" x14ac:dyDescent="0.25">
      <c r="A148" s="28" t="s">
        <v>2744</v>
      </c>
      <c r="B148" s="29"/>
      <c r="C148" s="28" t="s">
        <v>2745</v>
      </c>
      <c r="D148" s="30" t="s">
        <v>2746</v>
      </c>
      <c r="E148" s="31">
        <v>322337527</v>
      </c>
      <c r="F148" s="32" t="s">
        <v>2747</v>
      </c>
      <c r="G148" s="29">
        <v>516</v>
      </c>
      <c r="H148" s="29">
        <v>334</v>
      </c>
      <c r="I148" s="33">
        <v>706450</v>
      </c>
      <c r="J148" s="29">
        <v>0</v>
      </c>
      <c r="K148" s="29">
        <v>0</v>
      </c>
      <c r="L148" s="34">
        <v>0</v>
      </c>
    </row>
    <row r="149" spans="1:12" ht="30" x14ac:dyDescent="0.25">
      <c r="A149" s="35">
        <v>1053604166</v>
      </c>
      <c r="B149" s="29"/>
      <c r="C149" s="35" t="s">
        <v>2748</v>
      </c>
      <c r="D149" s="36" t="s">
        <v>2749</v>
      </c>
      <c r="E149" s="37">
        <v>3133893786</v>
      </c>
      <c r="F149" s="38" t="s">
        <v>2750</v>
      </c>
      <c r="G149" s="29">
        <v>516</v>
      </c>
      <c r="H149" s="29">
        <v>334</v>
      </c>
      <c r="I149" s="39">
        <v>706450</v>
      </c>
      <c r="J149" s="29">
        <v>0</v>
      </c>
      <c r="K149" s="29">
        <v>0</v>
      </c>
      <c r="L149" s="34">
        <v>0</v>
      </c>
    </row>
    <row r="150" spans="1:12" x14ac:dyDescent="0.25">
      <c r="A150" s="28">
        <v>4192255</v>
      </c>
      <c r="B150" s="29"/>
      <c r="C150" s="28" t="s">
        <v>2751</v>
      </c>
      <c r="D150" s="30" t="s">
        <v>2752</v>
      </c>
      <c r="E150" s="37">
        <v>3143335868</v>
      </c>
      <c r="F150" s="29" t="s">
        <v>2753</v>
      </c>
      <c r="G150" s="29">
        <v>516</v>
      </c>
      <c r="H150" s="29">
        <v>334</v>
      </c>
      <c r="I150" s="45">
        <v>432057</v>
      </c>
      <c r="J150" s="29">
        <v>0</v>
      </c>
      <c r="K150" s="29">
        <v>0</v>
      </c>
      <c r="L150" s="34">
        <v>0</v>
      </c>
    </row>
    <row r="151" spans="1:12" x14ac:dyDescent="0.25">
      <c r="A151" s="28" t="s">
        <v>2754</v>
      </c>
      <c r="B151" s="29"/>
      <c r="C151" s="28" t="s">
        <v>2755</v>
      </c>
      <c r="D151" s="30" t="s">
        <v>2756</v>
      </c>
      <c r="E151" s="31">
        <v>3023548434</v>
      </c>
      <c r="F151" s="32" t="s">
        <v>2757</v>
      </c>
      <c r="G151" s="29">
        <v>516</v>
      </c>
      <c r="H151" s="29">
        <v>334</v>
      </c>
      <c r="I151" s="33">
        <v>706450</v>
      </c>
      <c r="J151" s="29">
        <v>0</v>
      </c>
      <c r="K151" s="29">
        <v>0</v>
      </c>
      <c r="L151" s="34">
        <v>0</v>
      </c>
    </row>
    <row r="152" spans="1:12" x14ac:dyDescent="0.25">
      <c r="A152" s="28" t="s">
        <v>2758</v>
      </c>
      <c r="B152" s="29"/>
      <c r="C152" s="28" t="s">
        <v>2759</v>
      </c>
      <c r="D152" s="30" t="s">
        <v>2760</v>
      </c>
      <c r="E152" s="31">
        <v>3145617889</v>
      </c>
      <c r="F152" s="32" t="s">
        <v>2761</v>
      </c>
      <c r="G152" s="29">
        <v>516</v>
      </c>
      <c r="H152" s="29">
        <v>334</v>
      </c>
      <c r="I152" s="33">
        <v>432057</v>
      </c>
      <c r="J152" s="29">
        <v>0</v>
      </c>
      <c r="K152" s="29">
        <v>0</v>
      </c>
      <c r="L152" s="34">
        <v>0</v>
      </c>
    </row>
    <row r="153" spans="1:12" x14ac:dyDescent="0.25">
      <c r="A153" s="28">
        <v>1052390692</v>
      </c>
      <c r="B153" s="29"/>
      <c r="C153" s="28" t="s">
        <v>2762</v>
      </c>
      <c r="D153" s="30" t="s">
        <v>2763</v>
      </c>
      <c r="E153" s="31">
        <v>3227331085</v>
      </c>
      <c r="F153" s="32" t="s">
        <v>2764</v>
      </c>
      <c r="G153" s="29">
        <v>516</v>
      </c>
      <c r="H153" s="29">
        <v>334</v>
      </c>
      <c r="I153" s="33">
        <v>588836</v>
      </c>
      <c r="J153" s="29">
        <v>0</v>
      </c>
      <c r="K153" s="29">
        <v>0</v>
      </c>
      <c r="L153" s="34">
        <v>0</v>
      </c>
    </row>
    <row r="154" spans="1:12" ht="30" x14ac:dyDescent="0.25">
      <c r="A154" s="28">
        <v>1000728092</v>
      </c>
      <c r="B154" s="29"/>
      <c r="C154" s="28" t="s">
        <v>2765</v>
      </c>
      <c r="D154" s="36" t="s">
        <v>2766</v>
      </c>
      <c r="E154" s="37">
        <v>3144243422</v>
      </c>
      <c r="F154" s="38" t="s">
        <v>2767</v>
      </c>
      <c r="G154" s="29">
        <v>516</v>
      </c>
      <c r="H154" s="29">
        <v>334</v>
      </c>
      <c r="I154" s="39">
        <v>432057</v>
      </c>
      <c r="J154" s="29">
        <v>0</v>
      </c>
      <c r="K154" s="29">
        <v>0</v>
      </c>
      <c r="L154" s="34">
        <v>0</v>
      </c>
    </row>
    <row r="155" spans="1:12" x14ac:dyDescent="0.25">
      <c r="A155" s="35" t="s">
        <v>2768</v>
      </c>
      <c r="B155" s="29"/>
      <c r="C155" s="35" t="s">
        <v>2769</v>
      </c>
      <c r="D155" s="30" t="s">
        <v>2770</v>
      </c>
      <c r="E155" s="40">
        <v>3214278362</v>
      </c>
      <c r="F155" s="38" t="s">
        <v>2771</v>
      </c>
      <c r="G155" s="29">
        <v>516</v>
      </c>
      <c r="H155" s="29">
        <v>334</v>
      </c>
      <c r="I155" s="33">
        <v>432057</v>
      </c>
      <c r="J155" s="29">
        <v>0</v>
      </c>
      <c r="K155" s="29">
        <v>0</v>
      </c>
      <c r="L155" s="34">
        <v>0</v>
      </c>
    </row>
    <row r="156" spans="1:12" x14ac:dyDescent="0.25">
      <c r="A156" s="43">
        <v>1051068368</v>
      </c>
      <c r="B156" s="29"/>
      <c r="C156" s="43" t="s">
        <v>2772</v>
      </c>
      <c r="D156" s="30" t="s">
        <v>2773</v>
      </c>
      <c r="E156" s="31">
        <v>3132460414</v>
      </c>
      <c r="F156" s="32" t="s">
        <v>2774</v>
      </c>
      <c r="G156" s="29">
        <v>516</v>
      </c>
      <c r="H156" s="29">
        <v>334</v>
      </c>
      <c r="I156" s="33">
        <v>588836</v>
      </c>
      <c r="J156" s="29">
        <v>0</v>
      </c>
      <c r="K156" s="29">
        <v>0</v>
      </c>
      <c r="L156" s="34">
        <v>0</v>
      </c>
    </row>
    <row r="157" spans="1:12" x14ac:dyDescent="0.25">
      <c r="A157" s="28">
        <v>1053604968</v>
      </c>
      <c r="B157" s="29"/>
      <c r="C157" s="28" t="s">
        <v>2775</v>
      </c>
      <c r="D157" s="36" t="s">
        <v>2776</v>
      </c>
      <c r="E157" s="37">
        <v>3132205427</v>
      </c>
      <c r="F157" s="38" t="s">
        <v>734</v>
      </c>
      <c r="G157" s="29">
        <v>516</v>
      </c>
      <c r="H157" s="29">
        <v>334</v>
      </c>
      <c r="I157" s="39">
        <v>706446</v>
      </c>
      <c r="J157" s="29">
        <v>0</v>
      </c>
      <c r="K157" s="29">
        <v>0</v>
      </c>
      <c r="L157" s="34">
        <v>0</v>
      </c>
    </row>
    <row r="158" spans="1:12" x14ac:dyDescent="0.25">
      <c r="A158" s="43" t="s">
        <v>2777</v>
      </c>
      <c r="B158" s="29"/>
      <c r="C158" s="43" t="s">
        <v>2778</v>
      </c>
      <c r="D158" s="30" t="s">
        <v>2779</v>
      </c>
      <c r="E158" s="31">
        <v>3026662401</v>
      </c>
      <c r="F158" s="32" t="s">
        <v>2780</v>
      </c>
      <c r="G158" s="29">
        <v>516</v>
      </c>
      <c r="H158" s="29">
        <v>334</v>
      </c>
      <c r="I158" s="33">
        <v>432057</v>
      </c>
      <c r="J158" s="29">
        <v>0</v>
      </c>
      <c r="K158" s="29">
        <v>0</v>
      </c>
      <c r="L158" s="34">
        <v>0</v>
      </c>
    </row>
    <row r="159" spans="1:12" ht="30" x14ac:dyDescent="0.25">
      <c r="A159" s="35">
        <v>1051064261</v>
      </c>
      <c r="B159" s="29"/>
      <c r="C159" s="35" t="s">
        <v>2781</v>
      </c>
      <c r="D159" s="36" t="s">
        <v>2782</v>
      </c>
      <c r="E159" s="37">
        <v>3112322945</v>
      </c>
      <c r="F159" s="38" t="s">
        <v>2783</v>
      </c>
      <c r="G159" s="29">
        <v>516</v>
      </c>
      <c r="H159" s="29">
        <v>334</v>
      </c>
      <c r="I159" s="39">
        <v>432057</v>
      </c>
      <c r="J159" s="29">
        <v>0</v>
      </c>
      <c r="K159" s="29">
        <v>0</v>
      </c>
      <c r="L159" s="34">
        <v>0</v>
      </c>
    </row>
    <row r="160" spans="1:12" x14ac:dyDescent="0.25">
      <c r="A160" s="35" t="s">
        <v>2784</v>
      </c>
      <c r="B160" s="29"/>
      <c r="C160" s="35" t="s">
        <v>2785</v>
      </c>
      <c r="D160" s="30" t="s">
        <v>2786</v>
      </c>
      <c r="E160" s="40">
        <v>3104801094</v>
      </c>
      <c r="F160" s="38" t="s">
        <v>2787</v>
      </c>
      <c r="G160" s="29">
        <v>516</v>
      </c>
      <c r="H160" s="29">
        <v>334</v>
      </c>
      <c r="I160" s="33">
        <v>588836</v>
      </c>
      <c r="J160" s="29">
        <v>0</v>
      </c>
      <c r="K160" s="29">
        <v>0</v>
      </c>
      <c r="L160" s="34">
        <v>0</v>
      </c>
    </row>
    <row r="161" spans="1:12" x14ac:dyDescent="0.25">
      <c r="A161" s="28">
        <v>1050606651</v>
      </c>
      <c r="B161" s="29"/>
      <c r="C161" s="28" t="s">
        <v>2788</v>
      </c>
      <c r="D161" s="36" t="s">
        <v>2789</v>
      </c>
      <c r="E161" s="37">
        <v>3118548114</v>
      </c>
      <c r="F161" s="38" t="s">
        <v>2790</v>
      </c>
      <c r="G161" s="29">
        <v>516</v>
      </c>
      <c r="H161" s="29">
        <v>334</v>
      </c>
      <c r="I161" s="39">
        <v>588784</v>
      </c>
      <c r="J161" s="29">
        <v>0</v>
      </c>
      <c r="K161" s="29">
        <v>0</v>
      </c>
      <c r="L161" s="34">
        <v>0</v>
      </c>
    </row>
    <row r="162" spans="1:12" ht="30" x14ac:dyDescent="0.25">
      <c r="A162" s="35">
        <v>1053612686</v>
      </c>
      <c r="B162" s="29"/>
      <c r="C162" s="35" t="s">
        <v>2791</v>
      </c>
      <c r="D162" s="41" t="s">
        <v>2792</v>
      </c>
      <c r="E162" s="37">
        <v>3232419675</v>
      </c>
      <c r="F162" s="38" t="s">
        <v>2793</v>
      </c>
      <c r="G162" s="29">
        <v>516</v>
      </c>
      <c r="H162" s="29">
        <v>334</v>
      </c>
      <c r="I162" s="39">
        <v>706446</v>
      </c>
      <c r="J162" s="29">
        <v>0</v>
      </c>
      <c r="K162" s="29">
        <v>0</v>
      </c>
      <c r="L162" s="34">
        <v>0</v>
      </c>
    </row>
    <row r="163" spans="1:12" x14ac:dyDescent="0.25">
      <c r="A163" s="28">
        <v>4192405</v>
      </c>
      <c r="B163" s="29"/>
      <c r="C163" s="28" t="s">
        <v>2794</v>
      </c>
      <c r="D163" s="30" t="s">
        <v>2795</v>
      </c>
      <c r="E163" s="31">
        <v>3162711118</v>
      </c>
      <c r="F163" s="32" t="s">
        <v>2796</v>
      </c>
      <c r="G163" s="29">
        <v>516</v>
      </c>
      <c r="H163" s="29">
        <v>334</v>
      </c>
      <c r="I163" s="33">
        <v>706450</v>
      </c>
      <c r="J163" s="29">
        <v>0</v>
      </c>
      <c r="K163" s="29">
        <v>0</v>
      </c>
      <c r="L163" s="34">
        <v>0</v>
      </c>
    </row>
    <row r="164" spans="1:12" x14ac:dyDescent="0.25">
      <c r="A164" s="43">
        <v>1002538722</v>
      </c>
      <c r="B164" s="29"/>
      <c r="C164" s="43" t="s">
        <v>2797</v>
      </c>
      <c r="D164" s="30" t="s">
        <v>2798</v>
      </c>
      <c r="E164" s="37">
        <v>3232120527</v>
      </c>
      <c r="F164" s="29" t="s">
        <v>2799</v>
      </c>
      <c r="G164" s="29">
        <v>516</v>
      </c>
      <c r="H164" s="29">
        <v>334</v>
      </c>
      <c r="I164" s="45">
        <v>432057</v>
      </c>
      <c r="J164" s="29">
        <v>0</v>
      </c>
      <c r="K164" s="29">
        <v>0</v>
      </c>
      <c r="L164" s="34">
        <v>0</v>
      </c>
    </row>
    <row r="165" spans="1:12" x14ac:dyDescent="0.25">
      <c r="A165" s="35">
        <v>1057579891</v>
      </c>
      <c r="B165" s="29"/>
      <c r="C165" s="35" t="s">
        <v>2800</v>
      </c>
      <c r="D165" s="30" t="s">
        <v>2801</v>
      </c>
      <c r="E165" s="56" t="s">
        <v>2802</v>
      </c>
      <c r="F165" s="57" t="s">
        <v>2803</v>
      </c>
      <c r="G165" s="29">
        <v>516</v>
      </c>
      <c r="H165" s="29">
        <v>334</v>
      </c>
      <c r="I165" s="33">
        <v>588836</v>
      </c>
      <c r="J165" s="29">
        <v>0</v>
      </c>
      <c r="K165" s="29">
        <v>0</v>
      </c>
      <c r="L165" s="34">
        <v>0</v>
      </c>
    </row>
    <row r="166" spans="1:12" ht="30" x14ac:dyDescent="0.25">
      <c r="A166" s="35" t="s">
        <v>2804</v>
      </c>
      <c r="B166" s="29"/>
      <c r="C166" s="35" t="s">
        <v>2805</v>
      </c>
      <c r="D166" s="30" t="s">
        <v>2806</v>
      </c>
      <c r="E166" s="40">
        <v>3154041076</v>
      </c>
      <c r="F166" s="38" t="s">
        <v>2807</v>
      </c>
      <c r="G166" s="29">
        <v>516</v>
      </c>
      <c r="H166" s="29">
        <v>334</v>
      </c>
      <c r="I166" s="33">
        <v>432057</v>
      </c>
      <c r="J166" s="29">
        <v>0</v>
      </c>
      <c r="K166" s="29">
        <v>0</v>
      </c>
      <c r="L166" s="34">
        <v>0</v>
      </c>
    </row>
    <row r="167" spans="1:12" ht="30" x14ac:dyDescent="0.25">
      <c r="A167" s="35" t="s">
        <v>2808</v>
      </c>
      <c r="B167" s="29"/>
      <c r="C167" s="35" t="s">
        <v>2809</v>
      </c>
      <c r="D167" s="30" t="s">
        <v>2810</v>
      </c>
      <c r="E167" s="58">
        <v>3223343346</v>
      </c>
      <c r="F167" s="38" t="s">
        <v>2811</v>
      </c>
      <c r="G167" s="29">
        <v>516</v>
      </c>
      <c r="H167" s="29">
        <v>334</v>
      </c>
      <c r="I167" s="33">
        <f>706450+432057</f>
        <v>1138507</v>
      </c>
      <c r="J167" s="29">
        <v>0</v>
      </c>
      <c r="K167" s="29">
        <v>0</v>
      </c>
      <c r="L167" s="34">
        <v>0</v>
      </c>
    </row>
    <row r="168" spans="1:12" x14ac:dyDescent="0.25">
      <c r="A168" s="35">
        <v>1052836591</v>
      </c>
      <c r="B168" s="29"/>
      <c r="C168" s="35" t="s">
        <v>2812</v>
      </c>
      <c r="D168" s="41" t="s">
        <v>2813</v>
      </c>
      <c r="E168" s="56">
        <v>3228971115</v>
      </c>
      <c r="F168" s="59" t="s">
        <v>2814</v>
      </c>
      <c r="G168" s="29">
        <v>516</v>
      </c>
      <c r="H168" s="29">
        <v>334</v>
      </c>
      <c r="I168" s="39">
        <v>588784</v>
      </c>
      <c r="J168" s="29">
        <v>0</v>
      </c>
      <c r="K168" s="29">
        <v>0</v>
      </c>
      <c r="L168" s="34">
        <v>0</v>
      </c>
    </row>
    <row r="169" spans="1:12" x14ac:dyDescent="0.25">
      <c r="A169" s="35" t="s">
        <v>2815</v>
      </c>
      <c r="B169" s="29"/>
      <c r="C169" s="35" t="s">
        <v>2816</v>
      </c>
      <c r="D169" s="30" t="s">
        <v>2817</v>
      </c>
      <c r="E169" s="60">
        <v>3204585016</v>
      </c>
      <c r="F169" s="61" t="s">
        <v>2818</v>
      </c>
      <c r="G169" s="29">
        <v>516</v>
      </c>
      <c r="H169" s="29">
        <v>334</v>
      </c>
      <c r="I169" s="33">
        <v>706450</v>
      </c>
      <c r="J169" s="29">
        <v>0</v>
      </c>
      <c r="K169" s="29">
        <v>0</v>
      </c>
      <c r="L169" s="34">
        <v>0</v>
      </c>
    </row>
    <row r="170" spans="1:12" x14ac:dyDescent="0.25">
      <c r="A170" s="35" t="s">
        <v>2819</v>
      </c>
      <c r="B170" s="29"/>
      <c r="C170" s="35" t="s">
        <v>2820</v>
      </c>
      <c r="D170" s="30" t="s">
        <v>2821</v>
      </c>
      <c r="E170" s="60">
        <v>3108401089</v>
      </c>
      <c r="F170" s="61" t="s">
        <v>2822</v>
      </c>
      <c r="G170" s="29">
        <v>516</v>
      </c>
      <c r="H170" s="29">
        <v>334</v>
      </c>
      <c r="I170" s="33">
        <f>432057+588836</f>
        <v>1020893</v>
      </c>
      <c r="J170" s="29">
        <v>0</v>
      </c>
      <c r="K170" s="29">
        <v>0</v>
      </c>
      <c r="L170" s="34">
        <v>0</v>
      </c>
    </row>
    <row r="171" spans="1:12" ht="30" x14ac:dyDescent="0.25">
      <c r="A171" s="35">
        <v>74433811</v>
      </c>
      <c r="B171" s="29"/>
      <c r="C171" s="35" t="s">
        <v>2823</v>
      </c>
      <c r="D171" s="36" t="s">
        <v>2824</v>
      </c>
      <c r="E171" s="62">
        <v>3114669028</v>
      </c>
      <c r="F171" s="61" t="s">
        <v>2825</v>
      </c>
      <c r="G171" s="29">
        <v>516</v>
      </c>
      <c r="H171" s="29">
        <v>334</v>
      </c>
      <c r="I171" s="39">
        <v>432057</v>
      </c>
      <c r="J171" s="29">
        <v>0</v>
      </c>
      <c r="K171" s="29">
        <v>0</v>
      </c>
      <c r="L171" s="34">
        <v>0</v>
      </c>
    </row>
    <row r="172" spans="1:12" x14ac:dyDescent="0.25">
      <c r="A172" s="28">
        <v>1052837123</v>
      </c>
      <c r="B172" s="29"/>
      <c r="C172" s="28" t="s">
        <v>2826</v>
      </c>
      <c r="D172" s="30" t="s">
        <v>2827</v>
      </c>
      <c r="E172" s="31">
        <v>3144355820</v>
      </c>
      <c r="F172" s="32" t="s">
        <v>2828</v>
      </c>
      <c r="G172" s="29">
        <v>516</v>
      </c>
      <c r="H172" s="29">
        <v>334</v>
      </c>
      <c r="I172" s="33">
        <f>432057+706450</f>
        <v>1138507</v>
      </c>
      <c r="J172" s="29">
        <v>0</v>
      </c>
      <c r="K172" s="29">
        <v>0</v>
      </c>
      <c r="L172" s="34">
        <v>0</v>
      </c>
    </row>
    <row r="173" spans="1:12" x14ac:dyDescent="0.25">
      <c r="A173" s="43">
        <v>1050602919</v>
      </c>
      <c r="B173" s="29"/>
      <c r="C173" s="43" t="s">
        <v>2829</v>
      </c>
      <c r="D173" s="30" t="s">
        <v>2830</v>
      </c>
      <c r="E173" s="56">
        <v>3136033060</v>
      </c>
      <c r="F173" s="57" t="s">
        <v>2831</v>
      </c>
      <c r="G173" s="29">
        <v>516</v>
      </c>
      <c r="H173" s="29">
        <v>334</v>
      </c>
      <c r="I173" s="45">
        <v>588836</v>
      </c>
      <c r="J173" s="29">
        <v>0</v>
      </c>
      <c r="K173" s="29">
        <v>0</v>
      </c>
      <c r="L173" s="34">
        <v>0</v>
      </c>
    </row>
    <row r="174" spans="1:12" x14ac:dyDescent="0.25">
      <c r="A174" s="43">
        <v>1058354575</v>
      </c>
      <c r="B174" s="29"/>
      <c r="C174" s="43" t="s">
        <v>2832</v>
      </c>
      <c r="D174" s="30" t="s">
        <v>2833</v>
      </c>
      <c r="E174" s="63">
        <v>3228646485</v>
      </c>
      <c r="F174" s="64" t="s">
        <v>2834</v>
      </c>
      <c r="G174" s="29">
        <v>516</v>
      </c>
      <c r="H174" s="29">
        <v>334</v>
      </c>
      <c r="I174" s="33">
        <v>588836</v>
      </c>
      <c r="J174" s="29">
        <v>0</v>
      </c>
      <c r="K174" s="29">
        <v>0</v>
      </c>
      <c r="L174" s="34">
        <v>0</v>
      </c>
    </row>
    <row r="175" spans="1:12" x14ac:dyDescent="0.25">
      <c r="A175" s="28">
        <v>1050603717</v>
      </c>
      <c r="B175" s="29"/>
      <c r="C175" s="28" t="s">
        <v>2835</v>
      </c>
      <c r="D175" s="30" t="s">
        <v>2836</v>
      </c>
      <c r="E175" s="62">
        <v>3125592736</v>
      </c>
      <c r="F175" s="61" t="s">
        <v>2837</v>
      </c>
      <c r="G175" s="29">
        <v>516</v>
      </c>
      <c r="H175" s="29">
        <v>334</v>
      </c>
      <c r="I175" s="45">
        <v>706450</v>
      </c>
      <c r="J175" s="29">
        <v>0</v>
      </c>
      <c r="K175" s="29">
        <v>0</v>
      </c>
      <c r="L175" s="34">
        <v>0</v>
      </c>
    </row>
    <row r="176" spans="1:12" x14ac:dyDescent="0.25">
      <c r="A176" s="28">
        <v>1002364859</v>
      </c>
      <c r="B176" s="29"/>
      <c r="C176" s="28" t="s">
        <v>2838</v>
      </c>
      <c r="D176" s="30" t="s">
        <v>2839</v>
      </c>
      <c r="E176" s="65">
        <v>3118525655</v>
      </c>
      <c r="F176" s="66" t="s">
        <v>2840</v>
      </c>
      <c r="G176" s="29">
        <v>516</v>
      </c>
      <c r="H176" s="29">
        <v>334</v>
      </c>
      <c r="I176" s="33">
        <f>432057+706450</f>
        <v>1138507</v>
      </c>
      <c r="J176" s="29">
        <v>0</v>
      </c>
      <c r="K176" s="29">
        <v>0</v>
      </c>
      <c r="L176" s="34">
        <v>0</v>
      </c>
    </row>
    <row r="177" spans="1:12" x14ac:dyDescent="0.25">
      <c r="A177" s="28">
        <v>1016953194</v>
      </c>
      <c r="B177" s="29"/>
      <c r="C177" s="28" t="s">
        <v>2841</v>
      </c>
      <c r="D177" s="30" t="s">
        <v>2842</v>
      </c>
      <c r="E177" s="31">
        <v>3235873400</v>
      </c>
      <c r="F177" s="64" t="s">
        <v>2843</v>
      </c>
      <c r="G177" s="29">
        <v>516</v>
      </c>
      <c r="H177" s="29">
        <v>334</v>
      </c>
      <c r="I177" s="33">
        <v>432057</v>
      </c>
      <c r="J177" s="29">
        <v>0</v>
      </c>
      <c r="K177" s="29">
        <v>0</v>
      </c>
      <c r="L177" s="34">
        <v>0</v>
      </c>
    </row>
    <row r="178" spans="1:12" ht="30" x14ac:dyDescent="0.25">
      <c r="A178" s="35">
        <v>1002394846</v>
      </c>
      <c r="B178" s="29"/>
      <c r="C178" s="35" t="s">
        <v>2844</v>
      </c>
      <c r="D178" s="41" t="s">
        <v>2845</v>
      </c>
      <c r="E178" s="56">
        <v>3132737551</v>
      </c>
      <c r="F178" s="38" t="s">
        <v>2846</v>
      </c>
      <c r="G178" s="29">
        <v>516</v>
      </c>
      <c r="H178" s="29">
        <v>334</v>
      </c>
      <c r="I178" s="39">
        <v>588784</v>
      </c>
      <c r="J178" s="29">
        <v>0</v>
      </c>
      <c r="K178" s="29">
        <v>0</v>
      </c>
      <c r="L178" s="34">
        <v>0</v>
      </c>
    </row>
    <row r="179" spans="1:12" x14ac:dyDescent="0.25">
      <c r="A179" s="35">
        <v>1193593652</v>
      </c>
      <c r="B179" s="29"/>
      <c r="C179" s="35" t="s">
        <v>2847</v>
      </c>
      <c r="D179" s="30" t="s">
        <v>2848</v>
      </c>
      <c r="E179" s="56">
        <v>3183199552</v>
      </c>
      <c r="F179" s="29" t="s">
        <v>2279</v>
      </c>
      <c r="G179" s="29">
        <v>516</v>
      </c>
      <c r="H179" s="29">
        <v>334</v>
      </c>
      <c r="I179" s="33">
        <f>588836+432057</f>
        <v>1020893</v>
      </c>
      <c r="J179" s="29">
        <v>0</v>
      </c>
      <c r="K179" s="29">
        <v>0</v>
      </c>
      <c r="L179" s="34">
        <v>0</v>
      </c>
    </row>
    <row r="180" spans="1:12" ht="30" x14ac:dyDescent="0.25">
      <c r="A180" s="35" t="s">
        <v>2849</v>
      </c>
      <c r="B180" s="29"/>
      <c r="C180" s="35" t="s">
        <v>2850</v>
      </c>
      <c r="D180" s="30" t="s">
        <v>2851</v>
      </c>
      <c r="E180" s="67">
        <v>3023635269</v>
      </c>
      <c r="F180" s="59" t="s">
        <v>2852</v>
      </c>
      <c r="G180" s="29">
        <v>516</v>
      </c>
      <c r="H180" s="29">
        <v>334</v>
      </c>
      <c r="I180" s="33">
        <v>432057</v>
      </c>
      <c r="J180" s="29">
        <v>0</v>
      </c>
      <c r="K180" s="29">
        <v>0</v>
      </c>
      <c r="L180" s="34">
        <v>0</v>
      </c>
    </row>
    <row r="181" spans="1:12" ht="45" x14ac:dyDescent="0.25">
      <c r="A181" s="35">
        <v>1055332807</v>
      </c>
      <c r="B181" s="29"/>
      <c r="C181" s="35" t="s">
        <v>2853</v>
      </c>
      <c r="D181" s="36" t="s">
        <v>2854</v>
      </c>
      <c r="E181" s="56">
        <v>3125657861</v>
      </c>
      <c r="F181" s="59" t="s">
        <v>2855</v>
      </c>
      <c r="G181" s="29">
        <v>516</v>
      </c>
      <c r="H181" s="29">
        <v>334</v>
      </c>
      <c r="I181" s="39">
        <f>588836+432057</f>
        <v>1020893</v>
      </c>
      <c r="J181" s="29">
        <v>0</v>
      </c>
      <c r="K181" s="29">
        <v>0</v>
      </c>
      <c r="L181" s="34">
        <v>0</v>
      </c>
    </row>
    <row r="182" spans="1:12" x14ac:dyDescent="0.25">
      <c r="A182" s="28">
        <v>1125229269</v>
      </c>
      <c r="B182" s="29"/>
      <c r="C182" s="28" t="s">
        <v>2856</v>
      </c>
      <c r="D182" s="30" t="s">
        <v>2857</v>
      </c>
      <c r="E182" s="63">
        <v>3016293651</v>
      </c>
      <c r="F182" s="64" t="s">
        <v>2858</v>
      </c>
      <c r="G182" s="29">
        <v>516</v>
      </c>
      <c r="H182" s="29">
        <v>334</v>
      </c>
      <c r="I182" s="33">
        <v>588836</v>
      </c>
      <c r="J182" s="29">
        <v>0</v>
      </c>
      <c r="K182" s="29">
        <v>0</v>
      </c>
      <c r="L182" s="34">
        <v>0</v>
      </c>
    </row>
    <row r="183" spans="1:12" x14ac:dyDescent="0.25">
      <c r="A183" s="35" t="s">
        <v>2859</v>
      </c>
      <c r="B183" s="29"/>
      <c r="C183" s="35" t="s">
        <v>2860</v>
      </c>
      <c r="D183" s="30" t="s">
        <v>2861</v>
      </c>
      <c r="E183" s="67">
        <v>3133457235</v>
      </c>
      <c r="F183" s="59" t="s">
        <v>2862</v>
      </c>
      <c r="G183" s="29">
        <v>516</v>
      </c>
      <c r="H183" s="29">
        <v>334</v>
      </c>
      <c r="I183" s="33">
        <v>432057</v>
      </c>
      <c r="J183" s="29">
        <v>0</v>
      </c>
      <c r="K183" s="29">
        <v>0</v>
      </c>
      <c r="L183" s="34">
        <v>0</v>
      </c>
    </row>
    <row r="184" spans="1:12" x14ac:dyDescent="0.25">
      <c r="A184" s="43" t="s">
        <v>2863</v>
      </c>
      <c r="B184" s="29"/>
      <c r="C184" s="43" t="s">
        <v>2864</v>
      </c>
      <c r="D184" s="30" t="s">
        <v>2865</v>
      </c>
      <c r="E184" s="31">
        <v>3107997307</v>
      </c>
      <c r="F184" s="32" t="s">
        <v>2866</v>
      </c>
      <c r="G184" s="29">
        <v>516</v>
      </c>
      <c r="H184" s="29">
        <v>334</v>
      </c>
      <c r="I184" s="33">
        <v>432057</v>
      </c>
      <c r="J184" s="29">
        <v>0</v>
      </c>
      <c r="K184" s="29">
        <v>0</v>
      </c>
      <c r="L184" s="34">
        <v>0</v>
      </c>
    </row>
    <row r="185" spans="1:12" x14ac:dyDescent="0.25">
      <c r="A185" s="28" t="s">
        <v>2867</v>
      </c>
      <c r="B185" s="29"/>
      <c r="C185" s="28" t="s">
        <v>2868</v>
      </c>
      <c r="D185" s="30" t="s">
        <v>2869</v>
      </c>
      <c r="E185" s="31">
        <v>3023556656</v>
      </c>
      <c r="F185" s="32" t="s">
        <v>2613</v>
      </c>
      <c r="G185" s="29">
        <v>516</v>
      </c>
      <c r="H185" s="29">
        <v>334</v>
      </c>
      <c r="I185" s="33">
        <v>706450</v>
      </c>
      <c r="J185" s="29">
        <v>0</v>
      </c>
      <c r="K185" s="29">
        <v>0</v>
      </c>
      <c r="L185" s="34">
        <v>0</v>
      </c>
    </row>
    <row r="186" spans="1:12" x14ac:dyDescent="0.25">
      <c r="A186" s="28" t="s">
        <v>2870</v>
      </c>
      <c r="B186" s="29"/>
      <c r="C186" s="28" t="s">
        <v>2871</v>
      </c>
      <c r="D186" s="30" t="s">
        <v>2872</v>
      </c>
      <c r="E186" s="63">
        <v>3136444058</v>
      </c>
      <c r="F186" s="64" t="s">
        <v>2458</v>
      </c>
      <c r="G186" s="29">
        <v>516</v>
      </c>
      <c r="H186" s="29">
        <v>334</v>
      </c>
      <c r="I186" s="33">
        <v>706450</v>
      </c>
      <c r="J186" s="29">
        <v>0</v>
      </c>
      <c r="K186" s="29">
        <v>0</v>
      </c>
      <c r="L186" s="34">
        <v>0</v>
      </c>
    </row>
    <row r="187" spans="1:12" ht="30" x14ac:dyDescent="0.25">
      <c r="A187" s="35">
        <v>1002528230</v>
      </c>
      <c r="B187" s="29"/>
      <c r="C187" s="35" t="s">
        <v>2873</v>
      </c>
      <c r="D187" s="36" t="s">
        <v>2874</v>
      </c>
      <c r="E187" s="56">
        <v>3142007859</v>
      </c>
      <c r="F187" s="59" t="s">
        <v>2875</v>
      </c>
      <c r="G187" s="29">
        <v>516</v>
      </c>
      <c r="H187" s="29">
        <v>334</v>
      </c>
      <c r="I187" s="39">
        <v>706450</v>
      </c>
      <c r="J187" s="29">
        <v>0</v>
      </c>
      <c r="K187" s="29">
        <v>0</v>
      </c>
      <c r="L187" s="34">
        <v>0</v>
      </c>
    </row>
    <row r="188" spans="1:12" x14ac:dyDescent="0.25">
      <c r="A188" s="43" t="s">
        <v>2876</v>
      </c>
      <c r="B188" s="29"/>
      <c r="C188" s="43" t="s">
        <v>2877</v>
      </c>
      <c r="D188" s="30" t="s">
        <v>2878</v>
      </c>
      <c r="E188" s="65">
        <v>3103436344</v>
      </c>
      <c r="F188" s="66" t="s">
        <v>2879</v>
      </c>
      <c r="G188" s="29">
        <v>516</v>
      </c>
      <c r="H188" s="29">
        <v>334</v>
      </c>
      <c r="I188" s="33">
        <v>588836</v>
      </c>
      <c r="J188" s="29">
        <v>0</v>
      </c>
      <c r="K188" s="29">
        <v>0</v>
      </c>
      <c r="L188" s="34">
        <v>0</v>
      </c>
    </row>
    <row r="189" spans="1:12" ht="45" x14ac:dyDescent="0.25">
      <c r="A189" s="35">
        <v>1053608623</v>
      </c>
      <c r="B189" s="29"/>
      <c r="C189" s="35" t="s">
        <v>2880</v>
      </c>
      <c r="D189" s="41" t="s">
        <v>2881</v>
      </c>
      <c r="E189" s="62">
        <v>3133702572</v>
      </c>
      <c r="F189" s="61" t="s">
        <v>2882</v>
      </c>
      <c r="G189" s="29">
        <v>516</v>
      </c>
      <c r="H189" s="29">
        <v>334</v>
      </c>
      <c r="I189" s="39">
        <f>706446</f>
        <v>706446</v>
      </c>
      <c r="J189" s="29">
        <v>0</v>
      </c>
      <c r="K189" s="29">
        <v>0</v>
      </c>
      <c r="L189" s="34">
        <v>0</v>
      </c>
    </row>
    <row r="190" spans="1:12" x14ac:dyDescent="0.25">
      <c r="A190" s="28" t="s">
        <v>2883</v>
      </c>
      <c r="B190" s="29"/>
      <c r="C190" s="28" t="s">
        <v>2884</v>
      </c>
      <c r="D190" s="30" t="s">
        <v>2885</v>
      </c>
      <c r="E190" s="65">
        <v>3218042494</v>
      </c>
      <c r="F190" s="66" t="s">
        <v>2886</v>
      </c>
      <c r="G190" s="29">
        <v>516</v>
      </c>
      <c r="H190" s="29">
        <v>334</v>
      </c>
      <c r="I190" s="33">
        <v>432057</v>
      </c>
      <c r="J190" s="29">
        <v>0</v>
      </c>
      <c r="K190" s="29">
        <v>0</v>
      </c>
      <c r="L190" s="34">
        <v>0</v>
      </c>
    </row>
    <row r="191" spans="1:12" ht="30" x14ac:dyDescent="0.25">
      <c r="A191" s="35">
        <v>1050200652</v>
      </c>
      <c r="B191" s="29"/>
      <c r="C191" s="35" t="s">
        <v>2887</v>
      </c>
      <c r="D191" s="36" t="s">
        <v>2888</v>
      </c>
      <c r="E191" s="62">
        <v>3112218416</v>
      </c>
      <c r="F191" s="61" t="s">
        <v>2889</v>
      </c>
      <c r="G191" s="29">
        <v>516</v>
      </c>
      <c r="H191" s="29">
        <v>334</v>
      </c>
      <c r="I191" s="39">
        <v>432057</v>
      </c>
      <c r="J191" s="29">
        <v>0</v>
      </c>
      <c r="K191" s="29">
        <v>0</v>
      </c>
      <c r="L191" s="34">
        <v>0</v>
      </c>
    </row>
    <row r="192" spans="1:12" x14ac:dyDescent="0.25">
      <c r="A192" s="43" t="s">
        <v>2890</v>
      </c>
      <c r="B192" s="29"/>
      <c r="C192" s="43" t="s">
        <v>2891</v>
      </c>
      <c r="D192" s="30" t="s">
        <v>2892</v>
      </c>
      <c r="E192" s="65">
        <v>3204552974</v>
      </c>
      <c r="F192" s="66" t="s">
        <v>2893</v>
      </c>
      <c r="G192" s="29">
        <v>516</v>
      </c>
      <c r="H192" s="29">
        <v>334</v>
      </c>
      <c r="I192" s="33">
        <v>432057</v>
      </c>
      <c r="J192" s="29">
        <v>0</v>
      </c>
      <c r="K192" s="29">
        <v>0</v>
      </c>
      <c r="L192" s="34">
        <v>0</v>
      </c>
    </row>
    <row r="193" spans="1:12" ht="30" x14ac:dyDescent="0.25">
      <c r="A193" s="35">
        <v>23855871</v>
      </c>
      <c r="B193" s="29"/>
      <c r="C193" s="35" t="s">
        <v>2894</v>
      </c>
      <c r="D193" s="41" t="s">
        <v>2895</v>
      </c>
      <c r="E193" s="62">
        <v>3125844712</v>
      </c>
      <c r="F193" s="61" t="s">
        <v>2450</v>
      </c>
      <c r="G193" s="29">
        <v>516</v>
      </c>
      <c r="H193" s="29">
        <v>334</v>
      </c>
      <c r="I193" s="39">
        <v>588784</v>
      </c>
      <c r="J193" s="29">
        <v>0</v>
      </c>
      <c r="K193" s="29">
        <v>0</v>
      </c>
      <c r="L193" s="34">
        <v>0</v>
      </c>
    </row>
    <row r="194" spans="1:12" x14ac:dyDescent="0.25">
      <c r="A194" s="28" t="s">
        <v>2896</v>
      </c>
      <c r="B194" s="29"/>
      <c r="C194" s="28" t="s">
        <v>2897</v>
      </c>
      <c r="D194" s="30" t="s">
        <v>2898</v>
      </c>
      <c r="E194" s="65">
        <v>3122953160</v>
      </c>
      <c r="F194" s="66" t="s">
        <v>2621</v>
      </c>
      <c r="G194" s="29">
        <v>516</v>
      </c>
      <c r="H194" s="29">
        <v>334</v>
      </c>
      <c r="I194" s="33">
        <f>588836+432057</f>
        <v>1020893</v>
      </c>
      <c r="J194" s="29">
        <v>0</v>
      </c>
      <c r="K194" s="29">
        <v>0</v>
      </c>
      <c r="L194" s="34">
        <v>0</v>
      </c>
    </row>
    <row r="195" spans="1:12" x14ac:dyDescent="0.25">
      <c r="A195" s="28" t="s">
        <v>2899</v>
      </c>
      <c r="B195" s="29"/>
      <c r="C195" s="28" t="s">
        <v>2900</v>
      </c>
      <c r="D195" s="68" t="s">
        <v>2901</v>
      </c>
      <c r="E195" s="65">
        <v>3228438564</v>
      </c>
      <c r="F195" s="66" t="s">
        <v>2902</v>
      </c>
      <c r="G195" s="29">
        <v>516</v>
      </c>
      <c r="H195" s="29">
        <v>334</v>
      </c>
      <c r="I195" s="33">
        <v>1020893</v>
      </c>
      <c r="J195" s="29">
        <v>0</v>
      </c>
      <c r="K195" s="29">
        <v>0</v>
      </c>
      <c r="L195" s="34">
        <v>0</v>
      </c>
    </row>
    <row r="196" spans="1:12" x14ac:dyDescent="0.25">
      <c r="A196" s="43" t="s">
        <v>2903</v>
      </c>
      <c r="B196" s="29"/>
      <c r="C196" s="43" t="s">
        <v>2904</v>
      </c>
      <c r="D196" s="30" t="s">
        <v>2905</v>
      </c>
      <c r="E196" s="65">
        <v>3013388000</v>
      </c>
      <c r="F196" s="64" t="s">
        <v>2906</v>
      </c>
      <c r="G196" s="29">
        <v>516</v>
      </c>
      <c r="H196" s="29">
        <v>334</v>
      </c>
      <c r="I196" s="33">
        <v>432057</v>
      </c>
      <c r="J196" s="29">
        <v>0</v>
      </c>
      <c r="K196" s="29">
        <v>0</v>
      </c>
      <c r="L196" s="34">
        <v>0</v>
      </c>
    </row>
    <row r="197" spans="1:12" ht="30" x14ac:dyDescent="0.25">
      <c r="A197" s="43">
        <v>1002551588</v>
      </c>
      <c r="B197" s="29"/>
      <c r="C197" s="43" t="s">
        <v>2907</v>
      </c>
      <c r="D197" s="30" t="s">
        <v>2908</v>
      </c>
      <c r="E197" s="62">
        <v>3142191353</v>
      </c>
      <c r="F197" s="61" t="s">
        <v>2909</v>
      </c>
      <c r="G197" s="29">
        <v>516</v>
      </c>
      <c r="H197" s="29">
        <v>334</v>
      </c>
      <c r="I197" s="45">
        <v>432057</v>
      </c>
      <c r="J197" s="29">
        <v>0</v>
      </c>
      <c r="K197" s="29">
        <v>0</v>
      </c>
      <c r="L197" s="34">
        <v>0</v>
      </c>
    </row>
    <row r="198" spans="1:12" ht="45" x14ac:dyDescent="0.25">
      <c r="A198" s="28">
        <v>4287449</v>
      </c>
      <c r="B198" s="29"/>
      <c r="C198" s="28" t="s">
        <v>2910</v>
      </c>
      <c r="D198" s="36" t="s">
        <v>2911</v>
      </c>
      <c r="E198" s="62">
        <v>3104762410</v>
      </c>
      <c r="F198" s="69" t="s">
        <v>2912</v>
      </c>
      <c r="G198" s="29">
        <v>516</v>
      </c>
      <c r="H198" s="29">
        <v>334</v>
      </c>
      <c r="I198" s="39">
        <v>588784</v>
      </c>
      <c r="J198" s="29">
        <v>0</v>
      </c>
      <c r="K198" s="29">
        <v>0</v>
      </c>
      <c r="L198" s="34">
        <v>0</v>
      </c>
    </row>
    <row r="199" spans="1:12" x14ac:dyDescent="0.25">
      <c r="A199" s="28">
        <v>1052389459</v>
      </c>
      <c r="B199" s="29"/>
      <c r="C199" s="28" t="s">
        <v>2913</v>
      </c>
      <c r="D199" s="30" t="s">
        <v>2914</v>
      </c>
      <c r="E199" s="62">
        <v>3102463387</v>
      </c>
      <c r="F199" s="70" t="s">
        <v>2915</v>
      </c>
      <c r="G199" s="29">
        <v>516</v>
      </c>
      <c r="H199" s="29">
        <v>334</v>
      </c>
      <c r="I199" s="45">
        <v>588836</v>
      </c>
      <c r="J199" s="29">
        <v>0</v>
      </c>
      <c r="K199" s="29">
        <v>0</v>
      </c>
      <c r="L199" s="34">
        <v>0</v>
      </c>
    </row>
    <row r="200" spans="1:12" x14ac:dyDescent="0.25">
      <c r="A200" s="28">
        <v>1053606747</v>
      </c>
      <c r="B200" s="29"/>
      <c r="C200" s="28" t="s">
        <v>2916</v>
      </c>
      <c r="D200" s="30" t="s">
        <v>2917</v>
      </c>
      <c r="E200" s="65">
        <v>3212162012</v>
      </c>
      <c r="F200" s="66" t="s">
        <v>2918</v>
      </c>
      <c r="G200" s="29">
        <v>516</v>
      </c>
      <c r="H200" s="29">
        <v>334</v>
      </c>
      <c r="I200" s="33">
        <v>588836</v>
      </c>
      <c r="J200" s="29">
        <v>0</v>
      </c>
      <c r="K200" s="29">
        <v>0</v>
      </c>
      <c r="L200" s="34">
        <v>0</v>
      </c>
    </row>
    <row r="201" spans="1:12" x14ac:dyDescent="0.25">
      <c r="A201" s="35" t="s">
        <v>2919</v>
      </c>
      <c r="B201" s="29"/>
      <c r="C201" s="35" t="s">
        <v>2920</v>
      </c>
      <c r="D201" s="30" t="s">
        <v>2921</v>
      </c>
      <c r="E201" s="63">
        <v>3246816580</v>
      </c>
      <c r="F201" s="64" t="s">
        <v>2922</v>
      </c>
      <c r="G201" s="29">
        <v>516</v>
      </c>
      <c r="H201" s="29">
        <v>334</v>
      </c>
      <c r="I201" s="45">
        <v>588836</v>
      </c>
      <c r="J201" s="29">
        <v>0</v>
      </c>
      <c r="K201" s="29">
        <v>0</v>
      </c>
      <c r="L201" s="34">
        <v>0</v>
      </c>
    </row>
    <row r="202" spans="1:12" x14ac:dyDescent="0.25">
      <c r="A202" s="35" t="s">
        <v>2923</v>
      </c>
      <c r="B202" s="29"/>
      <c r="C202" s="35" t="s">
        <v>2924</v>
      </c>
      <c r="D202" s="30" t="s">
        <v>2925</v>
      </c>
      <c r="E202" s="63">
        <v>3229751773</v>
      </c>
      <c r="F202" s="71" t="s">
        <v>2926</v>
      </c>
      <c r="G202" s="29">
        <v>516</v>
      </c>
      <c r="H202" s="29">
        <v>334</v>
      </c>
      <c r="I202" s="45">
        <v>588836</v>
      </c>
      <c r="J202" s="29">
        <v>0</v>
      </c>
      <c r="K202" s="29">
        <v>0</v>
      </c>
      <c r="L202" s="34">
        <v>0</v>
      </c>
    </row>
    <row r="203" spans="1:12" ht="45" x14ac:dyDescent="0.25">
      <c r="A203" s="35" t="s">
        <v>2927</v>
      </c>
      <c r="B203" s="29"/>
      <c r="C203" s="35" t="s">
        <v>2928</v>
      </c>
      <c r="D203" s="30" t="s">
        <v>2929</v>
      </c>
      <c r="E203" s="67">
        <v>3209043444</v>
      </c>
      <c r="F203" s="59" t="s">
        <v>2930</v>
      </c>
      <c r="G203" s="29">
        <v>516</v>
      </c>
      <c r="H203" s="29">
        <v>334</v>
      </c>
      <c r="I203" s="33">
        <v>706450</v>
      </c>
      <c r="J203" s="29">
        <v>0</v>
      </c>
      <c r="K203" s="29">
        <v>0</v>
      </c>
      <c r="L203" s="34">
        <v>0</v>
      </c>
    </row>
    <row r="204" spans="1:12" x14ac:dyDescent="0.25">
      <c r="A204" s="28">
        <v>52252950</v>
      </c>
      <c r="B204" s="29"/>
      <c r="C204" s="28" t="s">
        <v>2931</v>
      </c>
      <c r="D204" s="30" t="s">
        <v>2932</v>
      </c>
      <c r="E204" s="63">
        <v>3213217847</v>
      </c>
      <c r="F204" s="64" t="s">
        <v>2933</v>
      </c>
      <c r="G204" s="29">
        <v>516</v>
      </c>
      <c r="H204" s="29">
        <v>334</v>
      </c>
      <c r="I204" s="33">
        <v>588836</v>
      </c>
      <c r="J204" s="29">
        <v>0</v>
      </c>
      <c r="K204" s="29">
        <v>0</v>
      </c>
      <c r="L204" s="34">
        <v>0</v>
      </c>
    </row>
    <row r="205" spans="1:12" x14ac:dyDescent="0.25">
      <c r="A205" s="28">
        <v>52507030</v>
      </c>
      <c r="B205" s="29"/>
      <c r="C205" s="28" t="s">
        <v>2934</v>
      </c>
      <c r="D205" s="30" t="s">
        <v>2935</v>
      </c>
      <c r="E205" s="31">
        <v>3118992938</v>
      </c>
      <c r="F205" s="64" t="s">
        <v>2717</v>
      </c>
      <c r="G205" s="29">
        <v>516</v>
      </c>
      <c r="H205" s="29">
        <v>334</v>
      </c>
      <c r="I205" s="33">
        <v>706450</v>
      </c>
      <c r="J205" s="29">
        <v>0</v>
      </c>
      <c r="K205" s="29">
        <v>0</v>
      </c>
      <c r="L205" s="34">
        <v>0</v>
      </c>
    </row>
    <row r="206" spans="1:12" x14ac:dyDescent="0.25">
      <c r="A206" s="35" t="s">
        <v>2936</v>
      </c>
      <c r="B206" s="29"/>
      <c r="C206" s="35" t="s">
        <v>2937</v>
      </c>
      <c r="D206" s="30" t="s">
        <v>2938</v>
      </c>
      <c r="E206" s="67">
        <v>3213984759</v>
      </c>
      <c r="F206" s="59" t="s">
        <v>2939</v>
      </c>
      <c r="G206" s="29">
        <v>516</v>
      </c>
      <c r="H206" s="29">
        <v>334</v>
      </c>
      <c r="I206" s="33">
        <v>706450</v>
      </c>
      <c r="J206" s="29">
        <v>0</v>
      </c>
      <c r="K206" s="29">
        <v>0</v>
      </c>
      <c r="L206" s="34">
        <v>0</v>
      </c>
    </row>
    <row r="207" spans="1:12" ht="30" x14ac:dyDescent="0.25">
      <c r="A207" s="35" t="s">
        <v>2940</v>
      </c>
      <c r="B207" s="29"/>
      <c r="C207" s="35" t="s">
        <v>2941</v>
      </c>
      <c r="D207" s="30" t="s">
        <v>2942</v>
      </c>
      <c r="E207" s="40">
        <v>3168564047</v>
      </c>
      <c r="F207" s="59" t="s">
        <v>2717</v>
      </c>
      <c r="G207" s="29">
        <v>516</v>
      </c>
      <c r="H207" s="29">
        <v>334</v>
      </c>
      <c r="I207" s="33">
        <v>706450</v>
      </c>
      <c r="J207" s="29">
        <v>0</v>
      </c>
      <c r="K207" s="29">
        <v>0</v>
      </c>
      <c r="L207" s="34">
        <v>0</v>
      </c>
    </row>
    <row r="208" spans="1:12" x14ac:dyDescent="0.25">
      <c r="A208" s="35" t="s">
        <v>2943</v>
      </c>
      <c r="B208" s="29"/>
      <c r="C208" s="35" t="s">
        <v>2944</v>
      </c>
      <c r="D208" s="30" t="s">
        <v>2945</v>
      </c>
      <c r="E208" s="67">
        <v>3118856731</v>
      </c>
      <c r="F208" s="59" t="s">
        <v>2946</v>
      </c>
      <c r="G208" s="29">
        <v>516</v>
      </c>
      <c r="H208" s="29">
        <v>334</v>
      </c>
      <c r="I208" s="33">
        <v>588836</v>
      </c>
      <c r="J208" s="29">
        <v>0</v>
      </c>
      <c r="K208" s="29">
        <v>0</v>
      </c>
      <c r="L208" s="34">
        <v>0</v>
      </c>
    </row>
    <row r="209" spans="1:12" x14ac:dyDescent="0.25">
      <c r="A209" s="35" t="s">
        <v>2947</v>
      </c>
      <c r="B209" s="29"/>
      <c r="C209" s="35" t="s">
        <v>2948</v>
      </c>
      <c r="D209" s="30" t="s">
        <v>2949</v>
      </c>
      <c r="E209" s="67">
        <v>3057514870</v>
      </c>
      <c r="F209" s="59" t="s">
        <v>2950</v>
      </c>
      <c r="G209" s="29">
        <v>516</v>
      </c>
      <c r="H209" s="29">
        <v>334</v>
      </c>
      <c r="I209" s="33">
        <v>588836</v>
      </c>
      <c r="J209" s="29">
        <v>0</v>
      </c>
      <c r="K209" s="29">
        <v>0</v>
      </c>
      <c r="L209" s="34">
        <v>0</v>
      </c>
    </row>
    <row r="210" spans="1:12" x14ac:dyDescent="0.25">
      <c r="A210" s="43" t="s">
        <v>2951</v>
      </c>
      <c r="B210" s="29"/>
      <c r="C210" s="43" t="s">
        <v>2952</v>
      </c>
      <c r="D210" s="30" t="s">
        <v>2953</v>
      </c>
      <c r="E210" s="31">
        <v>3223015940</v>
      </c>
      <c r="F210" s="64" t="s">
        <v>2954</v>
      </c>
      <c r="G210" s="29">
        <v>516</v>
      </c>
      <c r="H210" s="29">
        <v>334</v>
      </c>
      <c r="I210" s="33">
        <v>432057</v>
      </c>
      <c r="J210" s="29">
        <v>0</v>
      </c>
      <c r="K210" s="29">
        <v>0</v>
      </c>
      <c r="L210" s="34">
        <v>0</v>
      </c>
    </row>
    <row r="211" spans="1:12" x14ac:dyDescent="0.25">
      <c r="A211" s="35">
        <v>23856055</v>
      </c>
      <c r="B211" s="29"/>
      <c r="C211" s="35" t="s">
        <v>2955</v>
      </c>
      <c r="D211" s="36" t="s">
        <v>2365</v>
      </c>
      <c r="E211" s="56">
        <v>3204845406</v>
      </c>
      <c r="F211" s="59" t="s">
        <v>2956</v>
      </c>
      <c r="G211" s="29">
        <v>516</v>
      </c>
      <c r="H211" s="29">
        <v>334</v>
      </c>
      <c r="I211" s="39">
        <v>432057</v>
      </c>
      <c r="J211" s="29">
        <v>0</v>
      </c>
      <c r="K211" s="29">
        <v>0</v>
      </c>
      <c r="L211" s="34">
        <v>0</v>
      </c>
    </row>
    <row r="212" spans="1:12" x14ac:dyDescent="0.25">
      <c r="A212" s="43" t="s">
        <v>2957</v>
      </c>
      <c r="B212" s="29"/>
      <c r="C212" s="43" t="s">
        <v>2958</v>
      </c>
      <c r="D212" s="30" t="s">
        <v>2959</v>
      </c>
      <c r="E212" s="63">
        <v>3202523873</v>
      </c>
      <c r="F212" s="64" t="s">
        <v>2960</v>
      </c>
      <c r="G212" s="29">
        <v>516</v>
      </c>
      <c r="H212" s="29">
        <v>334</v>
      </c>
      <c r="I212" s="33">
        <v>588836</v>
      </c>
      <c r="J212" s="29">
        <v>0</v>
      </c>
      <c r="K212" s="29">
        <v>0</v>
      </c>
      <c r="L212" s="34">
        <v>0</v>
      </c>
    </row>
    <row r="213" spans="1:12" x14ac:dyDescent="0.25">
      <c r="A213" s="43">
        <v>1053607708</v>
      </c>
      <c r="B213" s="29"/>
      <c r="C213" s="43" t="s">
        <v>2961</v>
      </c>
      <c r="D213" s="30" t="s">
        <v>2962</v>
      </c>
      <c r="E213" s="65">
        <v>3175212490</v>
      </c>
      <c r="F213" s="66" t="s">
        <v>2963</v>
      </c>
      <c r="G213" s="29">
        <v>516</v>
      </c>
      <c r="H213" s="29">
        <v>334</v>
      </c>
      <c r="I213" s="33">
        <v>706450</v>
      </c>
      <c r="J213" s="29">
        <v>0</v>
      </c>
      <c r="K213" s="29">
        <v>0</v>
      </c>
      <c r="L213" s="34">
        <v>0</v>
      </c>
    </row>
    <row r="214" spans="1:12" ht="45" x14ac:dyDescent="0.25">
      <c r="A214" s="35" t="s">
        <v>2964</v>
      </c>
      <c r="B214" s="29"/>
      <c r="C214" s="35" t="s">
        <v>2965</v>
      </c>
      <c r="D214" s="30" t="s">
        <v>2966</v>
      </c>
      <c r="E214" s="40" t="s">
        <v>2967</v>
      </c>
      <c r="F214" s="61" t="s">
        <v>2968</v>
      </c>
      <c r="G214" s="29">
        <v>516</v>
      </c>
      <c r="H214" s="29">
        <v>334</v>
      </c>
      <c r="I214" s="33">
        <v>432057</v>
      </c>
      <c r="J214" s="29">
        <v>0</v>
      </c>
      <c r="K214" s="29">
        <v>0</v>
      </c>
      <c r="L214" s="34">
        <v>0</v>
      </c>
    </row>
    <row r="215" spans="1:12" x14ac:dyDescent="0.25">
      <c r="A215" s="43" t="s">
        <v>2969</v>
      </c>
      <c r="B215" s="29"/>
      <c r="C215" s="43" t="s">
        <v>2970</v>
      </c>
      <c r="D215" s="30" t="s">
        <v>2971</v>
      </c>
      <c r="E215" s="63">
        <v>3132508706</v>
      </c>
      <c r="F215" s="71" t="s">
        <v>2972</v>
      </c>
      <c r="G215" s="29">
        <v>516</v>
      </c>
      <c r="H215" s="29">
        <v>334</v>
      </c>
      <c r="I215" s="33">
        <v>432057</v>
      </c>
      <c r="J215" s="29">
        <v>0</v>
      </c>
      <c r="K215" s="29">
        <v>0</v>
      </c>
      <c r="L215" s="34">
        <v>0</v>
      </c>
    </row>
    <row r="216" spans="1:12" x14ac:dyDescent="0.25">
      <c r="A216" s="35">
        <v>1010051361</v>
      </c>
      <c r="B216" s="29"/>
      <c r="C216" s="35" t="s">
        <v>2973</v>
      </c>
      <c r="D216" s="36" t="s">
        <v>2974</v>
      </c>
      <c r="E216" s="56">
        <v>3214507353</v>
      </c>
      <c r="F216" s="59" t="s">
        <v>2975</v>
      </c>
      <c r="G216" s="29">
        <v>516</v>
      </c>
      <c r="H216" s="29">
        <v>334</v>
      </c>
      <c r="I216" s="39">
        <f>706446+432057</f>
        <v>1138503</v>
      </c>
      <c r="J216" s="29">
        <v>0</v>
      </c>
      <c r="K216" s="29">
        <v>0</v>
      </c>
      <c r="L216" s="34">
        <v>0</v>
      </c>
    </row>
    <row r="217" spans="1:12" ht="30" x14ac:dyDescent="0.25">
      <c r="A217" s="35" t="s">
        <v>2976</v>
      </c>
      <c r="B217" s="29"/>
      <c r="C217" s="35" t="s">
        <v>2977</v>
      </c>
      <c r="D217" s="30" t="s">
        <v>2978</v>
      </c>
      <c r="E217" s="67">
        <v>3133862079</v>
      </c>
      <c r="F217" s="59" t="s">
        <v>2979</v>
      </c>
      <c r="G217" s="29">
        <v>516</v>
      </c>
      <c r="H217" s="29">
        <v>334</v>
      </c>
      <c r="I217" s="33">
        <v>706450</v>
      </c>
      <c r="J217" s="29">
        <v>0</v>
      </c>
      <c r="K217" s="29">
        <v>0</v>
      </c>
      <c r="L217" s="34">
        <v>0</v>
      </c>
    </row>
    <row r="218" spans="1:12" ht="45" x14ac:dyDescent="0.25">
      <c r="A218" s="35" t="s">
        <v>2980</v>
      </c>
      <c r="B218" s="29"/>
      <c r="C218" s="35" t="s">
        <v>2981</v>
      </c>
      <c r="D218" s="30" t="s">
        <v>2982</v>
      </c>
      <c r="E218" s="58">
        <v>3213963120</v>
      </c>
      <c r="F218" s="59" t="s">
        <v>2983</v>
      </c>
      <c r="G218" s="29">
        <v>516</v>
      </c>
      <c r="H218" s="29">
        <v>334</v>
      </c>
      <c r="I218" s="33">
        <v>588836</v>
      </c>
      <c r="J218" s="29">
        <v>0</v>
      </c>
      <c r="K218" s="29">
        <v>0</v>
      </c>
      <c r="L218" s="34">
        <v>0</v>
      </c>
    </row>
    <row r="219" spans="1:12" ht="30" x14ac:dyDescent="0.25">
      <c r="A219" s="35">
        <v>1002538678</v>
      </c>
      <c r="B219" s="29"/>
      <c r="C219" s="35" t="s">
        <v>2984</v>
      </c>
      <c r="D219" s="36" t="s">
        <v>2985</v>
      </c>
      <c r="E219" s="56">
        <v>3212176509</v>
      </c>
      <c r="F219" s="59" t="s">
        <v>2393</v>
      </c>
      <c r="G219" s="29">
        <v>516</v>
      </c>
      <c r="H219" s="29">
        <v>334</v>
      </c>
      <c r="I219" s="39">
        <v>706450</v>
      </c>
      <c r="J219" s="29">
        <v>0</v>
      </c>
      <c r="K219" s="29">
        <v>0</v>
      </c>
      <c r="L219" s="34">
        <v>0</v>
      </c>
    </row>
    <row r="220" spans="1:12" x14ac:dyDescent="0.25">
      <c r="A220" s="43">
        <v>1053443113</v>
      </c>
      <c r="B220" s="29"/>
      <c r="C220" s="43" t="s">
        <v>2986</v>
      </c>
      <c r="D220" s="30" t="s">
        <v>2987</v>
      </c>
      <c r="E220" s="63">
        <v>3118350625</v>
      </c>
      <c r="F220" s="64" t="s">
        <v>2988</v>
      </c>
      <c r="G220" s="29">
        <v>516</v>
      </c>
      <c r="H220" s="29">
        <v>334</v>
      </c>
      <c r="I220" s="33">
        <v>706450</v>
      </c>
      <c r="J220" s="29">
        <v>0</v>
      </c>
      <c r="K220" s="29">
        <v>0</v>
      </c>
      <c r="L220" s="34">
        <v>0</v>
      </c>
    </row>
    <row r="221" spans="1:12" x14ac:dyDescent="0.25">
      <c r="A221" s="28" t="s">
        <v>2989</v>
      </c>
      <c r="B221" s="29"/>
      <c r="C221" s="28" t="s">
        <v>2990</v>
      </c>
      <c r="D221" s="30" t="s">
        <v>2991</v>
      </c>
      <c r="E221" s="65">
        <v>3024810910</v>
      </c>
      <c r="F221" s="66" t="s">
        <v>2992</v>
      </c>
      <c r="G221" s="29">
        <v>516</v>
      </c>
      <c r="H221" s="29">
        <v>334</v>
      </c>
      <c r="I221" s="33">
        <f>588836+706450</f>
        <v>1295286</v>
      </c>
      <c r="J221" s="29">
        <v>0</v>
      </c>
      <c r="K221" s="29">
        <v>0</v>
      </c>
      <c r="L221" s="34">
        <v>0</v>
      </c>
    </row>
    <row r="222" spans="1:12" x14ac:dyDescent="0.25">
      <c r="A222" s="35">
        <v>46682750</v>
      </c>
      <c r="B222" s="29"/>
      <c r="C222" s="35" t="s">
        <v>2993</v>
      </c>
      <c r="D222" s="41" t="s">
        <v>2994</v>
      </c>
      <c r="E222" s="62">
        <v>3124734863</v>
      </c>
      <c r="F222" s="59" t="s">
        <v>2995</v>
      </c>
      <c r="G222" s="29">
        <v>516</v>
      </c>
      <c r="H222" s="29">
        <v>334</v>
      </c>
      <c r="I222" s="39">
        <v>588784</v>
      </c>
      <c r="J222" s="29">
        <v>0</v>
      </c>
      <c r="K222" s="29">
        <v>0</v>
      </c>
      <c r="L222" s="34">
        <v>0</v>
      </c>
    </row>
    <row r="223" spans="1:12" x14ac:dyDescent="0.25">
      <c r="A223" s="28" t="s">
        <v>2996</v>
      </c>
      <c r="B223" s="29"/>
      <c r="C223" s="28" t="s">
        <v>2997</v>
      </c>
      <c r="D223" s="30" t="s">
        <v>2998</v>
      </c>
      <c r="E223" s="56">
        <v>3142779801</v>
      </c>
      <c r="F223" s="71" t="s">
        <v>2999</v>
      </c>
      <c r="G223" s="29">
        <v>516</v>
      </c>
      <c r="H223" s="29">
        <v>334</v>
      </c>
      <c r="I223" s="33">
        <v>588836</v>
      </c>
      <c r="J223" s="29">
        <v>0</v>
      </c>
      <c r="K223" s="29">
        <v>0</v>
      </c>
      <c r="L223" s="34">
        <v>0</v>
      </c>
    </row>
    <row r="224" spans="1:12" ht="30" x14ac:dyDescent="0.25">
      <c r="A224" s="35">
        <v>23589035</v>
      </c>
      <c r="B224" s="29"/>
      <c r="C224" s="35" t="s">
        <v>3000</v>
      </c>
      <c r="D224" s="36" t="s">
        <v>3001</v>
      </c>
      <c r="E224" s="56">
        <v>3125386332</v>
      </c>
      <c r="F224" s="59" t="s">
        <v>3002</v>
      </c>
      <c r="G224" s="29">
        <v>516</v>
      </c>
      <c r="H224" s="29">
        <v>334</v>
      </c>
      <c r="I224" s="39">
        <v>588836</v>
      </c>
      <c r="J224" s="29">
        <v>0</v>
      </c>
      <c r="K224" s="29">
        <v>0</v>
      </c>
      <c r="L224" s="34">
        <v>0</v>
      </c>
    </row>
    <row r="225" spans="1:12" x14ac:dyDescent="0.25">
      <c r="A225" s="43">
        <v>1002551361</v>
      </c>
      <c r="B225" s="29"/>
      <c r="C225" s="43" t="s">
        <v>3003</v>
      </c>
      <c r="D225" s="30" t="s">
        <v>3004</v>
      </c>
      <c r="E225" s="63">
        <v>3144664307</v>
      </c>
      <c r="F225" s="64" t="s">
        <v>3005</v>
      </c>
      <c r="G225" s="29">
        <v>516</v>
      </c>
      <c r="H225" s="29">
        <v>334</v>
      </c>
      <c r="I225" s="33">
        <v>588836</v>
      </c>
      <c r="J225" s="29">
        <v>0</v>
      </c>
      <c r="K225" s="29">
        <v>0</v>
      </c>
      <c r="L225" s="34">
        <v>0</v>
      </c>
    </row>
    <row r="226" spans="1:12" x14ac:dyDescent="0.25">
      <c r="A226" s="35" t="s">
        <v>3006</v>
      </c>
      <c r="B226" s="29"/>
      <c r="C226" s="35" t="s">
        <v>3007</v>
      </c>
      <c r="D226" s="30" t="s">
        <v>3008</v>
      </c>
      <c r="E226" s="65">
        <v>3208831810</v>
      </c>
      <c r="F226" s="66" t="s">
        <v>3009</v>
      </c>
      <c r="G226" s="29">
        <v>516</v>
      </c>
      <c r="H226" s="29">
        <v>334</v>
      </c>
      <c r="I226" s="45">
        <v>706450</v>
      </c>
      <c r="J226" s="29">
        <v>0</v>
      </c>
      <c r="K226" s="29">
        <v>0</v>
      </c>
      <c r="L226" s="34">
        <v>0</v>
      </c>
    </row>
    <row r="227" spans="1:12" ht="30" x14ac:dyDescent="0.25">
      <c r="A227" s="35" t="s">
        <v>3010</v>
      </c>
      <c r="B227" s="29"/>
      <c r="C227" s="35" t="s">
        <v>3011</v>
      </c>
      <c r="D227" s="30" t="s">
        <v>3012</v>
      </c>
      <c r="E227" s="67">
        <v>3125611363</v>
      </c>
      <c r="F227" s="59" t="s">
        <v>3013</v>
      </c>
      <c r="G227" s="29">
        <v>516</v>
      </c>
      <c r="H227" s="29">
        <v>334</v>
      </c>
      <c r="I227" s="33">
        <v>706450</v>
      </c>
      <c r="J227" s="29">
        <v>0</v>
      </c>
      <c r="K227" s="29">
        <v>0</v>
      </c>
      <c r="L227" s="34">
        <v>0</v>
      </c>
    </row>
    <row r="228" spans="1:12" ht="30" x14ac:dyDescent="0.25">
      <c r="A228" s="35">
        <v>1052405659</v>
      </c>
      <c r="B228" s="29"/>
      <c r="C228" s="35" t="s">
        <v>3014</v>
      </c>
      <c r="D228" s="36" t="s">
        <v>3015</v>
      </c>
      <c r="E228" s="56">
        <v>3208670926</v>
      </c>
      <c r="F228" s="59" t="s">
        <v>3016</v>
      </c>
      <c r="G228" s="29">
        <v>516</v>
      </c>
      <c r="H228" s="29">
        <v>334</v>
      </c>
      <c r="I228" s="39">
        <v>706450</v>
      </c>
      <c r="J228" s="29">
        <v>0</v>
      </c>
      <c r="K228" s="29">
        <v>0</v>
      </c>
      <c r="L228" s="34">
        <v>0</v>
      </c>
    </row>
    <row r="229" spans="1:12" x14ac:dyDescent="0.25">
      <c r="A229" s="28">
        <v>1053605716</v>
      </c>
      <c r="B229" s="29"/>
      <c r="C229" s="28" t="s">
        <v>3017</v>
      </c>
      <c r="D229" s="30" t="s">
        <v>3018</v>
      </c>
      <c r="E229" s="62">
        <v>3012905320</v>
      </c>
      <c r="F229" s="70" t="s">
        <v>3019</v>
      </c>
      <c r="G229" s="29">
        <v>516</v>
      </c>
      <c r="H229" s="29">
        <v>334</v>
      </c>
      <c r="I229" s="45">
        <f>706450+432057</f>
        <v>1138507</v>
      </c>
      <c r="J229" s="29">
        <v>0</v>
      </c>
      <c r="K229" s="29">
        <v>0</v>
      </c>
      <c r="L229" s="34">
        <v>0</v>
      </c>
    </row>
    <row r="230" spans="1:12" x14ac:dyDescent="0.25">
      <c r="A230" s="28" t="s">
        <v>3020</v>
      </c>
      <c r="B230" s="29"/>
      <c r="C230" s="28" t="s">
        <v>3021</v>
      </c>
      <c r="D230" s="30" t="s">
        <v>3022</v>
      </c>
      <c r="E230" s="56">
        <v>3148001960</v>
      </c>
      <c r="F230" s="30" t="s">
        <v>3023</v>
      </c>
      <c r="G230" s="29">
        <v>516</v>
      </c>
      <c r="H230" s="29">
        <v>334</v>
      </c>
      <c r="I230" s="33">
        <v>432057</v>
      </c>
      <c r="J230" s="29">
        <v>0</v>
      </c>
      <c r="K230" s="29">
        <v>0</v>
      </c>
      <c r="L230" s="34">
        <v>0</v>
      </c>
    </row>
    <row r="231" spans="1:12" x14ac:dyDescent="0.25">
      <c r="A231" s="43">
        <v>1053609121</v>
      </c>
      <c r="B231" s="29"/>
      <c r="C231" s="43" t="s">
        <v>3024</v>
      </c>
      <c r="D231" s="30" t="s">
        <v>3025</v>
      </c>
      <c r="E231" s="63">
        <v>3143035867</v>
      </c>
      <c r="F231" s="64" t="s">
        <v>3026</v>
      </c>
      <c r="G231" s="29">
        <v>516</v>
      </c>
      <c r="H231" s="29">
        <v>334</v>
      </c>
      <c r="I231" s="33">
        <v>432057</v>
      </c>
      <c r="J231" s="29">
        <v>0</v>
      </c>
      <c r="K231" s="29">
        <v>0</v>
      </c>
      <c r="L231" s="34">
        <v>0</v>
      </c>
    </row>
    <row r="232" spans="1:12" x14ac:dyDescent="0.25">
      <c r="A232" s="35" t="s">
        <v>3027</v>
      </c>
      <c r="B232" s="29"/>
      <c r="C232" s="35" t="s">
        <v>3028</v>
      </c>
      <c r="D232" s="30" t="s">
        <v>3029</v>
      </c>
      <c r="E232" s="67">
        <v>3222456847</v>
      </c>
      <c r="F232" s="59" t="s">
        <v>3030</v>
      </c>
      <c r="G232" s="29">
        <v>516</v>
      </c>
      <c r="H232" s="29">
        <v>334</v>
      </c>
      <c r="I232" s="33">
        <v>432057</v>
      </c>
      <c r="J232" s="29">
        <v>0</v>
      </c>
      <c r="K232" s="29">
        <v>0</v>
      </c>
      <c r="L232" s="34">
        <v>0</v>
      </c>
    </row>
    <row r="233" spans="1:12" x14ac:dyDescent="0.25">
      <c r="A233" s="35" t="s">
        <v>3031</v>
      </c>
      <c r="B233" s="29"/>
      <c r="C233" s="35" t="s">
        <v>3032</v>
      </c>
      <c r="D233" s="30" t="s">
        <v>3033</v>
      </c>
      <c r="E233" s="67">
        <v>3045855353</v>
      </c>
      <c r="F233" s="59" t="s">
        <v>3034</v>
      </c>
      <c r="G233" s="29">
        <v>516</v>
      </c>
      <c r="H233" s="29">
        <v>334</v>
      </c>
      <c r="I233" s="33">
        <v>432057</v>
      </c>
      <c r="J233" s="29">
        <v>0</v>
      </c>
      <c r="K233" s="29">
        <v>0</v>
      </c>
      <c r="L233" s="34">
        <v>0</v>
      </c>
    </row>
    <row r="234" spans="1:12" x14ac:dyDescent="0.25">
      <c r="A234" s="43">
        <v>13957132</v>
      </c>
      <c r="B234" s="29"/>
      <c r="C234" s="43" t="s">
        <v>3035</v>
      </c>
      <c r="D234" s="30" t="s">
        <v>3036</v>
      </c>
      <c r="E234" s="63">
        <v>3154191544</v>
      </c>
      <c r="F234" s="64" t="s">
        <v>2963</v>
      </c>
      <c r="G234" s="29">
        <v>516</v>
      </c>
      <c r="H234" s="29">
        <v>334</v>
      </c>
      <c r="I234" s="33">
        <v>588836</v>
      </c>
      <c r="J234" s="29">
        <v>0</v>
      </c>
      <c r="K234" s="29">
        <v>0</v>
      </c>
      <c r="L234" s="34">
        <v>0</v>
      </c>
    </row>
    <row r="235" spans="1:12" x14ac:dyDescent="0.25">
      <c r="A235" s="28">
        <v>1053604184</v>
      </c>
      <c r="B235" s="29"/>
      <c r="C235" s="28" t="s">
        <v>3037</v>
      </c>
      <c r="D235" s="30" t="s">
        <v>3038</v>
      </c>
      <c r="E235" s="63">
        <v>3212129188</v>
      </c>
      <c r="F235" s="64" t="s">
        <v>3039</v>
      </c>
      <c r="G235" s="29">
        <v>516</v>
      </c>
      <c r="H235" s="29">
        <v>334</v>
      </c>
      <c r="I235" s="33">
        <v>588836</v>
      </c>
      <c r="J235" s="29">
        <v>0</v>
      </c>
      <c r="K235" s="29">
        <v>0</v>
      </c>
      <c r="L235" s="34">
        <v>0</v>
      </c>
    </row>
    <row r="236" spans="1:12" x14ac:dyDescent="0.25">
      <c r="A236" s="28" t="s">
        <v>3040</v>
      </c>
      <c r="B236" s="29"/>
      <c r="C236" s="28" t="s">
        <v>3041</v>
      </c>
      <c r="D236" s="30" t="s">
        <v>3042</v>
      </c>
      <c r="E236" s="56">
        <v>3204240746</v>
      </c>
      <c r="F236" s="64" t="s">
        <v>3043</v>
      </c>
      <c r="G236" s="29">
        <v>516</v>
      </c>
      <c r="H236" s="29">
        <v>334</v>
      </c>
      <c r="I236" s="33">
        <v>588836</v>
      </c>
      <c r="J236" s="29">
        <v>0</v>
      </c>
      <c r="K236" s="29">
        <v>0</v>
      </c>
      <c r="L236" s="34">
        <v>0</v>
      </c>
    </row>
    <row r="237" spans="1:12" x14ac:dyDescent="0.25">
      <c r="A237" s="35" t="s">
        <v>3044</v>
      </c>
      <c r="B237" s="29"/>
      <c r="C237" s="35" t="s">
        <v>3045</v>
      </c>
      <c r="D237" s="30" t="s">
        <v>3046</v>
      </c>
      <c r="E237" s="67">
        <v>3205486858</v>
      </c>
      <c r="F237" s="38" t="s">
        <v>3047</v>
      </c>
      <c r="G237" s="29">
        <v>516</v>
      </c>
      <c r="H237" s="29">
        <v>334</v>
      </c>
      <c r="I237" s="33">
        <v>588836</v>
      </c>
      <c r="J237" s="29">
        <v>0</v>
      </c>
      <c r="K237" s="29">
        <v>0</v>
      </c>
      <c r="L237" s="34">
        <v>0</v>
      </c>
    </row>
    <row r="238" spans="1:12" ht="30" x14ac:dyDescent="0.25">
      <c r="A238" s="35" t="s">
        <v>3048</v>
      </c>
      <c r="B238" s="29"/>
      <c r="C238" s="35" t="s">
        <v>3049</v>
      </c>
      <c r="D238" s="30" t="s">
        <v>3050</v>
      </c>
      <c r="E238" s="58">
        <v>3143287423</v>
      </c>
      <c r="F238" s="59" t="s">
        <v>3051</v>
      </c>
      <c r="G238" s="29">
        <v>516</v>
      </c>
      <c r="H238" s="29">
        <v>334</v>
      </c>
      <c r="I238" s="33">
        <v>432057</v>
      </c>
      <c r="J238" s="29">
        <v>0</v>
      </c>
      <c r="K238" s="29">
        <v>0</v>
      </c>
      <c r="L238" s="34">
        <v>0</v>
      </c>
    </row>
    <row r="239" spans="1:12" x14ac:dyDescent="0.25">
      <c r="A239" s="28">
        <v>1053609039</v>
      </c>
      <c r="B239" s="29"/>
      <c r="C239" s="28" t="s">
        <v>3052</v>
      </c>
      <c r="D239" s="30" t="s">
        <v>3053</v>
      </c>
      <c r="E239" s="56">
        <v>3208824513</v>
      </c>
      <c r="F239" s="57" t="s">
        <v>3054</v>
      </c>
      <c r="G239" s="29">
        <v>516</v>
      </c>
      <c r="H239" s="29">
        <v>334</v>
      </c>
      <c r="I239" s="45">
        <v>432057</v>
      </c>
      <c r="J239" s="29">
        <v>0</v>
      </c>
      <c r="K239" s="29">
        <v>0</v>
      </c>
      <c r="L239" s="34">
        <v>0</v>
      </c>
    </row>
    <row r="240" spans="1:12" ht="60" x14ac:dyDescent="0.25">
      <c r="A240" s="35">
        <v>1052401850</v>
      </c>
      <c r="B240" s="29"/>
      <c r="C240" s="35" t="s">
        <v>3055</v>
      </c>
      <c r="D240" s="41" t="s">
        <v>3056</v>
      </c>
      <c r="E240" s="62">
        <v>3142431761</v>
      </c>
      <c r="F240" s="61" t="s">
        <v>3057</v>
      </c>
      <c r="G240" s="29">
        <v>516</v>
      </c>
      <c r="H240" s="29">
        <v>334</v>
      </c>
      <c r="I240" s="39">
        <v>432057</v>
      </c>
      <c r="J240" s="29">
        <v>0</v>
      </c>
      <c r="K240" s="29">
        <v>0</v>
      </c>
      <c r="L240" s="34">
        <v>0</v>
      </c>
    </row>
    <row r="241" spans="1:12" x14ac:dyDescent="0.25">
      <c r="A241" s="28" t="s">
        <v>3058</v>
      </c>
      <c r="B241" s="29"/>
      <c r="C241" s="28" t="s">
        <v>3059</v>
      </c>
      <c r="D241" s="30" t="s">
        <v>3060</v>
      </c>
      <c r="E241" s="62">
        <v>3106407363</v>
      </c>
      <c r="F241" s="72" t="s">
        <v>3061</v>
      </c>
      <c r="G241" s="29">
        <v>516</v>
      </c>
      <c r="H241" s="29">
        <v>334</v>
      </c>
      <c r="I241" s="33">
        <f>432057+706450</f>
        <v>1138507</v>
      </c>
      <c r="J241" s="29">
        <v>0</v>
      </c>
      <c r="K241" s="29">
        <v>0</v>
      </c>
      <c r="L241" s="34">
        <v>0</v>
      </c>
    </row>
    <row r="242" spans="1:12" ht="30" x14ac:dyDescent="0.25">
      <c r="A242" s="35" t="s">
        <v>3062</v>
      </c>
      <c r="B242" s="29"/>
      <c r="C242" s="35" t="s">
        <v>3063</v>
      </c>
      <c r="D242" s="30" t="s">
        <v>3064</v>
      </c>
      <c r="E242" s="60">
        <v>3108793103</v>
      </c>
      <c r="F242" s="61" t="s">
        <v>3065</v>
      </c>
      <c r="G242" s="29">
        <v>516</v>
      </c>
      <c r="H242" s="29">
        <v>334</v>
      </c>
      <c r="I242" s="73">
        <v>432057</v>
      </c>
      <c r="J242" s="29">
        <v>0</v>
      </c>
      <c r="K242" s="29">
        <v>0</v>
      </c>
      <c r="L242" s="34">
        <v>0</v>
      </c>
    </row>
    <row r="243" spans="1:12" x14ac:dyDescent="0.25">
      <c r="A243" s="28" t="s">
        <v>3066</v>
      </c>
      <c r="B243" s="29"/>
      <c r="C243" s="28" t="s">
        <v>3067</v>
      </c>
      <c r="D243" s="30" t="s">
        <v>3068</v>
      </c>
      <c r="E243" s="65">
        <v>3208424515</v>
      </c>
      <c r="F243" s="66" t="s">
        <v>2511</v>
      </c>
      <c r="G243" s="29">
        <v>516</v>
      </c>
      <c r="H243" s="29">
        <v>334</v>
      </c>
      <c r="I243" s="73">
        <v>432057</v>
      </c>
      <c r="J243" s="29">
        <v>0</v>
      </c>
      <c r="K243" s="29">
        <v>0</v>
      </c>
      <c r="L243" s="34">
        <v>0</v>
      </c>
    </row>
    <row r="244" spans="1:12" x14ac:dyDescent="0.25">
      <c r="A244" s="43">
        <v>1056572448</v>
      </c>
      <c r="B244" s="29"/>
      <c r="C244" s="43" t="s">
        <v>3069</v>
      </c>
      <c r="D244" s="30" t="s">
        <v>3070</v>
      </c>
      <c r="E244" s="65">
        <v>3226061917</v>
      </c>
      <c r="F244" s="66" t="s">
        <v>3013</v>
      </c>
      <c r="G244" s="29">
        <v>516</v>
      </c>
      <c r="H244" s="29">
        <v>334</v>
      </c>
      <c r="I244" s="73">
        <v>706450</v>
      </c>
      <c r="J244" s="29">
        <v>0</v>
      </c>
      <c r="K244" s="29">
        <v>0</v>
      </c>
      <c r="L244" s="34">
        <v>0</v>
      </c>
    </row>
    <row r="245" spans="1:12" ht="30" x14ac:dyDescent="0.25">
      <c r="A245" s="35">
        <v>1053613339</v>
      </c>
      <c r="B245" s="29"/>
      <c r="C245" s="35" t="s">
        <v>3071</v>
      </c>
      <c r="D245" s="41" t="s">
        <v>3072</v>
      </c>
      <c r="E245" s="62">
        <v>3136788325</v>
      </c>
      <c r="F245" s="61" t="s">
        <v>2450</v>
      </c>
      <c r="G245" s="29">
        <v>516</v>
      </c>
      <c r="H245" s="29">
        <v>334</v>
      </c>
      <c r="I245" s="74">
        <f>588784+432057</f>
        <v>1020841</v>
      </c>
      <c r="J245" s="29">
        <v>0</v>
      </c>
      <c r="K245" s="29">
        <v>0</v>
      </c>
      <c r="L245" s="34">
        <v>0</v>
      </c>
    </row>
    <row r="246" spans="1:12" x14ac:dyDescent="0.25">
      <c r="A246" s="35" t="s">
        <v>3073</v>
      </c>
      <c r="B246" s="29"/>
      <c r="C246" s="35" t="s">
        <v>3074</v>
      </c>
      <c r="D246" s="30" t="s">
        <v>3075</v>
      </c>
      <c r="E246" s="60">
        <v>3208608151</v>
      </c>
      <c r="F246" s="61" t="s">
        <v>3076</v>
      </c>
      <c r="G246" s="29">
        <v>516</v>
      </c>
      <c r="H246" s="29">
        <v>334</v>
      </c>
      <c r="I246" s="73">
        <v>588836</v>
      </c>
      <c r="J246" s="29">
        <v>0</v>
      </c>
      <c r="K246" s="29">
        <v>0</v>
      </c>
      <c r="L246" s="34">
        <v>0</v>
      </c>
    </row>
    <row r="247" spans="1:12" x14ac:dyDescent="0.25">
      <c r="A247" s="43" t="s">
        <v>3077</v>
      </c>
      <c r="B247" s="29"/>
      <c r="C247" s="43" t="s">
        <v>3078</v>
      </c>
      <c r="D247" s="30" t="s">
        <v>3079</v>
      </c>
      <c r="E247" s="62">
        <v>3168460873</v>
      </c>
      <c r="F247" s="66" t="s">
        <v>3080</v>
      </c>
      <c r="G247" s="29">
        <v>516</v>
      </c>
      <c r="H247" s="29">
        <v>334</v>
      </c>
      <c r="I247" s="73">
        <v>588836</v>
      </c>
      <c r="J247" s="29">
        <v>0</v>
      </c>
      <c r="K247" s="29">
        <v>0</v>
      </c>
      <c r="L247" s="34">
        <v>0</v>
      </c>
    </row>
    <row r="248" spans="1:12" x14ac:dyDescent="0.25">
      <c r="A248" s="28" t="s">
        <v>3081</v>
      </c>
      <c r="B248" s="29"/>
      <c r="C248" s="28" t="s">
        <v>3082</v>
      </c>
      <c r="D248" s="30" t="s">
        <v>3083</v>
      </c>
      <c r="E248" s="65">
        <v>3144924504</v>
      </c>
      <c r="F248" s="66" t="s">
        <v>3084</v>
      </c>
      <c r="G248" s="29">
        <v>516</v>
      </c>
      <c r="H248" s="29">
        <v>334</v>
      </c>
      <c r="I248" s="73">
        <v>588836</v>
      </c>
      <c r="J248" s="29">
        <v>0</v>
      </c>
      <c r="K248" s="29">
        <v>0</v>
      </c>
      <c r="L248" s="34">
        <v>0</v>
      </c>
    </row>
    <row r="249" spans="1:12" x14ac:dyDescent="0.25">
      <c r="A249" s="35" t="s">
        <v>3085</v>
      </c>
      <c r="B249" s="29"/>
      <c r="C249" s="35" t="s">
        <v>3086</v>
      </c>
      <c r="D249" s="30" t="s">
        <v>3087</v>
      </c>
      <c r="E249" s="65">
        <v>3114462305</v>
      </c>
      <c r="F249" s="66" t="s">
        <v>3088</v>
      </c>
      <c r="G249" s="29">
        <v>516</v>
      </c>
      <c r="H249" s="29">
        <v>334</v>
      </c>
      <c r="I249" s="75">
        <v>706450</v>
      </c>
      <c r="J249" s="29">
        <v>0</v>
      </c>
      <c r="K249" s="29">
        <v>0</v>
      </c>
      <c r="L249" s="34">
        <v>0</v>
      </c>
    </row>
    <row r="250" spans="1:12" ht="30" x14ac:dyDescent="0.25">
      <c r="A250" s="35">
        <v>1052837455</v>
      </c>
      <c r="B250" s="29"/>
      <c r="C250" s="35" t="s">
        <v>3089</v>
      </c>
      <c r="D250" s="41" t="s">
        <v>3090</v>
      </c>
      <c r="E250" s="62">
        <v>3203521433</v>
      </c>
      <c r="F250" s="61" t="s">
        <v>3091</v>
      </c>
      <c r="G250" s="29">
        <v>516</v>
      </c>
      <c r="H250" s="29">
        <v>334</v>
      </c>
      <c r="I250" s="74">
        <v>588784</v>
      </c>
      <c r="J250" s="29">
        <v>0</v>
      </c>
      <c r="K250" s="29">
        <v>0</v>
      </c>
      <c r="L250" s="34">
        <v>0</v>
      </c>
    </row>
    <row r="251" spans="1:12" ht="30" x14ac:dyDescent="0.25">
      <c r="A251" s="35" t="s">
        <v>3092</v>
      </c>
      <c r="B251" s="29"/>
      <c r="C251" s="35" t="s">
        <v>3093</v>
      </c>
      <c r="D251" s="30" t="s">
        <v>3094</v>
      </c>
      <c r="E251" s="67">
        <v>3164123334</v>
      </c>
      <c r="F251" s="59" t="s">
        <v>3095</v>
      </c>
      <c r="G251" s="29">
        <v>516</v>
      </c>
      <c r="H251" s="29">
        <v>334</v>
      </c>
      <c r="I251" s="73">
        <v>588836</v>
      </c>
      <c r="J251" s="29">
        <v>0</v>
      </c>
      <c r="K251" s="29">
        <v>0</v>
      </c>
      <c r="L251" s="34">
        <v>0</v>
      </c>
    </row>
    <row r="252" spans="1:12" x14ac:dyDescent="0.25">
      <c r="A252" s="35">
        <v>1053616761</v>
      </c>
      <c r="B252" s="29"/>
      <c r="C252" s="35" t="s">
        <v>3096</v>
      </c>
      <c r="D252" s="36" t="s">
        <v>3097</v>
      </c>
      <c r="E252" s="56">
        <v>3185878332</v>
      </c>
      <c r="F252" s="59" t="s">
        <v>3098</v>
      </c>
      <c r="G252" s="29">
        <v>516</v>
      </c>
      <c r="H252" s="29">
        <v>334</v>
      </c>
      <c r="I252" s="74">
        <v>432057</v>
      </c>
      <c r="J252" s="29">
        <v>0</v>
      </c>
      <c r="K252" s="29">
        <v>0</v>
      </c>
      <c r="L252" s="34">
        <v>0</v>
      </c>
    </row>
    <row r="253" spans="1:12" x14ac:dyDescent="0.25">
      <c r="A253" s="43" t="s">
        <v>3099</v>
      </c>
      <c r="B253" s="29"/>
      <c r="C253" s="43" t="s">
        <v>3100</v>
      </c>
      <c r="D253" s="30" t="s">
        <v>3101</v>
      </c>
      <c r="E253" s="56">
        <v>3015828156</v>
      </c>
      <c r="F253" s="57" t="s">
        <v>3102</v>
      </c>
      <c r="G253" s="29">
        <v>516</v>
      </c>
      <c r="H253" s="29">
        <v>334</v>
      </c>
      <c r="I253" s="75">
        <v>706450</v>
      </c>
      <c r="J253" s="29">
        <v>0</v>
      </c>
      <c r="K253" s="29">
        <v>0</v>
      </c>
      <c r="L253" s="34">
        <v>0</v>
      </c>
    </row>
    <row r="254" spans="1:12" x14ac:dyDescent="0.25">
      <c r="A254" s="46" t="s">
        <v>3103</v>
      </c>
      <c r="B254" s="76"/>
      <c r="C254" s="46" t="s">
        <v>3104</v>
      </c>
      <c r="D254" s="77" t="s">
        <v>3105</v>
      </c>
      <c r="E254" s="78"/>
      <c r="F254" s="79"/>
      <c r="G254" s="76">
        <v>516</v>
      </c>
      <c r="H254" s="76">
        <v>334</v>
      </c>
      <c r="I254" s="73">
        <v>588836</v>
      </c>
      <c r="J254" s="76">
        <v>0</v>
      </c>
      <c r="K254" s="76">
        <v>0</v>
      </c>
      <c r="L254" s="80">
        <v>0</v>
      </c>
    </row>
    <row r="255" spans="1:12" x14ac:dyDescent="0.25">
      <c r="A255" s="35" t="s">
        <v>3106</v>
      </c>
      <c r="B255" s="29"/>
      <c r="C255" s="35" t="s">
        <v>3107</v>
      </c>
      <c r="D255" s="30" t="s">
        <v>3108</v>
      </c>
      <c r="E255" s="63">
        <v>3228830241</v>
      </c>
      <c r="F255" s="71" t="s">
        <v>3109</v>
      </c>
      <c r="G255" s="29">
        <v>516</v>
      </c>
      <c r="H255" s="29">
        <v>334</v>
      </c>
      <c r="I255" s="75">
        <v>706450</v>
      </c>
      <c r="J255" s="29">
        <v>0</v>
      </c>
      <c r="K255" s="29">
        <v>0</v>
      </c>
      <c r="L255" s="34">
        <v>0</v>
      </c>
    </row>
    <row r="256" spans="1:12" ht="30" x14ac:dyDescent="0.25">
      <c r="A256" s="35" t="s">
        <v>3110</v>
      </c>
      <c r="B256" s="29"/>
      <c r="C256" s="35" t="s">
        <v>3111</v>
      </c>
      <c r="D256" s="30" t="s">
        <v>3112</v>
      </c>
      <c r="E256" s="67">
        <v>3132696427</v>
      </c>
      <c r="F256" s="59" t="s">
        <v>3113</v>
      </c>
      <c r="G256" s="29">
        <v>516</v>
      </c>
      <c r="H256" s="29">
        <v>334</v>
      </c>
      <c r="I256" s="73">
        <v>706450</v>
      </c>
      <c r="J256" s="29">
        <v>0</v>
      </c>
      <c r="K256" s="29">
        <v>0</v>
      </c>
      <c r="L256" s="34">
        <v>0</v>
      </c>
    </row>
    <row r="257" spans="1:12" x14ac:dyDescent="0.25">
      <c r="A257" s="35">
        <v>1056573415</v>
      </c>
      <c r="B257" s="29"/>
      <c r="C257" s="35" t="s">
        <v>3114</v>
      </c>
      <c r="D257" s="41" t="s">
        <v>3115</v>
      </c>
      <c r="E257" s="56">
        <v>3228914155</v>
      </c>
      <c r="F257" s="59" t="s">
        <v>3116</v>
      </c>
      <c r="G257" s="29">
        <v>516</v>
      </c>
      <c r="H257" s="29">
        <v>334</v>
      </c>
      <c r="I257" s="74">
        <v>432057</v>
      </c>
      <c r="J257" s="29">
        <v>0</v>
      </c>
      <c r="K257" s="29">
        <v>0</v>
      </c>
      <c r="L257" s="34">
        <v>0</v>
      </c>
    </row>
    <row r="258" spans="1:12" x14ac:dyDescent="0.25">
      <c r="A258" s="35" t="s">
        <v>3117</v>
      </c>
      <c r="B258" s="29"/>
      <c r="C258" s="35" t="s">
        <v>3118</v>
      </c>
      <c r="D258" s="30" t="s">
        <v>3119</v>
      </c>
      <c r="E258" s="65">
        <v>3232426089</v>
      </c>
      <c r="F258" s="66" t="s">
        <v>3120</v>
      </c>
      <c r="G258" s="29">
        <v>516</v>
      </c>
      <c r="H258" s="29">
        <v>334</v>
      </c>
      <c r="I258" s="75">
        <f>706450+432057</f>
        <v>1138507</v>
      </c>
      <c r="J258" s="29">
        <v>0</v>
      </c>
      <c r="K258" s="29">
        <v>0</v>
      </c>
      <c r="L258" s="34">
        <v>0</v>
      </c>
    </row>
    <row r="259" spans="1:12" ht="30" x14ac:dyDescent="0.25">
      <c r="A259" s="35" t="s">
        <v>3121</v>
      </c>
      <c r="B259" s="29"/>
      <c r="C259" s="35" t="s">
        <v>3122</v>
      </c>
      <c r="D259" s="30" t="s">
        <v>3123</v>
      </c>
      <c r="E259" s="67">
        <v>3195950764</v>
      </c>
      <c r="F259" s="59" t="s">
        <v>3124</v>
      </c>
      <c r="G259" s="29">
        <v>516</v>
      </c>
      <c r="H259" s="29">
        <v>334</v>
      </c>
      <c r="I259" s="73">
        <v>588836</v>
      </c>
      <c r="J259" s="29">
        <v>0</v>
      </c>
      <c r="K259" s="29">
        <v>0</v>
      </c>
      <c r="L259" s="34">
        <v>0</v>
      </c>
    </row>
    <row r="260" spans="1:12" x14ac:dyDescent="0.25">
      <c r="A260" s="35" t="s">
        <v>3125</v>
      </c>
      <c r="B260" s="29"/>
      <c r="C260" s="35" t="s">
        <v>3126</v>
      </c>
      <c r="D260" s="30" t="s">
        <v>3127</v>
      </c>
      <c r="E260" s="65">
        <v>3125346826</v>
      </c>
      <c r="F260" s="66" t="s">
        <v>2561</v>
      </c>
      <c r="G260" s="29">
        <v>516</v>
      </c>
      <c r="H260" s="29">
        <v>334</v>
      </c>
      <c r="I260" s="75">
        <v>432057</v>
      </c>
      <c r="J260" s="29">
        <v>0</v>
      </c>
      <c r="K260" s="29">
        <v>0</v>
      </c>
      <c r="L260" s="34">
        <v>0</v>
      </c>
    </row>
    <row r="261" spans="1:12" ht="30" x14ac:dyDescent="0.25">
      <c r="A261" s="35" t="s">
        <v>3128</v>
      </c>
      <c r="B261" s="29"/>
      <c r="C261" s="35" t="s">
        <v>3129</v>
      </c>
      <c r="D261" s="30" t="s">
        <v>3130</v>
      </c>
      <c r="E261" s="67">
        <v>3202465830</v>
      </c>
      <c r="F261" s="59" t="s">
        <v>3113</v>
      </c>
      <c r="G261" s="29">
        <v>516</v>
      </c>
      <c r="H261" s="29">
        <v>334</v>
      </c>
      <c r="I261" s="73">
        <v>432057</v>
      </c>
      <c r="J261" s="29">
        <v>0</v>
      </c>
      <c r="K261" s="29">
        <v>0</v>
      </c>
      <c r="L261" s="34">
        <v>0</v>
      </c>
    </row>
    <row r="262" spans="1:12" x14ac:dyDescent="0.25">
      <c r="A262" s="43" t="s">
        <v>3131</v>
      </c>
      <c r="B262" s="29"/>
      <c r="C262" s="43" t="s">
        <v>3132</v>
      </c>
      <c r="D262" s="30" t="s">
        <v>3133</v>
      </c>
      <c r="E262" s="63">
        <v>3145972094</v>
      </c>
      <c r="F262" s="64" t="s">
        <v>3134</v>
      </c>
      <c r="G262" s="29">
        <v>516</v>
      </c>
      <c r="H262" s="29">
        <v>334</v>
      </c>
      <c r="I262" s="73">
        <v>432057</v>
      </c>
      <c r="J262" s="29">
        <v>0</v>
      </c>
      <c r="K262" s="29">
        <v>0</v>
      </c>
      <c r="L262" s="34">
        <v>0</v>
      </c>
    </row>
    <row r="263" spans="1:12" ht="30" x14ac:dyDescent="0.25">
      <c r="A263" s="35">
        <v>37576997</v>
      </c>
      <c r="B263" s="29"/>
      <c r="C263" s="35" t="s">
        <v>3135</v>
      </c>
      <c r="D263" s="36" t="s">
        <v>3136</v>
      </c>
      <c r="E263" s="56">
        <v>3102024998</v>
      </c>
      <c r="F263" s="59" t="s">
        <v>3137</v>
      </c>
      <c r="G263" s="29">
        <v>516</v>
      </c>
      <c r="H263" s="29">
        <v>334</v>
      </c>
      <c r="I263" s="74">
        <v>588836</v>
      </c>
      <c r="J263" s="29">
        <v>0</v>
      </c>
      <c r="K263" s="29">
        <v>0</v>
      </c>
      <c r="L263" s="34">
        <v>0</v>
      </c>
    </row>
    <row r="264" spans="1:12" x14ac:dyDescent="0.25">
      <c r="A264" s="28">
        <v>1019984114</v>
      </c>
      <c r="B264" s="29"/>
      <c r="C264" s="28" t="s">
        <v>3138</v>
      </c>
      <c r="D264" s="30" t="s">
        <v>3139</v>
      </c>
      <c r="E264" s="63">
        <v>3123054740</v>
      </c>
      <c r="F264" s="64" t="s">
        <v>3140</v>
      </c>
      <c r="G264" s="29">
        <v>516</v>
      </c>
      <c r="H264" s="29">
        <v>334</v>
      </c>
      <c r="I264" s="73">
        <v>432057</v>
      </c>
      <c r="J264" s="29">
        <v>0</v>
      </c>
      <c r="K264" s="29">
        <v>0</v>
      </c>
      <c r="L264" s="34">
        <v>0</v>
      </c>
    </row>
    <row r="265" spans="1:12" x14ac:dyDescent="0.25">
      <c r="A265" s="35" t="s">
        <v>3141</v>
      </c>
      <c r="B265" s="29"/>
      <c r="C265" s="35" t="s">
        <v>3142</v>
      </c>
      <c r="D265" s="30" t="s">
        <v>3143</v>
      </c>
      <c r="E265" s="63">
        <v>3232333905</v>
      </c>
      <c r="F265" s="64" t="s">
        <v>3144</v>
      </c>
      <c r="G265" s="29">
        <v>516</v>
      </c>
      <c r="H265" s="29">
        <v>334</v>
      </c>
      <c r="I265" s="75">
        <f>706450+432057</f>
        <v>1138507</v>
      </c>
      <c r="J265" s="29">
        <v>0</v>
      </c>
      <c r="K265" s="29">
        <v>0</v>
      </c>
      <c r="L265" s="34">
        <v>0</v>
      </c>
    </row>
    <row r="266" spans="1:12" x14ac:dyDescent="0.25">
      <c r="A266" s="28" t="s">
        <v>3145</v>
      </c>
      <c r="B266" s="29"/>
      <c r="C266" s="28" t="s">
        <v>3146</v>
      </c>
      <c r="D266" s="30" t="s">
        <v>3147</v>
      </c>
      <c r="E266" s="63">
        <v>3202937412</v>
      </c>
      <c r="F266" s="64" t="s">
        <v>2628</v>
      </c>
      <c r="G266" s="29">
        <v>516</v>
      </c>
      <c r="H266" s="29">
        <v>334</v>
      </c>
      <c r="I266" s="73">
        <v>706450</v>
      </c>
      <c r="J266" s="29">
        <v>0</v>
      </c>
      <c r="K266" s="29">
        <v>0</v>
      </c>
      <c r="L266" s="34">
        <v>0</v>
      </c>
    </row>
    <row r="267" spans="1:12" x14ac:dyDescent="0.25">
      <c r="A267" s="35" t="s">
        <v>3148</v>
      </c>
      <c r="B267" s="29"/>
      <c r="C267" s="35" t="s">
        <v>3149</v>
      </c>
      <c r="D267" s="30" t="s">
        <v>3150</v>
      </c>
      <c r="E267" s="67">
        <v>3134482906</v>
      </c>
      <c r="F267" s="59" t="s">
        <v>3151</v>
      </c>
      <c r="G267" s="29">
        <v>516</v>
      </c>
      <c r="H267" s="29">
        <v>334</v>
      </c>
      <c r="I267" s="73">
        <v>432057</v>
      </c>
      <c r="J267" s="29">
        <v>0</v>
      </c>
      <c r="K267" s="29">
        <v>0</v>
      </c>
      <c r="L267" s="34">
        <v>0</v>
      </c>
    </row>
    <row r="268" spans="1:12" x14ac:dyDescent="0.25">
      <c r="A268" s="43" t="s">
        <v>3152</v>
      </c>
      <c r="B268" s="29"/>
      <c r="C268" s="43" t="s">
        <v>3153</v>
      </c>
      <c r="D268" s="30" t="s">
        <v>3154</v>
      </c>
      <c r="E268" s="65">
        <v>3215469810</v>
      </c>
      <c r="F268" s="66" t="s">
        <v>3155</v>
      </c>
      <c r="G268" s="29">
        <v>516</v>
      </c>
      <c r="H268" s="29">
        <v>334</v>
      </c>
      <c r="I268" s="73">
        <f>706450+432057</f>
        <v>1138507</v>
      </c>
      <c r="J268" s="29">
        <v>0</v>
      </c>
      <c r="K268" s="29">
        <v>0</v>
      </c>
      <c r="L268" s="34">
        <v>0</v>
      </c>
    </row>
    <row r="269" spans="1:12" x14ac:dyDescent="0.25">
      <c r="A269" s="28" t="s">
        <v>3156</v>
      </c>
      <c r="B269" s="29"/>
      <c r="C269" s="28" t="s">
        <v>3157</v>
      </c>
      <c r="D269" s="30" t="s">
        <v>3158</v>
      </c>
      <c r="E269" s="63">
        <v>3208647654</v>
      </c>
      <c r="F269" s="64" t="s">
        <v>2322</v>
      </c>
      <c r="G269" s="29">
        <v>516</v>
      </c>
      <c r="H269" s="29">
        <v>334</v>
      </c>
      <c r="I269" s="73">
        <v>588836</v>
      </c>
      <c r="J269" s="29">
        <v>0</v>
      </c>
      <c r="K269" s="29">
        <v>0</v>
      </c>
      <c r="L269" s="34">
        <v>0</v>
      </c>
    </row>
    <row r="270" spans="1:12" ht="45" x14ac:dyDescent="0.25">
      <c r="A270" s="35">
        <v>1056572089</v>
      </c>
      <c r="B270" s="29"/>
      <c r="C270" s="35" t="s">
        <v>3159</v>
      </c>
      <c r="D270" s="41" t="s">
        <v>3160</v>
      </c>
      <c r="E270" s="56">
        <v>3197361311</v>
      </c>
      <c r="F270" s="59" t="s">
        <v>2515</v>
      </c>
      <c r="G270" s="29">
        <v>516</v>
      </c>
      <c r="H270" s="29">
        <v>763</v>
      </c>
      <c r="I270" s="81">
        <v>1138503</v>
      </c>
      <c r="J270" s="53">
        <v>0</v>
      </c>
      <c r="K270" s="29">
        <v>0</v>
      </c>
      <c r="L270" s="34">
        <v>0</v>
      </c>
    </row>
    <row r="271" spans="1:12" x14ac:dyDescent="0.25">
      <c r="A271" s="35" t="s">
        <v>3161</v>
      </c>
      <c r="B271" s="29"/>
      <c r="C271" s="35" t="s">
        <v>3162</v>
      </c>
      <c r="D271" s="30" t="s">
        <v>3163</v>
      </c>
      <c r="E271" s="67">
        <v>3123571437</v>
      </c>
      <c r="F271" s="59" t="s">
        <v>3164</v>
      </c>
      <c r="G271" s="29">
        <v>516</v>
      </c>
      <c r="H271" s="29">
        <v>334</v>
      </c>
      <c r="I271" s="73">
        <f>706450+432057</f>
        <v>1138507</v>
      </c>
      <c r="J271" s="29">
        <v>0</v>
      </c>
      <c r="K271" s="29">
        <v>0</v>
      </c>
      <c r="L271" s="34">
        <v>0</v>
      </c>
    </row>
    <row r="272" spans="1:12" x14ac:dyDescent="0.25">
      <c r="A272" s="43" t="s">
        <v>3165</v>
      </c>
      <c r="B272" s="29"/>
      <c r="C272" s="43" t="s">
        <v>3166</v>
      </c>
      <c r="D272" s="30" t="s">
        <v>3167</v>
      </c>
      <c r="E272" s="56">
        <v>3044640397</v>
      </c>
      <c r="F272" s="71" t="s">
        <v>3168</v>
      </c>
      <c r="G272" s="29">
        <v>516</v>
      </c>
      <c r="H272" s="29">
        <v>334</v>
      </c>
      <c r="I272" s="73">
        <v>432057</v>
      </c>
      <c r="J272" s="29">
        <v>0</v>
      </c>
      <c r="K272" s="29">
        <v>0</v>
      </c>
      <c r="L272" s="34">
        <v>0</v>
      </c>
    </row>
    <row r="273" spans="1:12" ht="30" x14ac:dyDescent="0.25">
      <c r="A273" s="28">
        <v>1053616656</v>
      </c>
      <c r="B273" s="29"/>
      <c r="C273" s="28" t="s">
        <v>3169</v>
      </c>
      <c r="D273" s="36" t="s">
        <v>3170</v>
      </c>
      <c r="E273" s="56">
        <v>3012729920</v>
      </c>
      <c r="F273" s="59" t="s">
        <v>3171</v>
      </c>
      <c r="G273" s="29">
        <v>516</v>
      </c>
      <c r="H273" s="29">
        <v>334</v>
      </c>
      <c r="I273" s="74">
        <f>588784+432057</f>
        <v>1020841</v>
      </c>
      <c r="J273" s="29">
        <v>0</v>
      </c>
      <c r="K273" s="29">
        <v>0</v>
      </c>
      <c r="L273" s="34">
        <v>0</v>
      </c>
    </row>
    <row r="274" spans="1:12" x14ac:dyDescent="0.25">
      <c r="A274" s="43" t="s">
        <v>3172</v>
      </c>
      <c r="B274" s="29"/>
      <c r="C274" s="43" t="s">
        <v>3173</v>
      </c>
      <c r="D274" s="30" t="s">
        <v>3174</v>
      </c>
      <c r="E274" s="65">
        <v>3123772547</v>
      </c>
      <c r="F274" s="66" t="s">
        <v>3175</v>
      </c>
      <c r="G274" s="29">
        <v>516</v>
      </c>
      <c r="H274" s="29">
        <v>334</v>
      </c>
      <c r="I274" s="73">
        <v>706450</v>
      </c>
      <c r="J274" s="29">
        <v>0</v>
      </c>
      <c r="K274" s="29">
        <v>0</v>
      </c>
      <c r="L274" s="34">
        <v>0</v>
      </c>
    </row>
    <row r="275" spans="1:12" x14ac:dyDescent="0.25">
      <c r="A275" s="43">
        <v>1049644926</v>
      </c>
      <c r="B275" s="29"/>
      <c r="C275" s="43" t="s">
        <v>3176</v>
      </c>
      <c r="D275" s="30" t="s">
        <v>3177</v>
      </c>
      <c r="E275" s="56">
        <v>3125705343</v>
      </c>
      <c r="F275" s="57" t="s">
        <v>3178</v>
      </c>
      <c r="G275" s="29">
        <v>516</v>
      </c>
      <c r="H275" s="29">
        <v>334</v>
      </c>
      <c r="I275" s="75">
        <v>588836</v>
      </c>
      <c r="J275" s="29">
        <v>0</v>
      </c>
      <c r="K275" s="29">
        <v>0</v>
      </c>
      <c r="L275" s="34">
        <v>0</v>
      </c>
    </row>
    <row r="276" spans="1:12" ht="30" x14ac:dyDescent="0.25">
      <c r="A276" s="35">
        <v>1002607783</v>
      </c>
      <c r="B276" s="29"/>
      <c r="C276" s="35" t="s">
        <v>3179</v>
      </c>
      <c r="D276" s="36" t="s">
        <v>3180</v>
      </c>
      <c r="E276" s="56">
        <v>3118455489</v>
      </c>
      <c r="F276" s="59" t="s">
        <v>3181</v>
      </c>
      <c r="G276" s="29">
        <v>516</v>
      </c>
      <c r="H276" s="29">
        <v>334</v>
      </c>
      <c r="I276" s="74">
        <v>432057</v>
      </c>
      <c r="J276" s="29">
        <v>0</v>
      </c>
      <c r="K276" s="29">
        <v>0</v>
      </c>
      <c r="L276" s="34">
        <v>0</v>
      </c>
    </row>
    <row r="277" spans="1:12" ht="30" x14ac:dyDescent="0.25">
      <c r="A277" s="35" t="s">
        <v>3182</v>
      </c>
      <c r="B277" s="29"/>
      <c r="C277" s="35" t="s">
        <v>3183</v>
      </c>
      <c r="D277" s="30" t="s">
        <v>3184</v>
      </c>
      <c r="E277" s="67">
        <v>3138720167</v>
      </c>
      <c r="F277" s="59" t="s">
        <v>3185</v>
      </c>
      <c r="G277" s="29">
        <v>516</v>
      </c>
      <c r="H277" s="29">
        <v>334</v>
      </c>
      <c r="I277" s="73">
        <f>706450+432057</f>
        <v>1138507</v>
      </c>
      <c r="J277" s="29">
        <v>0</v>
      </c>
      <c r="K277" s="29">
        <v>0</v>
      </c>
      <c r="L277" s="34">
        <v>0</v>
      </c>
    </row>
    <row r="278" spans="1:12" x14ac:dyDescent="0.25">
      <c r="A278" s="35" t="s">
        <v>3186</v>
      </c>
      <c r="B278" s="29"/>
      <c r="C278" s="35" t="s">
        <v>3187</v>
      </c>
      <c r="D278" s="30" t="s">
        <v>3188</v>
      </c>
      <c r="E278" s="67">
        <v>3118837480</v>
      </c>
      <c r="F278" s="59" t="s">
        <v>3189</v>
      </c>
      <c r="G278" s="29">
        <v>516</v>
      </c>
      <c r="H278" s="29">
        <v>334</v>
      </c>
      <c r="I278" s="73">
        <v>706450</v>
      </c>
      <c r="J278" s="29">
        <v>0</v>
      </c>
      <c r="K278" s="29">
        <v>0</v>
      </c>
      <c r="L278" s="34">
        <v>0</v>
      </c>
    </row>
    <row r="279" spans="1:12" x14ac:dyDescent="0.25">
      <c r="A279" s="35" t="s">
        <v>3190</v>
      </c>
      <c r="B279" s="29"/>
      <c r="C279" s="35" t="s">
        <v>3191</v>
      </c>
      <c r="D279" s="30" t="s">
        <v>3192</v>
      </c>
      <c r="E279" s="60">
        <v>3214467240</v>
      </c>
      <c r="F279" s="61" t="s">
        <v>3193</v>
      </c>
      <c r="G279" s="29">
        <v>516</v>
      </c>
      <c r="H279" s="29">
        <v>334</v>
      </c>
      <c r="I279" s="73">
        <v>432057</v>
      </c>
      <c r="J279" s="29">
        <v>0</v>
      </c>
      <c r="K279" s="29">
        <v>0</v>
      </c>
      <c r="L279" s="34">
        <v>0</v>
      </c>
    </row>
    <row r="280" spans="1:12" ht="30" x14ac:dyDescent="0.25">
      <c r="A280" s="35">
        <v>1002486138</v>
      </c>
      <c r="B280" s="29"/>
      <c r="C280" s="35" t="s">
        <v>3194</v>
      </c>
      <c r="D280" s="41" t="s">
        <v>3195</v>
      </c>
      <c r="E280" s="62">
        <v>3107439814</v>
      </c>
      <c r="F280" s="61" t="s">
        <v>3196</v>
      </c>
      <c r="G280" s="29">
        <v>516</v>
      </c>
      <c r="H280" s="29">
        <v>334</v>
      </c>
      <c r="I280" s="74">
        <v>706446</v>
      </c>
      <c r="J280" s="29">
        <v>0</v>
      </c>
      <c r="K280" s="29">
        <v>0</v>
      </c>
      <c r="L280" s="34">
        <v>0</v>
      </c>
    </row>
    <row r="281" spans="1:12" x14ac:dyDescent="0.25">
      <c r="A281" s="35" t="s">
        <v>3197</v>
      </c>
      <c r="B281" s="29"/>
      <c r="C281" s="35" t="s">
        <v>3198</v>
      </c>
      <c r="D281" s="30" t="s">
        <v>3199</v>
      </c>
      <c r="E281" s="63">
        <v>3223343372</v>
      </c>
      <c r="F281" s="64" t="s">
        <v>2717</v>
      </c>
      <c r="G281" s="29">
        <v>516</v>
      </c>
      <c r="H281" s="29">
        <v>334</v>
      </c>
      <c r="I281" s="75">
        <v>706450</v>
      </c>
      <c r="J281" s="29">
        <v>0</v>
      </c>
      <c r="K281" s="29">
        <v>0</v>
      </c>
      <c r="L281" s="34">
        <v>0</v>
      </c>
    </row>
    <row r="282" spans="1:12" x14ac:dyDescent="0.25">
      <c r="A282" s="35" t="s">
        <v>3200</v>
      </c>
      <c r="B282" s="29"/>
      <c r="C282" s="35" t="s">
        <v>3201</v>
      </c>
      <c r="D282" s="30" t="s">
        <v>3202</v>
      </c>
      <c r="E282" s="67">
        <v>3214550199</v>
      </c>
      <c r="F282" s="59" t="s">
        <v>3203</v>
      </c>
      <c r="G282" s="29">
        <v>516</v>
      </c>
      <c r="H282" s="29">
        <v>334</v>
      </c>
      <c r="I282" s="73">
        <f>588836+432057</f>
        <v>1020893</v>
      </c>
      <c r="J282" s="29">
        <v>0</v>
      </c>
      <c r="K282" s="29">
        <v>0</v>
      </c>
      <c r="L282" s="34">
        <v>0</v>
      </c>
    </row>
    <row r="283" spans="1:12" x14ac:dyDescent="0.25">
      <c r="A283" s="43" t="s">
        <v>3204</v>
      </c>
      <c r="B283" s="29"/>
      <c r="C283" s="43" t="s">
        <v>3205</v>
      </c>
      <c r="D283" s="30" t="s">
        <v>3206</v>
      </c>
      <c r="E283" s="63">
        <v>3133576702</v>
      </c>
      <c r="F283" s="64" t="s">
        <v>3207</v>
      </c>
      <c r="G283" s="29">
        <v>516</v>
      </c>
      <c r="H283" s="29">
        <v>334</v>
      </c>
      <c r="I283" s="73">
        <v>706450</v>
      </c>
      <c r="J283" s="29">
        <v>0</v>
      </c>
      <c r="K283" s="29">
        <v>0</v>
      </c>
      <c r="L283" s="34">
        <v>0</v>
      </c>
    </row>
    <row r="284" spans="1:12" ht="30" x14ac:dyDescent="0.25">
      <c r="A284" s="35" t="s">
        <v>3208</v>
      </c>
      <c r="B284" s="29"/>
      <c r="C284" s="35" t="s">
        <v>3209</v>
      </c>
      <c r="D284" s="30" t="s">
        <v>3210</v>
      </c>
      <c r="E284" s="67">
        <v>3132540313</v>
      </c>
      <c r="F284" s="59" t="s">
        <v>2429</v>
      </c>
      <c r="G284" s="29">
        <v>516</v>
      </c>
      <c r="H284" s="29">
        <v>334</v>
      </c>
      <c r="I284" s="73">
        <v>432057</v>
      </c>
      <c r="J284" s="29">
        <v>0</v>
      </c>
      <c r="K284" s="29">
        <v>0</v>
      </c>
      <c r="L284" s="34">
        <v>0</v>
      </c>
    </row>
    <row r="285" spans="1:12" ht="30" x14ac:dyDescent="0.25">
      <c r="A285" s="28">
        <v>1007305808</v>
      </c>
      <c r="B285" s="29"/>
      <c r="C285" s="28" t="s">
        <v>3211</v>
      </c>
      <c r="D285" s="41" t="s">
        <v>3212</v>
      </c>
      <c r="E285" s="62">
        <v>3103925496</v>
      </c>
      <c r="F285" s="61" t="s">
        <v>3168</v>
      </c>
      <c r="G285" s="29">
        <v>516</v>
      </c>
      <c r="H285" s="29">
        <v>334</v>
      </c>
      <c r="I285" s="75">
        <v>588836</v>
      </c>
      <c r="J285" s="29">
        <v>0</v>
      </c>
      <c r="K285" s="29">
        <v>0</v>
      </c>
      <c r="L285" s="34">
        <v>0</v>
      </c>
    </row>
    <row r="286" spans="1:12" x14ac:dyDescent="0.25">
      <c r="A286" s="28" t="s">
        <v>3213</v>
      </c>
      <c r="B286" s="29"/>
      <c r="C286" s="28" t="s">
        <v>3214</v>
      </c>
      <c r="D286" s="30" t="s">
        <v>3215</v>
      </c>
      <c r="E286" s="63">
        <v>3137403122</v>
      </c>
      <c r="F286" s="64" t="s">
        <v>3216</v>
      </c>
      <c r="G286" s="29">
        <v>516</v>
      </c>
      <c r="H286" s="29">
        <v>334</v>
      </c>
      <c r="I286" s="73">
        <v>588836</v>
      </c>
      <c r="J286" s="29">
        <v>0</v>
      </c>
      <c r="K286" s="29">
        <v>0</v>
      </c>
      <c r="L286" s="34">
        <v>0</v>
      </c>
    </row>
    <row r="287" spans="1:12" x14ac:dyDescent="0.25">
      <c r="A287" s="35" t="s">
        <v>3217</v>
      </c>
      <c r="B287" s="29"/>
      <c r="C287" s="35" t="s">
        <v>3218</v>
      </c>
      <c r="D287" s="30" t="s">
        <v>3219</v>
      </c>
      <c r="E287" s="67">
        <v>3102754891</v>
      </c>
      <c r="F287" s="59" t="s">
        <v>3220</v>
      </c>
      <c r="G287" s="29">
        <v>516</v>
      </c>
      <c r="H287" s="29">
        <v>334</v>
      </c>
      <c r="I287" s="73">
        <v>588836</v>
      </c>
      <c r="J287" s="29">
        <v>0</v>
      </c>
      <c r="K287" s="29">
        <v>0</v>
      </c>
      <c r="L287" s="34">
        <v>0</v>
      </c>
    </row>
    <row r="288" spans="1:12" x14ac:dyDescent="0.25">
      <c r="I288" s="82"/>
      <c r="J288" s="82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hyperlinks>
    <hyperlink ref="D9" r:id="rId1"/>
    <hyperlink ref="D11" r:id="rId2"/>
    <hyperlink ref="D13" r:id="rId3"/>
    <hyperlink ref="D17" r:id="rId4"/>
    <hyperlink ref="D19" r:id="rId5"/>
    <hyperlink ref="D20" r:id="rId6"/>
    <hyperlink ref="D23" r:id="rId7"/>
    <hyperlink ref="D27" r:id="rId8"/>
    <hyperlink ref="D30" r:id="rId9"/>
    <hyperlink ref="D33" r:id="rId10"/>
    <hyperlink ref="D39" r:id="rId11"/>
    <hyperlink ref="D42" r:id="rId12"/>
    <hyperlink ref="D43" r:id="rId13"/>
    <hyperlink ref="D44" r:id="rId14"/>
    <hyperlink ref="D47" r:id="rId15"/>
    <hyperlink ref="D49" r:id="rId16"/>
    <hyperlink ref="D52" r:id="rId17"/>
    <hyperlink ref="D53" r:id="rId18"/>
    <hyperlink ref="D55" r:id="rId19"/>
    <hyperlink ref="D59" r:id="rId20"/>
    <hyperlink ref="D79" r:id="rId21"/>
    <hyperlink ref="D96" r:id="rId22"/>
    <hyperlink ref="D99" r:id="rId23"/>
    <hyperlink ref="D100" r:id="rId24"/>
    <hyperlink ref="D103" r:id="rId25"/>
    <hyperlink ref="D106" r:id="rId26"/>
    <hyperlink ref="D107" r:id="rId27"/>
    <hyperlink ref="D113" r:id="rId28"/>
    <hyperlink ref="D135" r:id="rId29"/>
    <hyperlink ref="D136" r:id="rId30"/>
    <hyperlink ref="D138" r:id="rId31"/>
    <hyperlink ref="D143" r:id="rId32"/>
    <hyperlink ref="D145" r:id="rId33"/>
    <hyperlink ref="D149" r:id="rId34"/>
    <hyperlink ref="D154" r:id="rId35"/>
    <hyperlink ref="D157" r:id="rId36"/>
    <hyperlink ref="D159" r:id="rId37"/>
    <hyperlink ref="D161" r:id="rId38"/>
    <hyperlink ref="D162" r:id="rId39"/>
    <hyperlink ref="D168" r:id="rId40"/>
    <hyperlink ref="D171" r:id="rId41"/>
    <hyperlink ref="D178" r:id="rId42"/>
    <hyperlink ref="D181" r:id="rId43"/>
    <hyperlink ref="D187" r:id="rId44"/>
    <hyperlink ref="D189" r:id="rId45"/>
    <hyperlink ref="D191" r:id="rId46"/>
    <hyperlink ref="D193" r:id="rId47"/>
    <hyperlink ref="D198" r:id="rId48"/>
    <hyperlink ref="D211" r:id="rId49"/>
    <hyperlink ref="D216" r:id="rId50"/>
    <hyperlink ref="D219" r:id="rId51"/>
    <hyperlink ref="D222" r:id="rId52"/>
    <hyperlink ref="D224" r:id="rId53"/>
    <hyperlink ref="D228" r:id="rId54"/>
    <hyperlink ref="D240" r:id="rId55"/>
    <hyperlink ref="D245" r:id="rId56"/>
    <hyperlink ref="D250" r:id="rId57"/>
    <hyperlink ref="D252" r:id="rId58"/>
    <hyperlink ref="D257" r:id="rId59"/>
    <hyperlink ref="D263" r:id="rId60"/>
    <hyperlink ref="D270" r:id="rId61"/>
    <hyperlink ref="D273" r:id="rId62"/>
    <hyperlink ref="D276" r:id="rId63"/>
    <hyperlink ref="D280" r:id="rId64"/>
    <hyperlink ref="D285" r:id="rId65"/>
  </hyperlinks>
  <pageMargins left="0.7" right="0.7" top="0.75" bottom="0.75" header="0.3" footer="0.3"/>
  <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58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3" workbookViewId="0">
      <selection activeCell="A329" sqref="A329:XFD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s="20" customFormat="1" x14ac:dyDescent="0.25">
      <c r="A329" s="19" t="s">
        <v>737</v>
      </c>
      <c r="B329" s="19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2025-08-28T15:15:13Z</dcterms:modified>
</cp:coreProperties>
</file>