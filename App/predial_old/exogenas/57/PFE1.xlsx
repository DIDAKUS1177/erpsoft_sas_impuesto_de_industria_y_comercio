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ONTABILIDAD\Documents\CONTABILIDAD\IMPUESTOS 2025\EXOGENA MUNICIPIO\"/>
    </mc:Choice>
  </mc:AlternateContent>
  <xr:revisionPtr revIDLastSave="0" documentId="8_{904B3274-DE6C-4A66-83B8-0D39651B66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externalReferences>
    <externalReference r:id="rId4"/>
  </externalReferences>
  <definedNames>
    <definedName name="aa">[1]Hoja2!$A$2:$G$66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0" i="1" l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I18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<sst xmlns="http://schemas.openxmlformats.org/spreadsheetml/2006/main" count="2540" uniqueCount="2453">
  <si>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</si>
  <si>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</si>
  <si>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</si>
  <si>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</si>
  <si>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</si>
  <si>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</si>
  <si>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</si>
  <si>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</si>
  <si>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</si>
  <si>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</si>
  <si>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</si>
  <si>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</si>
  <si>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</si>
  <si>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</si>
  <si>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</si>
  <si>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</si>
  <si>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</si>
  <si>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</si>
  <si>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</si>
  <si>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</si>
  <si>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</si>
  <si>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</si>
  <si>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</si>
  <si>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</si>
  <si>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</si>
  <si>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</si>
  <si>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</si>
  <si>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</si>
  <si>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</si>
  <si>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</si>
  <si>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</si>
  <si>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</si>
  <si>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</si>
  <si>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</si>
  <si>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</si>
  <si>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</si>
  <si>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</si>
  <si>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</si>
  <si>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</si>
  <si>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</si>
  <si>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</si>
  <si>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</si>
  <si>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</si>
  <si>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</si>
  <si>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</si>
  <si>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</si>
  <si>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</si>
  <si>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</si>
  <si>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</si>
  <si>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</si>
  <si>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</si>
  <si>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</si>
  <si>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</si>
  <si>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</si>
  <si>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</si>
  <si>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</si>
  <si>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</si>
  <si>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</si>
  <si>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</si>
  <si>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</si>
  <si>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</si>
  <si>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</si>
  <si>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</si>
  <si>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</si>
  <si>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</si>
  <si>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</si>
  <si>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</si>
  <si>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</si>
  <si>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</si>
  <si>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</si>
  <si>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</si>
  <si>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</si>
  <si>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</si>
  <si>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</si>
  <si>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</si>
  <si>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</si>
  <si>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</si>
  <si>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</si>
  <si>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</si>
  <si>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</si>
  <si>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</si>
  <si>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</si>
  <si>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</si>
  <si>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</si>
  <si>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</si>
  <si>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</si>
  <si>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</si>
  <si>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</si>
  <si>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</si>
  <si>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</si>
  <si>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</si>
  <si>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</si>
  <si>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</si>
  <si>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</si>
  <si>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</si>
  <si>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</si>
  <si>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</si>
  <si>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</si>
  <si>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</si>
  <si>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</si>
  <si>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</si>
  <si>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</si>
  <si>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</si>
  <si>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</si>
  <si>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</si>
  <si>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</si>
  <si>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</si>
  <si>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</si>
  <si>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</si>
  <si>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</si>
  <si>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</si>
  <si>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</si>
  <si>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</si>
  <si>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</si>
  <si>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</si>
  <si>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</si>
  <si>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</si>
  <si>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</si>
  <si>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</si>
  <si>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</si>
  <si>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</si>
  <si>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</si>
  <si>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</si>
  <si>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</si>
  <si>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</si>
  <si>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</si>
  <si>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</si>
  <si>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</si>
  <si>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</si>
  <si>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</si>
  <si>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</si>
  <si>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</si>
  <si>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</si>
  <si>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</si>
  <si>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</si>
  <si>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</si>
  <si>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</si>
  <si>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</si>
  <si>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</si>
  <si>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</si>
  <si>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</si>
  <si>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</si>
  <si>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</si>
  <si>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</si>
  <si>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</si>
  <si>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</si>
  <si>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</si>
  <si>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</si>
  <si>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</si>
  <si>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</si>
  <si>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</si>
  <si>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</si>
  <si>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</si>
  <si>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</si>
  <si>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</si>
  <si>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</si>
  <si>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</si>
  <si>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</si>
  <si>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</si>
  <si>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</si>
  <si>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</si>
  <si>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</si>
  <si>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</si>
  <si>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</si>
  <si>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</si>
  <si>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</si>
  <si>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</si>
  <si>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</si>
  <si>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</si>
  <si>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</si>
  <si>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</si>
  <si>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</si>
  <si>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</si>
  <si>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</si>
  <si>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</si>
  <si>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</si>
  <si>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</si>
  <si>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</si>
  <si>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</si>
  <si>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</si>
  <si>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</si>
  <si>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</si>
  <si>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</si>
  <si>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</si>
  <si>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</si>
  <si>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</si>
  <si>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</si>
  <si>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</si>
  <si>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</si>
  <si>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</si>
  <si>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</si>
  <si>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</si>
  <si>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</si>
  <si>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</si>
  <si>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</si>
  <si>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</si>
  <si>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</si>
  <si>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</si>
  <si>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</si>
  <si>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</si>
  <si>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</si>
  <si>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</si>
  <si>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</si>
  <si>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</si>
  <si>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</si>
  <si>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</si>
  <si>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</si>
  <si>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</si>
  <si>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</si>
  <si>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</si>
  <si>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</si>
  <si>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</si>
  <si>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</si>
  <si>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</si>
  <si>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</si>
  <si>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</si>
  <si>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</si>
  <si>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</si>
  <si>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</si>
  <si>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</si>
  <si>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</si>
  <si>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</si>
  <si>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</si>
  <si>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</si>
  <si>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</si>
  <si>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</si>
  <si>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</si>
  <si>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</si>
  <si>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</si>
  <si>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</si>
  <si>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</si>
  <si>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</si>
  <si>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</si>
  <si>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</si>
  <si>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</si>
  <si>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</si>
  <si>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</si>
  <si>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</si>
  <si>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</si>
  <si>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</si>
  <si>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</si>
  <si>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</si>
  <si>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</si>
  <si>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</si>
  <si>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</si>
  <si>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</si>
  <si>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</si>
  <si>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</si>
  <si>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</si>
  <si>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</si>
  <si>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</si>
  <si>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</si>
  <si>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</si>
  <si>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</si>
  <si>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</si>
  <si>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</si>
  <si>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</si>
  <si>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</si>
  <si>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</si>
  <si>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</si>
  <si>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</si>
  <si>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</si>
  <si>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</si>
  <si>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</si>
  <si>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</si>
  <si>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</si>
  <si>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</si>
  <si>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</si>
  <si>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</si>
  <si>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</si>
  <si>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</si>
  <si>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</si>
  <si>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</si>
  <si>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</si>
  <si>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</si>
  <si>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</si>
  <si>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</si>
  <si>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</si>
  <si>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</si>
  <si>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</si>
  <si>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</si>
  <si>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</si>
  <si>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</si>
  <si>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</si>
  <si>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</si>
  <si>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</si>
  <si>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</si>
  <si>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</si>
  <si>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</si>
  <si>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</si>
  <si>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</si>
  <si>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</si>
  <si>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</si>
  <si>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</si>
  <si>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</si>
  <si>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</si>
  <si>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</si>
  <si>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</si>
  <si>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</si>
  <si>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</si>
  <si>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</si>
  <si>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</si>
  <si>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</si>
  <si>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</si>
  <si>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</si>
  <si>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</si>
  <si>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</si>
  <si>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</si>
  <si>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</si>
  <si>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</si>
  <si>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</si>
  <si>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</si>
  <si>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</si>
  <si>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</si>
  <si>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</si>
  <si>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</si>
  <si>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</si>
  <si>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</si>
  <si>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</si>
  <si>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</si>
  <si>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</si>
  <si>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</si>
  <si>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</si>
  <si>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</si>
  <si>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</si>
  <si>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</si>
  <si>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</si>
  <si>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</si>
  <si>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</si>
  <si>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</si>
  <si>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</si>
  <si>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</si>
  <si>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</si>
  <si>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</si>
  <si>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</si>
  <si>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</si>
  <si>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</si>
  <si>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</si>
  <si>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</si>
  <si>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</si>
  <si>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</si>
  <si>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</si>
  <si>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</si>
  <si>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</si>
  <si>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</si>
  <si>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</si>
  <si>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</si>
  <si>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</si>
  <si>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</si>
  <si>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</si>
  <si>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</si>
  <si>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</si>
  <si>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</si>
  <si>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</si>
  <si>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</si>
  <si>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</si>
  <si>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</si>
  <si>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</si>
  <si>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</si>
  <si>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</si>
  <si>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</si>
  <si>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</si>
  <si>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</si>
  <si>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</si>
  <si>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</si>
  <si>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</si>
  <si>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</si>
  <si>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</si>
  <si>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</si>
  <si>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</si>
  <si>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</si>
  <si>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</si>
  <si>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</si>
  <si>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</si>
  <si>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</si>
  <si>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</si>
  <si>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</si>
  <si>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</si>
  <si>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</si>
  <si>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</si>
  <si>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</si>
  <si>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</si>
  <si>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</si>
  <si>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</si>
  <si>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</si>
  <si>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</si>
  <si>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</si>
  <si>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</si>
  <si>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</si>
  <si>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</si>
  <si>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</si>
  <si>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</si>
  <si>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</si>
  <si>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</si>
  <si>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</si>
  <si>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</si>
  <si>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</si>
  <si>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</si>
  <si>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</si>
  <si>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</si>
  <si>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</si>
  <si>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</si>
  <si>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</si>
  <si>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</si>
  <si>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</si>
  <si>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</si>
  <si>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</si>
  <si>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</si>
  <si>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</si>
  <si>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</si>
  <si>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</si>
  <si>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</si>
  <si>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</si>
  <si>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</si>
  <si>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</si>
  <si>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</si>
  <si>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</si>
  <si>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</si>
  <si>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</si>
  <si>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</si>
  <si>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</si>
  <si>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</si>
  <si>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</si>
  <si>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</si>
  <si>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</si>
  <si>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</si>
  <si>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</si>
  <si>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</si>
  <si>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</si>
  <si>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</si>
  <si>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</si>
  <si>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</si>
  <si>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</si>
  <si>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</si>
  <si>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</si>
  <si>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</si>
  <si>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</si>
  <si>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</si>
  <si>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</si>
  <si>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</si>
  <si>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</si>
  <si>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</si>
  <si>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</si>
  <si>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</si>
  <si>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</si>
  <si>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</si>
  <si>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</si>
  <si>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</si>
  <si>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</si>
  <si>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</si>
  <si>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</si>
  <si>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</si>
  <si>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</si>
  <si>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</si>
  <si>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</si>
  <si>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</si>
  <si>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</si>
  <si>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</si>
  <si>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</si>
  <si>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</si>
  <si>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</si>
  <si>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</si>
  <si>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</si>
  <si>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</si>
  <si>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</si>
  <si>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</si>
  <si>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</si>
  <si>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</si>
  <si>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</si>
  <si>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</si>
  <si>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</si>
  <si>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</si>
  <si>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</si>
  <si>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</si>
  <si>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</si>
  <si>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</si>
  <si>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</si>
  <si>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</si>
  <si>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</si>
  <si>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</si>
  <si>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</si>
  <si>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</si>
  <si>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</si>
  <si>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</si>
  <si>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</si>
  <si>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</si>
  <si>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</si>
  <si>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</si>
  <si>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</si>
  <si>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</si>
  <si>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</si>
  <si>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</si>
  <si>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</si>
  <si>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</si>
  <si>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</si>
  <si>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</si>
  <si>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</si>
  <si>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</si>
  <si>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</si>
  <si>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</si>
  <si>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</si>
  <si>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</si>
  <si>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</si>
  <si>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</si>
  <si>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</si>
  <si>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</si>
  <si>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</si>
  <si>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</si>
  <si>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</si>
  <si>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</si>
  <si>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</si>
  <si>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</si>
  <si>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</si>
  <si>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</si>
  <si>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</si>
  <si>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</si>
  <si>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</si>
  <si>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</si>
  <si>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</si>
  <si>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</si>
  <si>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</si>
  <si>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</si>
  <si>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</si>
  <si>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</si>
  <si>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</si>
  <si>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</si>
  <si>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</si>
  <si>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</si>
  <si>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</si>
  <si>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</si>
  <si>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</si>
  <si>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</si>
  <si>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</si>
  <si>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</si>
  <si>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</si>
  <si>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</si>
  <si>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</si>
  <si>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</si>
  <si>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</si>
  <si>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</si>
  <si>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</si>
  <si>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</si>
  <si>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</si>
  <si>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</si>
  <si>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</si>
  <si>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</si>
  <si>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</si>
  <si>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</si>
  <si>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</si>
  <si>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</si>
  <si>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</si>
  <si>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</si>
  <si>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</si>
  <si>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</si>
  <si>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</si>
  <si>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</si>
  <si>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</si>
  <si>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</si>
  <si>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</si>
  <si>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</si>
  <si>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</si>
  <si>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</si>
  <si>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</si>
  <si>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</si>
  <si>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</si>
  <si>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</si>
  <si>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</si>
  <si>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</si>
  <si>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</si>
  <si>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</si>
  <si>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</si>
  <si>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</si>
  <si>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</si>
  <si>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</si>
  <si>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</si>
  <si>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</si>
  <si>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</si>
  <si>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</si>
  <si>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</si>
  <si>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</si>
  <si>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</si>
  <si>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</si>
  <si>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</si>
  <si>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</si>
  <si>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</si>
  <si>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</si>
  <si>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</si>
  <si>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</si>
  <si>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</si>
  <si>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</si>
  <si>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</si>
  <si>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</si>
  <si>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</si>
  <si>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</si>
  <si>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</si>
  <si>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</si>
  <si>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</si>
  <si>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</si>
  <si>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</si>
  <si>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</si>
  <si>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</si>
  <si>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</si>
  <si>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</si>
  <si>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</si>
  <si>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</si>
  <si>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</si>
  <si>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</si>
  <si>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</si>
  <si>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</si>
  <si>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</si>
  <si>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</si>
  <si>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</si>
  <si>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</si>
  <si>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</si>
  <si>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</si>
  <si>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</si>
  <si>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</si>
  <si>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</si>
  <si>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</si>
  <si>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</si>
  <si>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</si>
  <si>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</si>
  <si>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</si>
  <si>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</si>
  <si>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</si>
  <si>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</si>
  <si>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</si>
  <si>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</si>
  <si>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</si>
  <si>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</si>
  <si>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</si>
  <si>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</si>
  <si>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</si>
  <si>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</si>
  <si>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</si>
  <si>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</si>
  <si>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</si>
  <si>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</si>
  <si>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</si>
  <si>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</si>
  <si>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</si>
  <si>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</si>
  <si>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</si>
  <si>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</si>
  <si>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</si>
  <si>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</si>
  <si>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</si>
  <si>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</si>
  <si>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</si>
  <si>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</si>
  <si>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</si>
  <si>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</si>
  <si>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</si>
  <si>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</si>
  <si>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</si>
  <si>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</si>
  <si>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</si>
  <si>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</si>
  <si>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</si>
  <si>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</si>
  <si>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</si>
  <si>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</si>
  <si>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</si>
  <si>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</si>
  <si>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</si>
  <si>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</si>
  <si>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</si>
  <si>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</si>
  <si>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</si>
  <si>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</si>
  <si>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</si>
  <si>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</si>
  <si>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</si>
  <si>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</si>
  <si>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</si>
  <si>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</si>
  <si>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</si>
  <si>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</si>
  <si>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</si>
  <si>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</si>
  <si>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</si>
  <si>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</si>
  <si>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</si>
  <si>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</si>
  <si>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</si>
  <si>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</si>
  <si>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</si>
  <si>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</si>
  <si>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</si>
  <si>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</si>
  <si>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</si>
  <si>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</si>
  <si>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</si>
  <si>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</si>
  <si>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</si>
  <si>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</si>
  <si>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</si>
  <si>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</si>
  <si>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</si>
  <si>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</si>
  <si>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</si>
  <si>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</si>
  <si>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</si>
  <si>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</si>
  <si>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</si>
  <si>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</si>
  <si>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</si>
  <si>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</si>
  <si>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</si>
  <si>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</si>
  <si>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</si>
  <si>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</si>
  <si>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</si>
  <si>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</si>
  <si>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</si>
  <si>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</si>
  <si>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</si>
  <si>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</si>
  <si>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</si>
  <si>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</si>
  <si>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</si>
  <si>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</si>
  <si>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</si>
  <si>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</si>
  <si>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</si>
  <si>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</si>
  <si>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</si>
  <si>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</si>
  <si>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</si>
  <si>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</si>
  <si>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</si>
  <si>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</si>
  <si>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</si>
  <si>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</si>
  <si>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</si>
  <si>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</si>
  <si>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</si>
  <si>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</si>
  <si>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</si>
  <si>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</si>
  <si>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</si>
  <si>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</si>
  <si>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</si>
  <si>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</si>
  <si>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</si>
  <si>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</si>
  <si>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</si>
  <si>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</si>
  <si>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</si>
  <si>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</si>
  <si>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</si>
  <si>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</si>
  <si>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</si>
  <si>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</si>
  <si>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</si>
  <si>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</si>
  <si>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</si>
  <si>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</si>
  <si>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</si>
  <si>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</si>
  <si>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</si>
  <si>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</si>
  <si>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</si>
  <si>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</si>
  <si>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</si>
  <si>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</si>
  <si>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</si>
  <si>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</si>
  <si>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</si>
  <si>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</si>
  <si>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</si>
  <si>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</si>
  <si>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</si>
  <si>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</si>
  <si>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</si>
  <si>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</si>
  <si>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</si>
  <si>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</si>
  <si>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</si>
  <si>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</si>
  <si>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</si>
  <si>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</si>
  <si>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</si>
  <si>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</si>
  <si>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</si>
  <si>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</si>
  <si>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</si>
  <si>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</si>
  <si>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</si>
  <si>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</si>
  <si>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</si>
  <si>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</si>
  <si>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</si>
  <si>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</si>
  <si>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</si>
  <si>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</si>
  <si>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</si>
  <si>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</si>
  <si>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</si>
  <si>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</si>
  <si>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</si>
  <si>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</si>
  <si>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</si>
  <si>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</si>
  <si>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</si>
  <si>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</si>
  <si>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</si>
  <si>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</si>
  <si>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</si>
  <si>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</si>
  <si>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</si>
  <si>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</si>
  <si>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</si>
  <si>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</si>
  <si>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</si>
  <si>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</si>
  <si>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</si>
  <si>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</si>
  <si>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</si>
  <si>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</si>
  <si>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</si>
  <si>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</si>
  <si>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</si>
  <si>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</si>
  <si>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</si>
  <si>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</si>
  <si>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</si>
  <si>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</si>
  <si>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</si>
  <si>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</si>
  <si>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</si>
  <si>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</si>
  <si>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</si>
  <si>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</si>
  <si>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</si>
  <si>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</si>
  <si>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</si>
  <si>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</si>
  <si>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</si>
  <si>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</si>
  <si>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</si>
  <si>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</si>
  <si>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</si>
  <si>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</si>
  <si>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</si>
  <si>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</si>
  <si>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</si>
  <si>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</si>
  <si>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</si>
  <si>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</si>
  <si>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</si>
  <si>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</si>
  <si>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</si>
  <si>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</si>
  <si>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</si>
  <si>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</si>
  <si>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</si>
  <si>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</si>
  <si>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</si>
  <si>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</si>
  <si>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</si>
  <si>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</si>
  <si>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</si>
  <si>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</si>
  <si>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</si>
  <si>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</si>
  <si>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</si>
  <si>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</si>
  <si>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</si>
  <si>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</si>
  <si>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</si>
  <si>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</si>
  <si>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</si>
  <si>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</si>
  <si>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</si>
  <si>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</si>
  <si>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</si>
  <si>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</si>
  <si>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</si>
  <si>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</si>
  <si>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</si>
  <si>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</si>
  <si>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</si>
  <si>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</si>
  <si>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</si>
  <si>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</si>
  <si>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</si>
  <si>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</si>
  <si>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</si>
  <si>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</si>
  <si>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</si>
  <si>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</si>
  <si>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</si>
  <si>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</si>
  <si>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</si>
  <si>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</si>
  <si>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</si>
  <si>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</si>
  <si>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</si>
  <si>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</si>
  <si>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</si>
  <si>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</si>
  <si>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</si>
  <si>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</si>
  <si>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</si>
  <si>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</si>
  <si>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</si>
  <si>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</si>
  <si>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</si>
  <si>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</si>
  <si>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</si>
  <si>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</si>
  <si>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</si>
  <si>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</si>
  <si>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</si>
  <si>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</si>
  <si>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</si>
  <si>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</si>
  <si>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</si>
  <si>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</si>
  <si>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</si>
  <si>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</si>
  <si>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</si>
  <si>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</si>
  <si>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</si>
  <si>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</si>
  <si>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</si>
  <si>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</si>
  <si>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</si>
  <si>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</si>
  <si>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</si>
  <si>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</si>
  <si>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</si>
  <si>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</si>
  <si>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</si>
  <si>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</si>
  <si>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</si>
  <si>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</si>
  <si>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</si>
  <si>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</si>
  <si>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</si>
  <si>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</si>
  <si>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</si>
  <si>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</si>
  <si>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</si>
  <si>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</si>
  <si>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</si>
  <si>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</si>
  <si>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</si>
  <si>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</si>
  <si>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</si>
  <si>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</si>
  <si>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</si>
  <si>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</si>
  <si>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</si>
  <si>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</si>
  <si>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</si>
  <si>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</si>
  <si>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</si>
  <si>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</si>
  <si>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</si>
  <si>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</si>
  <si>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</si>
  <si>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</si>
  <si>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</si>
  <si>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</si>
  <si>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</si>
  <si>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</si>
  <si>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</si>
  <si>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</si>
  <si>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</si>
  <si>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</si>
  <si>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</si>
  <si>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</si>
  <si>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</si>
  <si>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</si>
  <si>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</si>
  <si>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</si>
  <si>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</si>
  <si>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</si>
  <si>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</si>
  <si>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</si>
  <si>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</si>
  <si>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</si>
  <si>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</si>
  <si>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</si>
  <si>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</si>
  <si>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</si>
  <si>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</si>
  <si>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</si>
  <si>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</si>
  <si>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</si>
  <si>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</si>
  <si>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</si>
  <si>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</si>
  <si>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</si>
  <si>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</si>
  <si>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</si>
  <si>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</si>
  <si>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</si>
  <si>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</si>
  <si>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</si>
  <si>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</si>
  <si>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</si>
  <si>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</si>
  <si>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</si>
  <si>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</si>
  <si>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</si>
  <si>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</si>
  <si>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</si>
  <si>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</si>
  <si>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</si>
  <si>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</si>
  <si>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</si>
  <si>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</si>
  <si>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</si>
  <si>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</si>
  <si>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</si>
  <si>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</si>
  <si>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</si>
  <si>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</si>
  <si>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</si>
  <si>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</si>
  <si>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</si>
  <si>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</si>
  <si>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</si>
  <si>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</si>
  <si>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</si>
  <si>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</si>
  <si>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</si>
  <si>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</si>
  <si>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</si>
  <si>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</si>
  <si>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</si>
  <si>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</si>
  <si>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</si>
  <si>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</si>
  <si>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</si>
  <si>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</si>
  <si>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</si>
  <si>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</si>
  <si>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</si>
  <si>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</si>
  <si>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</si>
  <si>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</si>
  <si>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</si>
  <si>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</si>
  <si>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</si>
  <si>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</si>
  <si>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</si>
  <si>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</si>
  <si>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</si>
  <si>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</si>
  <si>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</si>
  <si>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</si>
  <si>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</si>
  <si>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</si>
  <si>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</si>
  <si>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</si>
  <si>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</si>
  <si>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</si>
  <si>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</si>
  <si>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</si>
  <si>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</si>
  <si>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</si>
  <si>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</si>
  <si>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</si>
  <si>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</si>
  <si>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</si>
  <si>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</si>
  <si>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</si>
  <si>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</si>
  <si>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</si>
  <si>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</si>
  <si>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</si>
  <si>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</si>
  <si>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</si>
  <si>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</si>
  <si>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</si>
  <si>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</si>
  <si>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</si>
  <si>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</si>
  <si>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</si>
  <si>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</si>
  <si>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</si>
  <si>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</si>
  <si>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</si>
  <si>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</si>
  <si>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</si>
  <si>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</si>
  <si>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</si>
  <si>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</si>
  <si>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</si>
  <si>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</si>
  <si>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</si>
  <si>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</si>
  <si>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</si>
  <si>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</si>
  <si>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</si>
  <si>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</si>
  <si>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</si>
  <si>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</si>
  <si>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</si>
  <si>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</si>
  <si>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</si>
  <si>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</si>
  <si>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</si>
  <si>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</si>
  <si>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</si>
  <si>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</si>
  <si>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</si>
  <si>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</si>
  <si>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</si>
  <si>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</si>
  <si>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</si>
  <si>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</si>
  <si>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</si>
  <si>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</si>
  <si>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</si>
  <si>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</si>
  <si>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</si>
  <si>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</si>
  <si>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</si>
  <si>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</si>
  <si>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</si>
  <si>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</si>
  <si>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</si>
  <si>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</si>
  <si>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</si>
  <si>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</si>
  <si>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</si>
  <si>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</si>
  <si>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</si>
  <si>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</si>
  <si>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</si>
  <si>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</si>
  <si>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</si>
  <si>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</si>
  <si>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</si>
  <si>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</si>
  <si>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</si>
  <si>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</si>
  <si>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</si>
  <si>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</si>
  <si>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</si>
  <si>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</si>
  <si>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</si>
  <si>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</si>
  <si>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</si>
  <si>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</si>
  <si>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</si>
  <si>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</si>
  <si>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</si>
  <si>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</si>
  <si>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</si>
  <si>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</si>
  <si>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</si>
  <si>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</si>
  <si>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</si>
  <si>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</si>
  <si>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</si>
  <si>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</si>
  <si>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</si>
  <si>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</si>
  <si>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</si>
  <si>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</si>
  <si>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</si>
  <si>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</si>
  <si>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</si>
  <si>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</si>
  <si>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</si>
  <si>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</si>
  <si>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</si>
  <si>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</si>
  <si>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</si>
  <si>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</si>
  <si>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</si>
  <si>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</si>
  <si>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</si>
  <si>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</si>
  <si>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</si>
  <si>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</si>
  <si>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</si>
  <si>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</si>
  <si>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</si>
  <si>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</si>
  <si>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</si>
  <si>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</si>
  <si>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</si>
  <si>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</si>
  <si>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</si>
  <si>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</si>
  <si>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</si>
  <si>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</si>
  <si>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</si>
  <si>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</si>
  <si>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</si>
  <si>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</si>
  <si>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</si>
  <si>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</si>
  <si>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</si>
  <si>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</si>
  <si>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</si>
  <si>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</si>
  <si>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</si>
  <si>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</si>
  <si>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</si>
  <si>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</si>
  <si>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</si>
  <si>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</si>
  <si>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</si>
  <si>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</si>
  <si>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</si>
  <si>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</si>
  <si>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</si>
  <si>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</si>
  <si>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</si>
  <si>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</si>
  <si>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</si>
  <si>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</si>
  <si>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</si>
  <si>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</si>
  <si>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</si>
  <si>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</si>
  <si>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</si>
  <si>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</si>
  <si>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</si>
  <si>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</si>
  <si>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</si>
  <si>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</si>
  <si>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</si>
  <si>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</si>
  <si>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</si>
  <si>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</si>
  <si>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</si>
  <si>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</si>
  <si>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</si>
  <si>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</si>
  <si>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</si>
  <si>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</si>
  <si>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</si>
  <si>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</si>
  <si>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</si>
  <si>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</si>
  <si>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</si>
  <si>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</si>
  <si>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</si>
  <si>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</si>
  <si>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</si>
  <si>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</si>
  <si>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</si>
  <si>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</si>
  <si>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</si>
  <si>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</si>
  <si>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</si>
  <si>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</si>
  <si>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</si>
  <si>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</si>
  <si>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</si>
  <si>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</si>
  <si>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</si>
  <si>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</si>
  <si>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</si>
  <si>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</si>
  <si>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</si>
  <si>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</si>
  <si>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</si>
  <si>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</si>
  <si>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</si>
  <si>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</si>
  <si>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</si>
  <si>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</si>
  <si>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</si>
  <si>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</si>
  <si>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</si>
  <si>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</si>
  <si>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</si>
  <si>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</si>
  <si>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</si>
  <si>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</si>
  <si>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</si>
  <si>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</si>
  <si>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</si>
  <si>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</si>
  <si>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</si>
  <si>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</si>
  <si>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</si>
  <si>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</si>
  <si>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</si>
  <si>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</si>
  <si>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</si>
  <si>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</si>
  <si>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</si>
  <si>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</si>
  <si>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</si>
  <si>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</si>
  <si>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</si>
  <si>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</si>
  <si>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</si>
  <si>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</si>
  <si>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</si>
  <si>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</si>
  <si>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</si>
  <si>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</si>
  <si>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</si>
  <si>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</si>
  <si>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</si>
  <si>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</si>
  <si>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</si>
  <si>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</si>
  <si>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</si>
  <si>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</si>
  <si>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</si>
  <si>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</si>
  <si>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</si>
  <si>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</si>
  <si>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</si>
  <si>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</si>
  <si>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</si>
  <si>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</si>
  <si>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</si>
  <si>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</si>
  <si>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</si>
  <si>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</si>
  <si>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</si>
  <si>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</si>
  <si>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</si>
  <si>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</si>
  <si>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</si>
  <si>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</si>
  <si>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</si>
  <si>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</si>
  <si>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</si>
  <si>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</si>
  <si>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</si>
  <si>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</si>
  <si>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</si>
  <si>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</si>
  <si>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</si>
  <si>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</si>
  <si>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</si>
  <si>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</si>
  <si>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</si>
  <si>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</si>
  <si>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</si>
  <si>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</si>
  <si>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</si>
  <si>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</si>
  <si>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</si>
  <si>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</si>
  <si>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</si>
  <si>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</si>
  <si>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</si>
  <si>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</si>
  <si>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</si>
  <si>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</si>
  <si>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</si>
  <si>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</si>
  <si>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</si>
  <si>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</si>
  <si>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</si>
  <si>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</si>
  <si>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</si>
  <si>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</si>
  <si>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</si>
  <si>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</si>
  <si>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</si>
  <si>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</si>
  <si>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</si>
  <si>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</si>
  <si>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</si>
  <si>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</si>
  <si>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</si>
  <si>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</si>
  <si>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</si>
  <si>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</si>
  <si>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</si>
  <si>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</si>
  <si>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</si>
  <si>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</si>
  <si>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</si>
  <si>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</si>
  <si>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</si>
  <si>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</si>
  <si>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</si>
  <si>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</si>
  <si>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</si>
  <si>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</si>
  <si>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</si>
  <si>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</si>
  <si>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</si>
  <si>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</si>
  <si>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</si>
  <si>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</si>
  <si>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</si>
  <si>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</si>
  <si>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</si>
  <si>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</si>
  <si>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</si>
  <si>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</si>
  <si>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</si>
  <si>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</si>
  <si>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</si>
  <si>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</si>
  <si>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</si>
  <si>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</si>
  <si>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</si>
  <si>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</si>
  <si>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</si>
  <si>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</si>
  <si>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</si>
  <si>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</si>
  <si>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</si>
  <si>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</si>
  <si>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</si>
  <si>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</si>
  <si>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</si>
  <si>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</si>
  <si>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</si>
  <si>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</si>
  <si>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</si>
  <si>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</si>
  <si>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</si>
  <si>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</si>
  <si>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</si>
  <si>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</si>
  <si>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</si>
  <si>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</si>
  <si>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</si>
  <si>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</si>
  <si>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</si>
  <si>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</si>
  <si>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</si>
  <si>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</si>
  <si>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</si>
  <si>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</si>
  <si>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</si>
  <si>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</si>
  <si>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</si>
  <si>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</si>
  <si>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</si>
  <si>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</si>
  <si>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</si>
  <si>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</si>
  <si>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</si>
  <si>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</si>
  <si>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</si>
  <si>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</si>
  <si>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</si>
  <si>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</si>
  <si>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</si>
  <si>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</si>
  <si>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</si>
  <si>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</si>
  <si>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</si>
  <si>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</si>
  <si>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</si>
  <si>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</si>
  <si>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</si>
  <si>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</si>
  <si>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</si>
  <si>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</si>
  <si>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</si>
  <si>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</si>
  <si>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</si>
  <si>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</si>
  <si>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</si>
  <si>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</si>
  <si>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</si>
  <si>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</si>
  <si>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</si>
  <si>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</si>
  <si>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</si>
  <si>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</si>
  <si>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</si>
  <si>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</si>
  <si>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</si>
  <si>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</si>
  <si>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</si>
  <si>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</si>
  <si>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</si>
  <si>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</si>
  <si>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</si>
  <si>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</si>
  <si>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</si>
  <si>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</si>
  <si>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</si>
  <si>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</si>
  <si>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</si>
  <si>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</si>
  <si>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</si>
  <si>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</si>
  <si>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</si>
  <si>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</si>
  <si>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</si>
  <si>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</si>
  <si>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</si>
  <si>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</si>
  <si>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</si>
  <si>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</si>
  <si>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</si>
  <si>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</si>
  <si>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</si>
  <si>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</si>
  <si>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</si>
  <si>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</si>
  <si>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</si>
  <si>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</si>
  <si>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</si>
  <si>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</si>
  <si>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</si>
  <si>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</si>
  <si>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</si>
  <si>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</si>
  <si>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</si>
  <si>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</si>
  <si>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</si>
  <si>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</si>
  <si>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</si>
  <si>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</si>
  <si>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</si>
  <si>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</si>
  <si>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</si>
  <si>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</si>
  <si>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</si>
  <si>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</si>
  <si>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</si>
  <si>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</si>
  <si>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</si>
  <si>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</si>
  <si>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</si>
  <si>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</si>
  <si>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</si>
  <si>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</si>
  <si>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</si>
  <si>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</si>
  <si>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</si>
  <si>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</si>
  <si>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</si>
  <si>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</si>
  <si>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</si>
  <si>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</si>
  <si>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</si>
  <si>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</si>
  <si>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</si>
  <si>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</si>
  <si>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</si>
  <si>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</si>
  <si>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</si>
  <si>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</si>
  <si>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</si>
  <si>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</si>
  <si>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</si>
  <si>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</si>
  <si>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</si>
  <si>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</si>
  <si>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</si>
  <si>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</si>
  <si>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</si>
  <si>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</si>
  <si>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</si>
  <si>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</si>
  <si>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</si>
  <si>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</si>
  <si>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</si>
  <si>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</si>
  <si>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</si>
  <si>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</si>
  <si>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</si>
  <si>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</si>
  <si>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</si>
  <si>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</si>
  <si>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</si>
  <si>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</si>
  <si>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</si>
  <si>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</si>
  <si>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</si>
  <si>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</si>
  <si>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</si>
  <si>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</si>
  <si>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</si>
  <si>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</si>
  <si>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</si>
  <si>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</si>
  <si>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</si>
  <si>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</si>
  <si>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</si>
  <si>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</si>
  <si>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</si>
  <si>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</si>
  <si>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</si>
  <si>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</si>
  <si>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</si>
  <si>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</si>
  <si>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</si>
  <si>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</si>
  <si>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</si>
  <si>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</si>
  <si>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</si>
  <si>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</si>
  <si>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</si>
  <si>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</si>
  <si>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</si>
  <si>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</si>
  <si>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</si>
  <si>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</si>
  <si>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</si>
  <si>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</si>
  <si>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</si>
  <si>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</si>
  <si>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</si>
  <si>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</si>
  <si>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</si>
  <si>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</si>
  <si>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</si>
  <si>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</si>
  <si>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</si>
  <si>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</si>
  <si>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</si>
  <si>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</si>
  <si>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</si>
  <si>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</si>
  <si>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</si>
  <si>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</si>
  <si>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</si>
  <si>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</si>
  <si>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</si>
  <si>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</si>
  <si>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</si>
  <si>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</si>
  <si>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</si>
  <si>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</si>
  <si>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</si>
  <si>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</si>
  <si>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</si>
  <si>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</si>
  <si>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</si>
  <si>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</si>
  <si>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</si>
  <si>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</si>
  <si>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</si>
  <si>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</si>
  <si>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</si>
  <si>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</si>
  <si>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</si>
  <si>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</si>
  <si>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</si>
  <si>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</si>
  <si>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</si>
  <si>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</si>
  <si>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</si>
  <si>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</si>
  <si>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</si>
  <si>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</si>
  <si>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</si>
  <si>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</si>
  <si>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</si>
  <si>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</si>
  <si>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</si>
  <si>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</si>
  <si>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</si>
  <si>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</si>
  <si>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</si>
  <si>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</si>
  <si>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</si>
  <si>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</si>
  <si>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</si>
  <si>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</si>
  <si>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</si>
  <si>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</si>
  <si>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</si>
  <si>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</si>
  <si>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</si>
  <si>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</si>
  <si>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</si>
  <si>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</si>
  <si>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</si>
  <si>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</si>
  <si>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</si>
  <si>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</si>
  <si>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</si>
  <si>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</si>
  <si>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</si>
  <si>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</si>
  <si>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</si>
  <si>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</si>
  <si>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</si>
  <si>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</si>
  <si>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</si>
  <si>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</si>
  <si>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</si>
  <si>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</si>
  <si>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</si>
  <si>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</si>
  <si>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</si>
  <si>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</si>
  <si>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</si>
  <si>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</si>
  <si>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</si>
  <si>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</si>
  <si>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</si>
  <si>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</si>
  <si>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</si>
  <si>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</si>
  <si>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</si>
  <si>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</si>
  <si>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</si>
  <si>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</si>
  <si>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</si>
  <si>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</si>
  <si>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</si>
  <si>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</si>
  <si>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</si>
  <si>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</si>
  <si>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</si>
  <si>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</si>
  <si>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</si>
  <si>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</si>
  <si>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</si>
  <si>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</si>
  <si>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</si>
  <si>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</si>
  <si>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</si>
  <si>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</si>
  <si>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</si>
  <si>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</si>
  <si>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</si>
  <si>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</si>
  <si>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</si>
  <si>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</si>
  <si>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</si>
  <si>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</si>
  <si>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</si>
  <si>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</si>
  <si>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</si>
  <si>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</si>
  <si>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</si>
  <si>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</si>
  <si>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</si>
  <si>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</si>
  <si>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</si>
  <si>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</si>
  <si>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</si>
  <si>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</si>
  <si>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</si>
  <si>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</si>
  <si>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</si>
  <si>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</si>
  <si>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</si>
  <si>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</si>
  <si>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</si>
  <si>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</si>
  <si>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</si>
  <si>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</si>
  <si>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</si>
  <si>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</si>
  <si>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</si>
  <si>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</si>
  <si>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</si>
  <si>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</si>
  <si>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</si>
  <si>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</si>
  <si>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</si>
  <si>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</si>
  <si>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</si>
  <si>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</si>
  <si>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</si>
  <si>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</si>
  <si>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</si>
  <si>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</si>
  <si>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</si>
  <si>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</si>
  <si>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</si>
  <si>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</si>
  <si>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</si>
  <si>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</si>
  <si>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</si>
  <si>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</si>
  <si>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</si>
  <si>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</si>
  <si>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</si>
  <si>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</si>
  <si>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</si>
  <si>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</si>
  <si>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</si>
  <si>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</si>
  <si>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</si>
  <si>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</si>
  <si>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</si>
  <si>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</si>
  <si>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</si>
  <si>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</si>
  <si>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</si>
  <si>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</si>
  <si>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</si>
  <si>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</si>
  <si>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</si>
  <si>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</si>
  <si>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</si>
  <si>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</si>
  <si>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</si>
  <si>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</si>
  <si>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</si>
  <si>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</si>
  <si>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</si>
  <si>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</si>
  <si>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</si>
  <si>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</si>
  <si>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</si>
  <si>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</si>
  <si>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</si>
  <si>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</si>
  <si>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</si>
  <si>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</si>
  <si>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</si>
  <si>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</si>
  <si>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</si>
  <si>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</si>
  <si>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</si>
  <si>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</si>
  <si>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</si>
  <si>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</si>
  <si>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</si>
  <si>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</si>
  <si>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</si>
  <si>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</si>
  <si>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</si>
  <si>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</si>
  <si>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</si>
  <si>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</si>
  <si>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</si>
  <si>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</si>
  <si>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</si>
  <si>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</si>
  <si>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</si>
  <si>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</si>
  <si>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</si>
  <si>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</si>
  <si>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</si>
  <si>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</si>
  <si>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</si>
  <si>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</si>
  <si>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</si>
  <si>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</si>
  <si>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</si>
  <si>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</si>
  <si>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</si>
  <si>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</si>
  <si>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</si>
  <si>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</si>
  <si>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</si>
  <si>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</si>
  <si>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</si>
  <si>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</si>
  <si>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</si>
  <si>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</si>
  <si>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</si>
  <si>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</si>
  <si>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</si>
  <si>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</si>
  <si>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</si>
  <si>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</si>
  <si>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</si>
  <si>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</si>
  <si>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</si>
  <si>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</si>
  <si>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</si>
  <si>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</si>
  <si>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</si>
  <si>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</si>
  <si>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</si>
  <si>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</si>
  <si>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</si>
  <si>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</si>
  <si>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</si>
  <si>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</si>
  <si>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</si>
  <si>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</si>
  <si>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</si>
  <si>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</si>
  <si>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</si>
  <si>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</si>
  <si>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</si>
  <si>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</si>
  <si>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</si>
  <si>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</si>
  <si>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</si>
  <si>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</si>
  <si>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</si>
  <si>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</si>
  <si>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</si>
  <si>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</si>
  <si>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</si>
  <si>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</si>
  <si>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</si>
  <si>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</si>
  <si>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</si>
  <si>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</si>
  <si>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</si>
  <si>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</si>
  <si>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</si>
  <si>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</si>
  <si>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</si>
  <si>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</si>
  <si>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</si>
  <si>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</si>
  <si>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</si>
  <si>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</si>
  <si>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</si>
  <si>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</si>
  <si>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</si>
  <si>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</si>
  <si>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</si>
  <si>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</si>
  <si>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</si>
  <si>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</si>
  <si>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</si>
  <si>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</si>
  <si>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</si>
  <si>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</si>
  <si>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</si>
  <si>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</si>
  <si>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</si>
  <si>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</si>
  <si>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</si>
  <si>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</si>
  <si>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</si>
  <si>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</si>
  <si>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</si>
  <si>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</si>
  <si>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</si>
  <si>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</si>
  <si>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</si>
  <si>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</si>
  <si>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</si>
  <si>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</si>
  <si>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</si>
  <si>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</si>
  <si>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</si>
  <si>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</si>
  <si>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</si>
  <si>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</si>
  <si>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</si>
  <si>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</si>
  <si>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</si>
  <si>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</si>
  <si>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</si>
  <si>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</si>
  <si>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</si>
  <si>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</si>
  <si>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</si>
  <si>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</si>
  <si>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</si>
  <si>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</si>
  <si>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</si>
  <si>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</si>
  <si>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</si>
  <si>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</si>
  <si>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</si>
  <si>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</si>
  <si>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</si>
  <si>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</si>
  <si>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</si>
  <si>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</si>
  <si>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</si>
  <si>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</si>
  <si>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</si>
  <si>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</si>
  <si>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</si>
  <si>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</si>
  <si>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</si>
  <si>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</si>
  <si>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</si>
  <si>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</si>
  <si>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</si>
  <si>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</si>
  <si>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</si>
  <si>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</si>
  <si>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</si>
  <si>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</si>
  <si>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</si>
  <si>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</si>
  <si>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</si>
  <si>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</si>
  <si>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</si>
  <si>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</si>
  <si>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</si>
  <si>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</si>
  <si>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</si>
  <si>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</si>
  <si>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</si>
  <si>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</si>
  <si>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</si>
  <si>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</si>
  <si>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</si>
  <si>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</si>
  <si>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</si>
  <si>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</si>
  <si>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</si>
  <si>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</si>
  <si>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</si>
  <si>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</si>
  <si>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</si>
  <si>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</si>
  <si>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</si>
  <si>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</si>
  <si>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</si>
  <si>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</si>
  <si>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</si>
  <si>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</si>
  <si>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</si>
  <si>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</si>
  <si>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</si>
  <si>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</si>
  <si>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</si>
  <si>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</si>
  <si>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</si>
  <si>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</si>
  <si>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</si>
  <si>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</si>
  <si>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</si>
  <si>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</si>
  <si>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</si>
  <si>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</si>
  <si>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</si>
  <si>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</si>
  <si>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</si>
  <si>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</si>
  <si>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</si>
  <si>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</si>
  <si>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</si>
  <si>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</si>
  <si>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</si>
  <si>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</si>
  <si>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</si>
  <si>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</si>
  <si>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</si>
  <si>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</si>
  <si>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</si>
  <si>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</si>
  <si>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</si>
  <si>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</si>
  <si>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</si>
  <si>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</si>
  <si>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</si>
  <si>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</si>
  <si>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</si>
  <si>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</si>
  <si>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</si>
  <si>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</si>
  <si>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</si>
  <si>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</si>
  <si>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</si>
  <si>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</si>
  <si>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</si>
  <si>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</si>
  <si>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</si>
  <si>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</si>
  <si>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</si>
  <si>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</si>
  <si>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</si>
  <si>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</si>
  <si>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</si>
  <si>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</si>
  <si>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</si>
  <si>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</si>
  <si>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</si>
  <si>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</si>
  <si>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</si>
  <si>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</si>
  <si>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</si>
  <si>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</si>
  <si>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</si>
  <si>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</si>
  <si>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</si>
  <si>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</si>
  <si>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</si>
  <si>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</si>
  <si>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</si>
  <si>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</si>
  <si>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</si>
  <si>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</si>
  <si>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</si>
  <si>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</si>
  <si>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</si>
  <si>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</si>
  <si>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</si>
  <si>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</si>
  <si>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</si>
  <si>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</si>
  <si>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</si>
  <si>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</si>
  <si>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</si>
  <si>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</si>
  <si>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</si>
  <si>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</si>
  <si>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</si>
  <si>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</si>
  <si>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</si>
  <si>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</si>
  <si>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</si>
  <si>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</si>
  <si>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</si>
  <si>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</si>
  <si>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</si>
  <si>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</si>
  <si>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</si>
  <si>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</si>
  <si>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</si>
  <si>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</si>
  <si>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</si>
  <si>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</si>
  <si>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</si>
  <si>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</si>
  <si>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</si>
  <si>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</si>
  <si>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</si>
  <si>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</si>
  <si>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</si>
  <si>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</si>
  <si>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</si>
  <si>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</si>
  <si>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</si>
  <si>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</si>
  <si>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</si>
  <si>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</si>
  <si>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</si>
  <si>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</si>
  <si>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</si>
  <si>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</si>
  <si>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</si>
  <si>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</si>
  <si>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</si>
  <si>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</si>
  <si>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</si>
  <si>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</si>
  <si>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</si>
  <si>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</si>
  <si>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</si>
  <si>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</si>
  <si>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</si>
  <si>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</si>
  <si>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</si>
  <si>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</si>
  <si>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</si>
  <si>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</si>
  <si>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</si>
  <si>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</si>
  <si>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</si>
  <si>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</si>
  <si>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</si>
  <si>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</si>
  <si>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</si>
  <si>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</si>
  <si>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</si>
  <si>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</si>
  <si>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</si>
  <si>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</si>
  <si>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</si>
  <si>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</si>
  <si>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</si>
  <si>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</si>
  <si>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</si>
  <si>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</si>
  <si>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</si>
  <si>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</si>
  <si>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</si>
  <si>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</si>
  <si>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</si>
  <si>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</si>
  <si>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</si>
  <si>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</si>
  <si>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</si>
  <si>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</si>
  <si>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</si>
  <si>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</si>
  <si>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</si>
  <si>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</si>
  <si>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</si>
  <si>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</si>
  <si>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</si>
  <si>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</si>
  <si>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</si>
  <si>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</si>
  <si>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</si>
  <si>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</si>
  <si>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</si>
  <si>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</si>
  <si>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</si>
  <si>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</si>
  <si>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</si>
  <si>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</si>
  <si>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</si>
  <si>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</si>
  <si>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</si>
  <si>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</si>
  <si>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</si>
  <si>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</si>
  <si>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</si>
  <si>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</si>
  <si>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</si>
  <si>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</si>
  <si>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</si>
  <si>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</si>
  <si>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</si>
  <si>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</si>
  <si>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</si>
  <si>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</si>
  <si>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</si>
  <si>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</si>
  <si>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</si>
  <si>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</si>
  <si>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</si>
  <si>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</si>
  <si>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</si>
  <si>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</si>
  <si>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</si>
  <si>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</si>
  <si>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</si>
  <si>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</si>
  <si>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</si>
  <si>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</si>
  <si>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</si>
  <si>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</si>
  <si>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</si>
  <si>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</si>
  <si>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</si>
  <si>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</si>
  <si>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</si>
  <si>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</si>
  <si>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</si>
  <si>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</si>
  <si>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</si>
  <si>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</si>
  <si>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</si>
  <si>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</si>
  <si>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</si>
  <si>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</si>
  <si>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</si>
  <si>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</si>
  <si>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</si>
  <si>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</si>
  <si>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</si>
  <si>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</si>
  <si>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</si>
  <si>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</si>
  <si>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</si>
  <si>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</si>
  <si>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</si>
  <si>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</si>
  <si>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</si>
  <si>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</si>
  <si>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ADRES</t>
  </si>
  <si>
    <t>notificaciones.judiciales@adres.gov.co</t>
  </si>
  <si>
    <t>CALLE 26 NO 69-76</t>
  </si>
  <si>
    <t>ALIANSALUD EPS</t>
  </si>
  <si>
    <t>notificacionesjudiciales@aliansalud.com.co</t>
  </si>
  <si>
    <t>CARRERA 8 38-31</t>
  </si>
  <si>
    <t>ANAS WAYUU EPS </t>
  </si>
  <si>
    <t>info@epsianaswayuu.com</t>
  </si>
  <si>
    <t>CARRERA 16 # 16-31 MAICAO</t>
  </si>
  <si>
    <t>ASEGURADORA SOLIDARIA DE COLOM</t>
  </si>
  <si>
    <t>otificaciones@solidaria.com.co</t>
  </si>
  <si>
    <t>Calle 100 No. 9A – 45 Torre 1 Piso 12</t>
  </si>
  <si>
    <t>ASMET SALUD EPS SAS</t>
  </si>
  <si>
    <t>notificacionesjudiciales@asmetsalud.com</t>
  </si>
  <si>
    <t>CARRERA 4 18 46 BARRIO LA ESTANCIA</t>
  </si>
  <si>
    <t>ASOCIACION DE CABILDOS INDIGEN  </t>
  </si>
  <si>
    <t>na@na,com</t>
  </si>
  <si>
    <t>ASOCIACION MUTUAL SER EMPRESA  </t>
  </si>
  <si>
    <t>facturacion_electronica@mutualser.com</t>
  </si>
  <si>
    <t>CARRERA 17 15-80</t>
  </si>
  <si>
    <t>AXA ASISTENCIA COLOMBIA SA</t>
  </si>
  <si>
    <t>facturacionaxa@facturae.com.co</t>
  </si>
  <si>
    <t>CALLE 102 # 17 A -61 CHICO NORTE DE BOGOTA</t>
  </si>
  <si>
    <t>AXA COLPATRIA SEGUROS</t>
  </si>
  <si>
    <t>felectronica.ARL.asistencial@axacolpatria.co</t>
  </si>
  <si>
    <t>CARRERA 7 # 24-89 PISO 3</t>
  </si>
  <si>
    <t>AXA COLPATRIA SEGUROS SA</t>
  </si>
  <si>
    <t>notificacionesjudiciales@axacolpatria.co</t>
  </si>
  <si>
    <t>313 499 8023</t>
  </si>
  <si>
    <t>Carrera 7 # 24-89, Piso 7, Bogotá D.C</t>
  </si>
  <si>
    <t>BANCO AGRARIO DE COLOMBIA</t>
  </si>
  <si>
    <t>notificacionesjudiciales@bancoagrario.gov.co</t>
  </si>
  <si>
    <t>PAIPA-CENTRO</t>
  </si>
  <si>
    <t>BANCO POPULAR</t>
  </si>
  <si>
    <t>notificacionesjudicialesvjuridica@bancopopular.com.co</t>
  </si>
  <si>
    <t>CA 25 -21 34</t>
  </si>
  <si>
    <t>BANCOLOMBIA S.A</t>
  </si>
  <si>
    <t>notificacijudicial@bancolombia.com.co</t>
  </si>
  <si>
    <t>CAFESALUD</t>
  </si>
  <si>
    <t>notificacionesjudiciales@cafesalud.com.co</t>
  </si>
  <si>
    <t>CALLE 73 NO 12-02 P7</t>
  </si>
  <si>
    <t>CAJACOPI EPS SAS</t>
  </si>
  <si>
    <t>notifica.judicial@cajacopieps.co</t>
  </si>
  <si>
    <t>CALLE 33A # 38-41</t>
  </si>
  <si>
    <t>CAPITAL SALUD</t>
  </si>
  <si>
    <t>notificaciones@capitalsalud.gov.co</t>
  </si>
  <si>
    <t>CRA 16 NO.40- 45</t>
  </si>
  <si>
    <t>CAPRESOCA EPS</t>
  </si>
  <si>
    <t>notificacionesjudiciales@positiva.gov.co</t>
  </si>
  <si>
    <t>098 634861</t>
  </si>
  <si>
    <t>CALLE 7 A # 19-34</t>
  </si>
  <si>
    <t>COLMENA RIESGOS PROFESIONALES</t>
  </si>
  <si>
    <t>Colmenaseguros_FE@fundaciongruposocial.co</t>
  </si>
  <si>
    <t>CALLE 16 NÂ° 15-43</t>
  </si>
  <si>
    <t>COLOMBIANA DE ASISTENCIA</t>
  </si>
  <si>
    <t>comercialboyaca@colasistencia.com</t>
  </si>
  <si>
    <t>(601) 742 8117</t>
  </si>
  <si>
    <t>Cr 22 # 87-32</t>
  </si>
  <si>
    <t>COMPENSAR EPS</t>
  </si>
  <si>
    <t> compensarepsjuridica@compensarsalud.com</t>
  </si>
  <si>
    <t>601 3077001</t>
  </si>
  <si>
    <t>Avenida 68 # 49A-47</t>
  </si>
  <si>
    <t>COOSALUD EPS S.A.</t>
  </si>
  <si>
    <t>notificacioncoosaludeps@coosalud.com</t>
  </si>
  <si>
    <t>CARRERA 9 N 20 - 32</t>
  </si>
  <si>
    <t>DEPARTAMENTO DE BOYACA</t>
  </si>
  <si>
    <t>notificacionesjudiciales@boyaca.gov.co</t>
  </si>
  <si>
    <t>CL 20 9 90 SE CENTRO</t>
  </si>
  <si>
    <t>DISPENSARIO MEDICO SUROCCIDENTE</t>
  </si>
  <si>
    <t>CARRERA 27 # 43 - 39</t>
  </si>
  <si>
    <t>ECOPETROL S.A.</t>
  </si>
  <si>
    <t>notificacionesjudicialesecopetrol@ecopetrol.com.co</t>
  </si>
  <si>
    <t>2345347-23</t>
  </si>
  <si>
    <t>CALLE 35 # 7 - 21 EDF. CAXDAC</t>
  </si>
  <si>
    <t>EMSSANAR EPS SAS</t>
  </si>
  <si>
    <t>tutelasrvc@emssanareps.co</t>
  </si>
  <si>
    <t>CALLE 11A K33 ESQUINA</t>
  </si>
  <si>
    <t>ENTIDAD PROMOTORA DE SALUD SANITAS SAS EN INTERVENCION BAJO LA MEDIDA DE TOMA DE POSESION</t>
  </si>
  <si>
    <t>: notificajudiciales@keralty.com</t>
  </si>
  <si>
    <t>Auto. Norte # 106-76 </t>
  </si>
  <si>
    <t>EPS FAMISANAR SAS</t>
  </si>
  <si>
    <t>notificaciones@famisanar.com.co</t>
  </si>
  <si>
    <t> Cr 22 No 168 - 84</t>
  </si>
  <si>
    <t>EPS SALUD TOTAL</t>
  </si>
  <si>
    <t>notificacionesjud@saludtotal.com.co</t>
  </si>
  <si>
    <t xml:space="preserve">Carrera 69 No. 44 # 35 </t>
  </si>
  <si>
    <t>ESM ESCUELA MILITAR DE AVIACION </t>
  </si>
  <si>
    <t>usuariosemavi@fac.mil.co </t>
  </si>
  <si>
    <t>CRA 8 NO 58 - 67 BARRIO LA BASE</t>
  </si>
  <si>
    <t>FIDEICOMISOS PATRIMONIOS AUTONOMOS FIDUCIARIA LA PREVISORA SA</t>
  </si>
  <si>
    <t>notjudicial@fiduprevisora.com.co</t>
  </si>
  <si>
    <t> Calle 72 # 10-03</t>
  </si>
  <si>
    <t>FONDO DE PASIVO SOCIAL FERROCARRILES NACIONALES DE COLOMBIA</t>
  </si>
  <si>
    <t>601 381 71 71</t>
  </si>
  <si>
    <t>CL 13 18 24</t>
  </si>
  <si>
    <t>HDI SEGUROS SA</t>
  </si>
  <si>
    <t>facturacion@hdi.com.co</t>
  </si>
  <si>
    <t>CRA 7 N 72 13 PISO 13</t>
  </si>
  <si>
    <t>ITP INSTITUTO TERMAL DE PAIPA</t>
  </si>
  <si>
    <t> itp@paipa-boyaca.gov.co</t>
  </si>
  <si>
    <t>PAIPA BOYACA</t>
  </si>
  <si>
    <t>JEFATURA DE SALUD DE LA FUERZA AEREA</t>
  </si>
  <si>
    <t>tramiteslegales@fac.mil.co</t>
  </si>
  <si>
    <t>AVENIDA CARACAS NO 66 -24 BOGOTA</t>
  </si>
  <si>
    <t>LA EQUIDAD SEGUROS  </t>
  </si>
  <si>
    <t>Recepcion.FEVida@laequidadseguros.coop</t>
  </si>
  <si>
    <t>CRA 10 # 21 - 15</t>
  </si>
  <si>
    <t>LA EQUIDAD SEGUROS DE VIDA OC  </t>
  </si>
  <si>
    <t>recepcion.fevida@laequidadseguros.coop</t>
  </si>
  <si>
    <t>CRA 9 A MP 99 A - 07 TOORE PISO 14</t>
  </si>
  <si>
    <t>LA PREVISORA SA COMPANIA DE SEGUROS</t>
  </si>
  <si>
    <t>notificacionesjudiciales@previsora.gov.co</t>
  </si>
  <si>
    <t> (601) 3487555 </t>
  </si>
  <si>
    <t>Calle 57 # 9 - 07</t>
  </si>
  <si>
    <t>LIBERTY SEGUROS SA </t>
  </si>
  <si>
    <t>notificacionesjudiciales@libertycolombia.com</t>
  </si>
  <si>
    <t>601 307 70 50</t>
  </si>
  <si>
    <t>Calle 7 No. 4-49, Bogotá D.C</t>
  </si>
  <si>
    <t>MAPFRE SEGUROS GENERALES DE COLOMBIA SA</t>
  </si>
  <si>
    <t> njudiciales@mapfre com</t>
  </si>
  <si>
    <t>Carrera 14 # 96 - 34 Bogotá D.C</t>
  </si>
  <si>
    <t>MINISTERIO DE HACIENDA Y CREDITO PUBLICO</t>
  </si>
  <si>
    <t> notificacionesjudiciales@minhacienda.gov.co</t>
  </si>
  <si>
    <t>CARRRERA 8 N. 6C 38</t>
  </si>
  <si>
    <t>MUNDIAL DE SEGUROS</t>
  </si>
  <si>
    <t> mundial@mundialseguros.com.co</t>
  </si>
  <si>
    <t> calle 33 # 6 B -24, pisos 2 y 3,</t>
  </si>
  <si>
    <t>MUNICIPIO DE PAIPA</t>
  </si>
  <si>
    <t>notificacionjudicial@paipa-boyaca.gov </t>
  </si>
  <si>
    <t>CRA 22 NO 25 - 14</t>
  </si>
  <si>
    <t>NUEVA EPS SA</t>
  </si>
  <si>
    <t>secretaria.general@nuevaeps.com.co</t>
  </si>
  <si>
    <t>CRA 85 K N. 46 A 66 SANTAFE DE BOGOTA</t>
  </si>
  <si>
    <t>PINZON CAMARGO JORGE ELIECER</t>
  </si>
  <si>
    <t>Cll. 22 #19-79 paipa</t>
  </si>
  <si>
    <t>POSITIVA COMPANIA DE SEGUROS</t>
  </si>
  <si>
    <t>Autopista Norte Cra. 45 # 94 - 72</t>
  </si>
  <si>
    <t>REGIONAL DE ASEGURAMIENTO EN SALUD</t>
  </si>
  <si>
    <t>notificacion.tutelas@policia.gov.co</t>
  </si>
  <si>
    <t>Carrera 59 26-21 CAN</t>
  </si>
  <si>
    <t>SALUD BOLIVAR EPS SAS  </t>
  </si>
  <si>
    <t> judiciales@saludbolivar.com</t>
  </si>
  <si>
    <t>AC 26 # 68 B - 31 PI 4</t>
  </si>
  <si>
    <t>SAVIASALUD EPS</t>
  </si>
  <si>
    <t>notificacionestutelas@saviasaludeps.com</t>
  </si>
  <si>
    <t>Calle 45 # 55-45, Piso 13</t>
  </si>
  <si>
    <t>SEGUROS BOLIVAR</t>
  </si>
  <si>
    <t>notificaciones@segurosbolivar.com</t>
  </si>
  <si>
    <t>CARRERA 10 # 16-39</t>
  </si>
  <si>
    <t>SEGUROS BOLIVAR SOAT</t>
  </si>
  <si>
    <t>seguros.comerciales.bolivar@segurosbolivar.com</t>
  </si>
  <si>
    <t>Carrera 7 # 71â€“52 Torre Bautista piso 3</t>
  </si>
  <si>
    <t>SEGUROS DE VIDA ALFA SA VIDALF</t>
  </si>
  <si>
    <t>radicacionfacturasvid@segurosdevidaalfa.com.co</t>
  </si>
  <si>
    <t>CRA 13 26A-47</t>
  </si>
  <si>
    <t>SEGUROS DE VIDA DEL ESTADO SA</t>
  </si>
  <si>
    <t>feapeindemnizaciones@segurosdelestado.com</t>
  </si>
  <si>
    <t> Autopista Norte No 103 - 60 Piso 5</t>
  </si>
  <si>
    <t>SEGUROS DE VIDA SURAMERICANA EPS</t>
  </si>
  <si>
    <t>felectronicaeps@recepcionsura.com.co</t>
  </si>
  <si>
    <t>CARERRA 64 B 49A-30</t>
  </si>
  <si>
    <t>SEGUROS DE VIDA SURAMERICANA S</t>
  </si>
  <si>
    <t>fesegurosdevida@recepcionsura.com.co</t>
  </si>
  <si>
    <t>CRA 64B # 49A 30</t>
  </si>
  <si>
    <t>SEGUROS DEL ESTADO SA</t>
  </si>
  <si>
    <t>fe.generales@segurosdelestado.com</t>
  </si>
  <si>
    <t>601742 56 62 ..</t>
  </si>
  <si>
    <t>Autopista Norte No. 103-60 Piso 5</t>
  </si>
  <si>
    <t>SEGUROS GENERALES SURAMERICANA SA SOAT</t>
  </si>
  <si>
    <t>notificacionesjudiciales@suramericana.com.co</t>
  </si>
  <si>
    <t> 604 2602100</t>
  </si>
  <si>
    <t>Cl 49 # 63-146</t>
  </si>
  <si>
    <t>SERVICIO OCCIDENTAL DE SALUD SOS </t>
  </si>
  <si>
    <t>notificacionesjudiciales@sos.com.co</t>
  </si>
  <si>
    <t>CALLE 23 A # 3N-57 VERSALLES</t>
  </si>
  <si>
    <t>SUMIMEDICAL S.A.S. </t>
  </si>
  <si>
    <t>CALLE 47 D 70 133</t>
  </si>
  <si>
    <t>UNION TEMPORAL MEDISALUD UT</t>
  </si>
  <si>
    <t>juridica@medisalud.com.co</t>
  </si>
  <si>
    <t>CALLE 26 # 92 32</t>
  </si>
  <si>
    <t>UNION TEMPORAL RED INTEGRAL FOSCAL CUB </t>
  </si>
  <si>
    <t>info@utredintegradafoscal-cub.com</t>
  </si>
  <si>
    <t>CARRERA 27 # 37 - 33</t>
  </si>
  <si>
    <t>UNISALUD SEDE BOGOTA  </t>
  </si>
  <si>
    <t>notificaciones_juridica_nal@unal.edu.co</t>
  </si>
  <si>
    <t>CRA 45 NÂ°26-85</t>
  </si>
  <si>
    <t>UNISALUD UPTC</t>
  </si>
  <si>
    <t> notificaciones.judiciales@uptc.edu.co</t>
  </si>
  <si>
    <t>608) 7405626</t>
  </si>
  <si>
    <t>Avenida Central del Norte 39-115</t>
  </si>
  <si>
    <t>UT SERVISALUD SAN JOSE</t>
  </si>
  <si>
    <t>CALLE 26 85D 55JC</t>
  </si>
  <si>
    <t>VERGEL FLOREZ VICTOR MANUEL</t>
  </si>
  <si>
    <t>KR 26 32 57</t>
  </si>
  <si>
    <t>CUANTIAS MENORES</t>
  </si>
  <si>
    <t>E.S.E. HOSPITAL SAN VICENTE DE PAÚL DE PAIPA</t>
  </si>
  <si>
    <t>891855209-4</t>
  </si>
  <si>
    <t>25 de agosto de 2025</t>
  </si>
  <si>
    <t>notificacionesjudiciales@sumimedical.com</t>
  </si>
  <si>
    <t>notificacionesjudiciales@fps.gov.co</t>
  </si>
  <si>
    <t>notificacionesjudiciales@subredsuroccidente.gov.co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</si>
</sst>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  <font>
      <u/>
      <sz val="8"/>
      <color theme="10"/>
      <name val="Arial"/>
      <family val="2"/>
    </font>
    <font>
      <sz val="8"/>
      <color rgb="FF001D35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right" vertical="center"/>
      <protection locked="0"/>
    </xf>
    <xf numFmtId="43" fontId="6" fillId="0" borderId="1" xfId="2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7" fillId="0" borderId="1" xfId="3" applyFont="1" applyFill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43" fontId="5" fillId="0" borderId="1" xfId="2" applyFont="1" applyFill="1" applyBorder="1" applyAlignment="1" applyProtection="1">
      <alignment horizontal="left" vertical="center"/>
      <protection locked="0"/>
    </xf>
    <xf numFmtId="43" fontId="9" fillId="0" borderId="1" xfId="2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2" borderId="0" xfId="0" applyFill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3" borderId="0" xfId="0" applyFont="1" applyFill="1" applyAlignment="1">
      <alignment vertical="center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43" fontId="5" fillId="0" borderId="1" xfId="2" applyFont="1" applyFill="1" applyBorder="1" applyAlignment="1" applyProtection="1">
      <alignment horizontal="right" vertical="center"/>
      <protection locked="0"/>
    </xf>
    <xf numFmtId="0" fontId="7" fillId="0" borderId="1" xfId="3" applyFont="1" applyFill="1" applyBorder="1" applyAlignment="1" applyProtection="1">
      <alignment vertical="center"/>
      <protection locked="0"/>
    </xf>
    <xf numFmtId="43" fontId="6" fillId="0" borderId="1" xfId="2" applyFont="1" applyFill="1" applyBorder="1" applyAlignment="1" applyProtection="1">
      <alignment vertical="center"/>
      <protection locked="0"/>
    </xf>
    <xf numFmtId="49" fontId="6" fillId="0" borderId="1" xfId="0" applyNumberFormat="1" applyFont="1" applyBorder="1" applyAlignment="1" applyProtection="1">
      <alignment vertical="center"/>
      <protection locked="0"/>
    </xf>
    <xf numFmtId="43" fontId="6" fillId="0" borderId="1" xfId="2" applyFont="1" applyFill="1" applyBorder="1" applyAlignment="1" applyProtection="1">
      <alignment horizontal="right"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1" fontId="6" fillId="0" borderId="1" xfId="1" applyNumberFormat="1" applyFont="1" applyFill="1" applyBorder="1" applyAlignment="1" applyProtection="1">
      <alignment vertical="center"/>
      <protection locked="0"/>
    </xf>
  </cellXfs>
  <cellStyles count="4">
    <cellStyle name="Hipervínculo" xfId="3" builtinId="8"/>
    <cellStyle name="Millares" xfId="2" builtinId="3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NTABILIDAD\Downloads\Copia%20de%20INFORMACION_TERCEROS_INGRESOS.xlsx" TargetMode="External"/><Relationship Id="rId1" Type="http://schemas.openxmlformats.org/officeDocument/2006/relationships/externalLinkPath" Target="/Users/CONTABILIDAD/Downloads/Copia%20de%20INFORMACION_TERCEROS_INGRES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</sheetNames>
    <sheetDataSet>
      <sheetData sheetId="0"/>
      <sheetData sheetId="1">
        <row r="2">
          <cell r="A2">
            <v>890903790</v>
          </cell>
          <cell r="B2">
            <v>5</v>
          </cell>
          <cell r="C2" t="str">
            <v>fesegurosdevida@recepcionsura.com.co</v>
          </cell>
          <cell r="D2" t="str">
            <v>CRA 64B # 49A 30</v>
          </cell>
          <cell r="E2" t="str">
            <v>001</v>
          </cell>
          <cell r="F2" t="str">
            <v>MEDELLIN</v>
          </cell>
          <cell r="G2">
            <v>42602100</v>
          </cell>
        </row>
        <row r="3">
          <cell r="A3">
            <v>900033371</v>
          </cell>
          <cell r="B3">
            <v>4</v>
          </cell>
          <cell r="D3" t="str">
            <v>CALLE 47 D 70 133</v>
          </cell>
          <cell r="E3" t="str">
            <v>001</v>
          </cell>
          <cell r="F3" t="str">
            <v>MEDELLIN</v>
          </cell>
          <cell r="G3">
            <v>4114488</v>
          </cell>
        </row>
        <row r="4">
          <cell r="A4">
            <v>900604350</v>
          </cell>
          <cell r="B4">
            <v>0</v>
          </cell>
          <cell r="D4" t="str">
            <v>NNNNNNNNNNNNNNNNNN</v>
          </cell>
          <cell r="E4" t="str">
            <v>001</v>
          </cell>
          <cell r="F4" t="str">
            <v>MEDELLIN</v>
          </cell>
          <cell r="G4">
            <v>0</v>
          </cell>
        </row>
        <row r="5">
          <cell r="A5">
            <v>800088702</v>
          </cell>
          <cell r="B5">
            <v>2</v>
          </cell>
          <cell r="C5" t="str">
            <v>felectronicaeps@recepcionsura.com.co</v>
          </cell>
          <cell r="D5" t="str">
            <v>CARERRA 64 B 49A-30</v>
          </cell>
          <cell r="E5" t="str">
            <v>001</v>
          </cell>
          <cell r="F5" t="str">
            <v>SANTAFE DE BOGOTA D.C.</v>
          </cell>
          <cell r="G5">
            <v>2602100</v>
          </cell>
        </row>
        <row r="6">
          <cell r="A6">
            <v>800112806</v>
          </cell>
          <cell r="B6">
            <v>2</v>
          </cell>
          <cell r="D6" t="str">
            <v>CALLE 13 N. 18-24 BOGOTA</v>
          </cell>
          <cell r="E6" t="str">
            <v>001</v>
          </cell>
          <cell r="F6" t="str">
            <v>SANTAFE DE BOGOTA D.C.</v>
          </cell>
          <cell r="G6">
            <v>3710277</v>
          </cell>
        </row>
        <row r="7">
          <cell r="A7">
            <v>800130907</v>
          </cell>
          <cell r="B7">
            <v>4</v>
          </cell>
          <cell r="C7" t="str">
            <v>FactRecepcionpublicas@saludtotal.com.co</v>
          </cell>
          <cell r="D7" t="str">
            <v>BOGOTA DISTRITO CAPITAL</v>
          </cell>
          <cell r="E7" t="str">
            <v>001</v>
          </cell>
          <cell r="F7" t="str">
            <v>SANTAFE DE BOGOTA D.C.</v>
          </cell>
          <cell r="G7">
            <v>999999999</v>
          </cell>
        </row>
        <row r="8">
          <cell r="A8">
            <v>800140999</v>
          </cell>
          <cell r="B8">
            <v>4</v>
          </cell>
          <cell r="D8" t="str">
            <v>CALLE 73 NO 12-02 P7</v>
          </cell>
          <cell r="E8" t="str">
            <v>001</v>
          </cell>
          <cell r="F8" t="str">
            <v>SANTAFE DE BOGOTA D.C.</v>
          </cell>
          <cell r="G8">
            <v>3171820</v>
          </cell>
        </row>
        <row r="9">
          <cell r="A9">
            <v>800226175</v>
          </cell>
          <cell r="B9">
            <v>3</v>
          </cell>
          <cell r="C9" t="str">
            <v>Colmenaseguros_FE@fundaciongruposocial.co</v>
          </cell>
          <cell r="D9" t="str">
            <v>CALLE 16 NÂ° 15-43</v>
          </cell>
          <cell r="E9" t="str">
            <v>001</v>
          </cell>
          <cell r="F9" t="str">
            <v>SANTAFE DE BOGOTA D.C.</v>
          </cell>
          <cell r="G9">
            <v>7422650</v>
          </cell>
        </row>
        <row r="10">
          <cell r="A10">
            <v>800244309</v>
          </cell>
          <cell r="B10">
            <v>1</v>
          </cell>
          <cell r="C10" t="str">
            <v>facturacionaxa@facturae.com.co</v>
          </cell>
          <cell r="D10" t="str">
            <v>CALLE 102 # 17 A -61 CHICO NORTE DE BOGOTA</v>
          </cell>
          <cell r="E10" t="str">
            <v>001</v>
          </cell>
          <cell r="F10" t="str">
            <v>SANTAFE DE BOGOTA D.C.</v>
          </cell>
          <cell r="G10">
            <v>6446188</v>
          </cell>
        </row>
        <row r="11">
          <cell r="A11">
            <v>800251440</v>
          </cell>
          <cell r="B11">
            <v>6</v>
          </cell>
          <cell r="C11" t="str">
            <v>recepcionfecm@fe.epssanitas.com</v>
          </cell>
          <cell r="D11" t="str">
            <v>CHAPINERO</v>
          </cell>
          <cell r="E11" t="str">
            <v>001</v>
          </cell>
          <cell r="F11" t="str">
            <v>SANTAFE DE BOGOTA D.C.</v>
          </cell>
          <cell r="G11">
            <v>0</v>
          </cell>
        </row>
        <row r="12">
          <cell r="A12">
            <v>805001157</v>
          </cell>
          <cell r="B12">
            <v>2</v>
          </cell>
          <cell r="D12" t="str">
            <v>CALLE 23 A # 3N-57 VERSALLES</v>
          </cell>
          <cell r="E12" t="str">
            <v>001</v>
          </cell>
          <cell r="F12" t="str">
            <v>SANTAFE DE BOGOTA D.C.</v>
          </cell>
          <cell r="G12">
            <v>4898686</v>
          </cell>
        </row>
        <row r="13">
          <cell r="A13">
            <v>830003564</v>
          </cell>
          <cell r="B13">
            <v>7</v>
          </cell>
          <cell r="C13" t="str">
            <v>cuentas.medicas@facturacion.famisanar.com.co</v>
          </cell>
          <cell r="D13" t="str">
            <v>NNNNNNNNNNNNNN</v>
          </cell>
          <cell r="E13" t="str">
            <v>001</v>
          </cell>
          <cell r="F13" t="str">
            <v>SANTAFE DE BOGOTA D.C.</v>
          </cell>
          <cell r="G13">
            <v>4446660</v>
          </cell>
        </row>
        <row r="14">
          <cell r="A14">
            <v>830008686</v>
          </cell>
          <cell r="B14">
            <v>1</v>
          </cell>
          <cell r="C14" t="str">
            <v>recepcion.fevida@laequidadseguros.coop</v>
          </cell>
          <cell r="D14" t="str">
            <v>CRA 9 A MP 99 A - 07 TOORE PISO 14</v>
          </cell>
          <cell r="E14" t="str">
            <v>001</v>
          </cell>
          <cell r="F14" t="str">
            <v>SANTAFE DE BOGOTA D.C.</v>
          </cell>
          <cell r="G14">
            <v>5922929</v>
          </cell>
        </row>
        <row r="15">
          <cell r="A15">
            <v>830113831</v>
          </cell>
          <cell r="B15">
            <v>0</v>
          </cell>
          <cell r="C15" t="str">
            <v>recepcioncuentasmedicas@aliansalud.com.co</v>
          </cell>
          <cell r="D15" t="str">
            <v>CARRERA 8 38-31</v>
          </cell>
          <cell r="E15" t="str">
            <v>001</v>
          </cell>
          <cell r="F15" t="str">
            <v>SANTAFE DE BOGOTA D.C.</v>
          </cell>
          <cell r="G15">
            <v>917568000</v>
          </cell>
        </row>
        <row r="16">
          <cell r="A16">
            <v>860002180</v>
          </cell>
          <cell r="B16">
            <v>7</v>
          </cell>
          <cell r="C16" t="str">
            <v>seguros.comerciales.bolivar@segurosbolivar.com</v>
          </cell>
          <cell r="D16" t="str">
            <v>Carrera 7 # 71â€“52 Torre Bautista piso 3</v>
          </cell>
          <cell r="E16" t="str">
            <v>001</v>
          </cell>
          <cell r="F16" t="str">
            <v>SANTAFE DE BOGOTA D.C.</v>
          </cell>
          <cell r="G16">
            <v>913136969</v>
          </cell>
        </row>
        <row r="17">
          <cell r="A17">
            <v>860002183</v>
          </cell>
          <cell r="B17">
            <v>9</v>
          </cell>
          <cell r="C17" t="str">
            <v>felectronica.ARL.asistencial@axacolpatria.co</v>
          </cell>
          <cell r="D17" t="str">
            <v>CARRERA 7 # 24-89 PISO 3</v>
          </cell>
          <cell r="E17" t="str">
            <v>001</v>
          </cell>
          <cell r="F17" t="str">
            <v>SANTAFE DE BOGOTA D.C.</v>
          </cell>
          <cell r="G17">
            <v>2417430</v>
          </cell>
        </row>
        <row r="18">
          <cell r="A18">
            <v>860002184</v>
          </cell>
          <cell r="B18">
            <v>6</v>
          </cell>
          <cell r="C18" t="str">
            <v>felectronica.SOAT@axacolpatria.co</v>
          </cell>
          <cell r="D18" t="str">
            <v>NNNNNNNNNN</v>
          </cell>
          <cell r="E18" t="str">
            <v>001</v>
          </cell>
          <cell r="F18" t="str">
            <v>SANTAFE DE BOGOTA D.C.</v>
          </cell>
          <cell r="G18">
            <v>0</v>
          </cell>
        </row>
        <row r="19">
          <cell r="A19">
            <v>860002503</v>
          </cell>
          <cell r="B19">
            <v>2</v>
          </cell>
          <cell r="D19" t="str">
            <v>CARRERA 10 # 16-39</v>
          </cell>
          <cell r="E19" t="str">
            <v>001</v>
          </cell>
          <cell r="F19" t="str">
            <v>SANTAFE DE BOGOTA D.C.</v>
          </cell>
          <cell r="G19">
            <v>3410077</v>
          </cell>
        </row>
        <row r="20">
          <cell r="A20">
            <v>860004875</v>
          </cell>
          <cell r="B20">
            <v>6</v>
          </cell>
          <cell r="C20" t="str">
            <v>facturacion@hdi.com.co</v>
          </cell>
          <cell r="D20" t="str">
            <v>CRA 7 N 72 13 PISO 13</v>
          </cell>
          <cell r="E20" t="str">
            <v>001</v>
          </cell>
          <cell r="F20" t="str">
            <v>SANTAFE DE BOGOTA D.C.</v>
          </cell>
          <cell r="G20">
            <v>3468888</v>
          </cell>
        </row>
        <row r="21">
          <cell r="A21">
            <v>860009578</v>
          </cell>
          <cell r="B21">
            <v>6</v>
          </cell>
          <cell r="C21" t="str">
            <v>fe.generales@segurosdelestado.com</v>
          </cell>
          <cell r="D21" t="str">
            <v>NNNNNNNNNNNNN</v>
          </cell>
          <cell r="E21" t="str">
            <v>001</v>
          </cell>
          <cell r="F21" t="str">
            <v>SANTAFE DE BOGOTA D.C.</v>
          </cell>
          <cell r="G21">
            <v>7458926</v>
          </cell>
        </row>
        <row r="22">
          <cell r="A22">
            <v>860037013</v>
          </cell>
          <cell r="B22">
            <v>6</v>
          </cell>
          <cell r="C22" t="str">
            <v>facturacionectronica_HSVP@outlook.com</v>
          </cell>
          <cell r="D22" t="str">
            <v>NNNNNNNNNNN</v>
          </cell>
          <cell r="E22" t="str">
            <v>001</v>
          </cell>
          <cell r="F22" t="str">
            <v>SANTAFE DE BOGOTA D.C.</v>
          </cell>
          <cell r="G22">
            <v>7568923</v>
          </cell>
        </row>
        <row r="23">
          <cell r="A23">
            <v>860039988</v>
          </cell>
          <cell r="B23">
            <v>0</v>
          </cell>
          <cell r="D23" t="str">
            <v>N</v>
          </cell>
          <cell r="E23" t="str">
            <v>001</v>
          </cell>
          <cell r="F23" t="str">
            <v>SANTAFE DE BOGOTA D.C.</v>
          </cell>
          <cell r="G23">
            <v>0</v>
          </cell>
        </row>
        <row r="24">
          <cell r="A24">
            <v>860066942</v>
          </cell>
          <cell r="B24">
            <v>7</v>
          </cell>
          <cell r="C24" t="str">
            <v>facutura.electronica@compensar.com</v>
          </cell>
          <cell r="D24" t="str">
            <v>AVENIDA EL DORADO N 55B-48</v>
          </cell>
          <cell r="E24" t="str">
            <v>001</v>
          </cell>
          <cell r="F24" t="str">
            <v>SANTAFE DE BOGOTA D.C.</v>
          </cell>
          <cell r="G24">
            <v>2222660</v>
          </cell>
        </row>
        <row r="25">
          <cell r="A25">
            <v>860503617</v>
          </cell>
          <cell r="B25">
            <v>3</v>
          </cell>
          <cell r="C25" t="str">
            <v>radicacionfacturasvid@segurosdevidaalfa.com.co</v>
          </cell>
          <cell r="D25" t="str">
            <v>CRA 13 26A-47</v>
          </cell>
          <cell r="E25" t="str">
            <v>001</v>
          </cell>
          <cell r="F25" t="str">
            <v>SANTAFE DE BOGOTA D.C.</v>
          </cell>
          <cell r="G25">
            <v>7435333</v>
          </cell>
        </row>
        <row r="26">
          <cell r="A26">
            <v>860524654</v>
          </cell>
          <cell r="B26">
            <v>6</v>
          </cell>
          <cell r="D26" t="str">
            <v>TUNJA CALLE 100 9A-45 PISO 12</v>
          </cell>
          <cell r="E26" t="str">
            <v>001</v>
          </cell>
          <cell r="F26" t="str">
            <v>SANTAFE DE BOGOTA D.C.</v>
          </cell>
          <cell r="G26">
            <v>7437004</v>
          </cell>
        </row>
        <row r="27">
          <cell r="A27">
            <v>890903407</v>
          </cell>
          <cell r="B27">
            <v>9</v>
          </cell>
          <cell r="D27" t="str">
            <v>N</v>
          </cell>
          <cell r="E27" t="str">
            <v>001</v>
          </cell>
          <cell r="F27" t="str">
            <v>SANTAFE DE BOGOTA D.C.</v>
          </cell>
          <cell r="G27">
            <v>0</v>
          </cell>
        </row>
        <row r="28">
          <cell r="A28">
            <v>891700037</v>
          </cell>
          <cell r="B28">
            <v>9</v>
          </cell>
          <cell r="D28" t="str">
            <v>N</v>
          </cell>
          <cell r="E28" t="str">
            <v>001</v>
          </cell>
          <cell r="F28" t="str">
            <v>SANTAFE DE BOGOTA D.C.</v>
          </cell>
          <cell r="G28">
            <v>0</v>
          </cell>
        </row>
        <row r="29">
          <cell r="A29">
            <v>899999063</v>
          </cell>
          <cell r="B29">
            <v>3</v>
          </cell>
          <cell r="D29" t="str">
            <v>CRA 45 NÂ°26-85</v>
          </cell>
          <cell r="E29" t="str">
            <v>001</v>
          </cell>
          <cell r="F29" t="str">
            <v>SANTAFE DE BOGOTA D.C.</v>
          </cell>
          <cell r="G29">
            <v>3165440</v>
          </cell>
        </row>
        <row r="30">
          <cell r="A30">
            <v>899999068</v>
          </cell>
          <cell r="B30">
            <v>1</v>
          </cell>
          <cell r="D30" t="str">
            <v>CALLE 35 # 7 - 21 EDF. CAXDAC</v>
          </cell>
          <cell r="E30" t="str">
            <v>001</v>
          </cell>
          <cell r="F30" t="str">
            <v>SANTAFE DE BOGOTA D.C.</v>
          </cell>
          <cell r="G30" t="str">
            <v>2345347-23</v>
          </cell>
        </row>
        <row r="31">
          <cell r="A31">
            <v>899999090</v>
          </cell>
          <cell r="B31">
            <v>2</v>
          </cell>
          <cell r="D31" t="str">
            <v>CARRRERA 8 N. 6C 38</v>
          </cell>
          <cell r="E31" t="str">
            <v>001</v>
          </cell>
          <cell r="F31" t="str">
            <v>SANTAFE DE BOGOTA D.C.</v>
          </cell>
          <cell r="G31">
            <v>6013811700</v>
          </cell>
        </row>
        <row r="32">
          <cell r="A32">
            <v>900015278</v>
          </cell>
          <cell r="B32">
            <v>0</v>
          </cell>
          <cell r="D32" t="str">
            <v>BOGOTA</v>
          </cell>
          <cell r="E32" t="str">
            <v>001</v>
          </cell>
          <cell r="F32" t="str">
            <v>SANTAFE DE BOGOTA D.C.</v>
          </cell>
          <cell r="G32">
            <v>0</v>
          </cell>
        </row>
        <row r="33">
          <cell r="A33">
            <v>900156264</v>
          </cell>
          <cell r="B33">
            <v>2</v>
          </cell>
          <cell r="C33" t="str">
            <v>recepcion.cuentasmedicas@nuevaeps.com</v>
          </cell>
          <cell r="D33" t="str">
            <v>CRA 85 K N. 46 A 66 SANTAFE DE BOGOTA</v>
          </cell>
          <cell r="E33" t="str">
            <v>001</v>
          </cell>
          <cell r="F33" t="str">
            <v>SANTAFE DE BOGOTA D.C.</v>
          </cell>
          <cell r="G33">
            <v>4193000</v>
          </cell>
        </row>
        <row r="34">
          <cell r="A34">
            <v>900298372</v>
          </cell>
          <cell r="B34">
            <v>9</v>
          </cell>
          <cell r="D34" t="str">
            <v>CRA 16 NO.40- 45</v>
          </cell>
          <cell r="E34" t="str">
            <v>001</v>
          </cell>
          <cell r="F34" t="str">
            <v>SANTAFE DE BOGOTA D.C.</v>
          </cell>
          <cell r="G34">
            <v>3389650</v>
          </cell>
        </row>
        <row r="35">
          <cell r="A35">
            <v>901037916</v>
          </cell>
          <cell r="B35">
            <v>1</v>
          </cell>
          <cell r="C35" t="str">
            <v>facturaelectronica@adres.gov.co</v>
          </cell>
          <cell r="D35" t="str">
            <v>CALLE 26 NO 69-76</v>
          </cell>
          <cell r="E35" t="str">
            <v>001</v>
          </cell>
          <cell r="F35" t="str">
            <v>SANTAFE DE BOGOTA D.C.</v>
          </cell>
          <cell r="G35">
            <v>4322760</v>
          </cell>
        </row>
        <row r="36">
          <cell r="A36">
            <v>901127521</v>
          </cell>
          <cell r="B36">
            <v>0</v>
          </cell>
          <cell r="D36" t="str">
            <v>CALLE 26 85D 55JC</v>
          </cell>
          <cell r="E36" t="str">
            <v>001</v>
          </cell>
          <cell r="F36" t="str">
            <v>SANTAFE DE BOGOTA D.C.</v>
          </cell>
          <cell r="G36">
            <v>0</v>
          </cell>
        </row>
        <row r="37">
          <cell r="A37">
            <v>901153500</v>
          </cell>
          <cell r="B37">
            <v>6</v>
          </cell>
          <cell r="D37" t="str">
            <v>CALLE 26 # 92 32</v>
          </cell>
          <cell r="E37" t="str">
            <v>001</v>
          </cell>
          <cell r="F37" t="str">
            <v>SANTAFE DE BOGOTA D.C.</v>
          </cell>
          <cell r="G37">
            <v>3185329537</v>
          </cell>
        </row>
        <row r="38">
          <cell r="A38">
            <v>901438242</v>
          </cell>
          <cell r="B38">
            <v>5</v>
          </cell>
          <cell r="D38" t="str">
            <v>AC 26 # 68 B - 31 PI 4</v>
          </cell>
          <cell r="E38" t="str">
            <v>001</v>
          </cell>
          <cell r="F38" t="str">
            <v>SANTAFE DE BOGOTA D.C.</v>
          </cell>
          <cell r="G38">
            <v>60134444</v>
          </cell>
        </row>
        <row r="39">
          <cell r="A39">
            <v>901440176</v>
          </cell>
          <cell r="B39">
            <v>3</v>
          </cell>
          <cell r="D39" t="str">
            <v>AVENIDA CARACAS NO 66 -24 BOGOTA</v>
          </cell>
          <cell r="E39" t="str">
            <v>001</v>
          </cell>
          <cell r="F39" t="str">
            <v>SANTAFE DE BOGOTA D.C.</v>
          </cell>
          <cell r="G39">
            <v>3487030</v>
          </cell>
        </row>
        <row r="40">
          <cell r="A40">
            <v>901540992</v>
          </cell>
          <cell r="B40">
            <v>6</v>
          </cell>
          <cell r="C40" t="str">
            <v>facturacionbucaramanga@agsconsulting.com.co</v>
          </cell>
          <cell r="D40" t="str">
            <v>CARRERA 27 # 43 - 39</v>
          </cell>
          <cell r="E40" t="str">
            <v>001</v>
          </cell>
          <cell r="F40" t="str">
            <v>SANTAFE DE BOGOTA D.C.</v>
          </cell>
          <cell r="G40">
            <v>3208486799</v>
          </cell>
        </row>
        <row r="41">
          <cell r="A41">
            <v>860002400</v>
          </cell>
          <cell r="B41">
            <v>2</v>
          </cell>
          <cell r="D41" t="str">
            <v>CALLE 18 NO 11-22</v>
          </cell>
          <cell r="E41" t="str">
            <v>001</v>
          </cell>
          <cell r="F41" t="str">
            <v>TUNJA</v>
          </cell>
          <cell r="G41">
            <v>0</v>
          </cell>
        </row>
        <row r="42">
          <cell r="A42">
            <v>860028415</v>
          </cell>
          <cell r="B42">
            <v>5</v>
          </cell>
          <cell r="C42" t="str">
            <v>Recepcion.FEVida@laequidadseguros.coop</v>
          </cell>
          <cell r="D42" t="str">
            <v>CRA 10 # 21 - 15</v>
          </cell>
          <cell r="E42" t="str">
            <v>001</v>
          </cell>
          <cell r="F42" t="str">
            <v>TUNJA</v>
          </cell>
          <cell r="G42">
            <v>7400042</v>
          </cell>
        </row>
        <row r="43">
          <cell r="A43">
            <v>891800330</v>
          </cell>
          <cell r="B43">
            <v>1</v>
          </cell>
          <cell r="D43" t="str">
            <v>N</v>
          </cell>
          <cell r="E43" t="str">
            <v>001</v>
          </cell>
          <cell r="F43" t="str">
            <v>TUNJA</v>
          </cell>
          <cell r="G43">
            <v>0</v>
          </cell>
        </row>
        <row r="44">
          <cell r="A44">
            <v>891800498</v>
          </cell>
          <cell r="B44">
            <v>1</v>
          </cell>
          <cell r="D44" t="str">
            <v>CL 20 9 90 SE CENTRO</v>
          </cell>
          <cell r="E44" t="str">
            <v>001</v>
          </cell>
          <cell r="F44" t="str">
            <v>TUNJA</v>
          </cell>
          <cell r="G44">
            <v>7420150</v>
          </cell>
        </row>
        <row r="45">
          <cell r="A45">
            <v>900226715</v>
          </cell>
          <cell r="B45">
            <v>3</v>
          </cell>
          <cell r="D45" t="str">
            <v>CARRERA 9 N 20 - 32</v>
          </cell>
          <cell r="E45" t="str">
            <v>001</v>
          </cell>
          <cell r="F45" t="str">
            <v>TUNJA</v>
          </cell>
          <cell r="G45">
            <v>7432118</v>
          </cell>
        </row>
        <row r="46">
          <cell r="A46">
            <v>860009174</v>
          </cell>
          <cell r="B46">
            <v>4</v>
          </cell>
          <cell r="C46" t="str">
            <v>feapeindemnizaciones@segurosdelestado.com</v>
          </cell>
          <cell r="D46" t="str">
            <v>NNNNNNNNNNNN</v>
          </cell>
          <cell r="E46" t="str">
            <v>238</v>
          </cell>
          <cell r="F46" t="str">
            <v>DUITAMA</v>
          </cell>
          <cell r="G46">
            <v>0</v>
          </cell>
        </row>
        <row r="47">
          <cell r="A47">
            <v>1116805386</v>
          </cell>
          <cell r="D47" t="str">
            <v>KR 26 32 57</v>
          </cell>
          <cell r="E47" t="str">
            <v>516</v>
          </cell>
          <cell r="F47" t="str">
            <v>PAIPA</v>
          </cell>
          <cell r="G47">
            <v>3123277490</v>
          </cell>
        </row>
        <row r="48">
          <cell r="A48">
            <v>74323309</v>
          </cell>
          <cell r="D48" t="str">
            <v>Cll. 22 #19-79 paipa</v>
          </cell>
          <cell r="E48" t="str">
            <v>516</v>
          </cell>
          <cell r="F48" t="str">
            <v>PAIPA</v>
          </cell>
          <cell r="G48">
            <v>0</v>
          </cell>
        </row>
        <row r="49">
          <cell r="A49">
            <v>800037800</v>
          </cell>
          <cell r="D49" t="str">
            <v>PAIPA-CENTRO</v>
          </cell>
          <cell r="E49" t="str">
            <v>516</v>
          </cell>
          <cell r="F49" t="str">
            <v>PAIPA</v>
          </cell>
          <cell r="G49">
            <v>18000915000</v>
          </cell>
        </row>
        <row r="50">
          <cell r="A50">
            <v>800037800</v>
          </cell>
          <cell r="B50">
            <v>8</v>
          </cell>
          <cell r="D50" t="str">
            <v>PAIPA-CENTRO</v>
          </cell>
          <cell r="E50" t="str">
            <v>516</v>
          </cell>
          <cell r="F50" t="str">
            <v>PAIPA</v>
          </cell>
          <cell r="G50">
            <v>18000915000</v>
          </cell>
        </row>
        <row r="51">
          <cell r="A51">
            <v>826000214</v>
          </cell>
          <cell r="B51">
            <v>6</v>
          </cell>
          <cell r="D51" t="str">
            <v>PAIPA BOYACA</v>
          </cell>
          <cell r="E51" t="str">
            <v>516</v>
          </cell>
          <cell r="F51" t="str">
            <v>PAIPA</v>
          </cell>
          <cell r="G51">
            <v>7852145</v>
          </cell>
        </row>
        <row r="52">
          <cell r="A52">
            <v>860007738</v>
          </cell>
          <cell r="B52">
            <v>9</v>
          </cell>
          <cell r="D52" t="str">
            <v>CA 25 -21 34</v>
          </cell>
          <cell r="E52" t="str">
            <v>516</v>
          </cell>
          <cell r="F52" t="str">
            <v>PAIPA</v>
          </cell>
          <cell r="G52">
            <v>78500530</v>
          </cell>
        </row>
        <row r="53">
          <cell r="A53">
            <v>890903938</v>
          </cell>
          <cell r="B53">
            <v>8</v>
          </cell>
          <cell r="D53" t="str">
            <v>PAIPA-CENTRO</v>
          </cell>
          <cell r="E53" t="str">
            <v>516</v>
          </cell>
          <cell r="F53" t="str">
            <v>PAIPA</v>
          </cell>
          <cell r="G53">
            <v>18000522622</v>
          </cell>
        </row>
        <row r="54">
          <cell r="A54">
            <v>891801240</v>
          </cell>
          <cell r="B54">
            <v>1</v>
          </cell>
          <cell r="D54" t="str">
            <v>CRA 22 NO 25 - 14</v>
          </cell>
          <cell r="E54" t="str">
            <v>516</v>
          </cell>
          <cell r="F54" t="str">
            <v>PAIPA</v>
          </cell>
          <cell r="G54">
            <v>1850131</v>
          </cell>
        </row>
        <row r="55">
          <cell r="A55">
            <v>900336524</v>
          </cell>
          <cell r="B55">
            <v>5</v>
          </cell>
          <cell r="C55" t="str">
            <v>siifnacion.facturaelectronica@minhacienda.gov.co</v>
          </cell>
          <cell r="D55" t="str">
            <v>NNNNNNNNNNNNNNNNN</v>
          </cell>
          <cell r="E55" t="str">
            <v>516</v>
          </cell>
          <cell r="F55" t="str">
            <v>PAIPA</v>
          </cell>
          <cell r="G55">
            <v>7852365</v>
          </cell>
        </row>
        <row r="56">
          <cell r="A56">
            <v>860011153</v>
          </cell>
          <cell r="B56">
            <v>6</v>
          </cell>
          <cell r="D56" t="str">
            <v>CALLE 11 # 12-72 PISO 5 SOGAMOSO</v>
          </cell>
          <cell r="E56" t="str">
            <v>759</v>
          </cell>
          <cell r="F56" t="str">
            <v>SOGAMOSO</v>
          </cell>
          <cell r="G56">
            <v>1800011117</v>
          </cell>
        </row>
        <row r="57">
          <cell r="A57">
            <v>900935126</v>
          </cell>
          <cell r="B57">
            <v>7</v>
          </cell>
          <cell r="D57" t="str">
            <v>CARRERA 4 18 46 BARRIO LA ESTANCIA</v>
          </cell>
          <cell r="E57" t="str">
            <v>001</v>
          </cell>
          <cell r="F57" t="str">
            <v>POPAYAN</v>
          </cell>
          <cell r="G57">
            <v>8312000</v>
          </cell>
        </row>
        <row r="58">
          <cell r="A58">
            <v>839000495</v>
          </cell>
          <cell r="B58">
            <v>6</v>
          </cell>
          <cell r="D58" t="str">
            <v>CARRERA 16 # 16-31 MAICAO</v>
          </cell>
          <cell r="E58" t="str">
            <v>430</v>
          </cell>
          <cell r="F58" t="str">
            <v>MAICAO</v>
          </cell>
          <cell r="G58">
            <v>1800096278</v>
          </cell>
        </row>
        <row r="59">
          <cell r="A59">
            <v>901543211</v>
          </cell>
          <cell r="B59">
            <v>6</v>
          </cell>
          <cell r="D59" t="str">
            <v>CALLE 33A # 38-41</v>
          </cell>
          <cell r="E59" t="str">
            <v>001</v>
          </cell>
          <cell r="F59" t="str">
            <v>VILLAVICENCIO</v>
          </cell>
          <cell r="G59">
            <v>986722852</v>
          </cell>
        </row>
        <row r="60">
          <cell r="A60">
            <v>901021565</v>
          </cell>
          <cell r="B60">
            <v>8</v>
          </cell>
          <cell r="D60" t="str">
            <v>CALLE 11A K33 ESQUINA</v>
          </cell>
          <cell r="E60" t="str">
            <v>001</v>
          </cell>
          <cell r="F60" t="str">
            <v>PASTO</v>
          </cell>
          <cell r="G60">
            <v>7336058</v>
          </cell>
        </row>
        <row r="61">
          <cell r="A61">
            <v>901153056</v>
          </cell>
          <cell r="B61">
            <v>7</v>
          </cell>
          <cell r="D61" t="str">
            <v>N</v>
          </cell>
          <cell r="E61" t="str">
            <v>276</v>
          </cell>
          <cell r="F61" t="str">
            <v>FLORIDABLANCA</v>
          </cell>
          <cell r="G61">
            <v>0</v>
          </cell>
        </row>
        <row r="62">
          <cell r="A62">
            <v>830053105</v>
          </cell>
          <cell r="B62">
            <v>3</v>
          </cell>
          <cell r="D62" t="str">
            <v>NATURA TORRE 3 KM 20 166 ANILLO VIAL</v>
          </cell>
          <cell r="E62" t="str">
            <v>307</v>
          </cell>
          <cell r="F62" t="str">
            <v>GIRON</v>
          </cell>
          <cell r="G62">
            <v>6343558</v>
          </cell>
        </row>
        <row r="63">
          <cell r="A63">
            <v>806008394</v>
          </cell>
          <cell r="B63">
            <v>7</v>
          </cell>
          <cell r="C63" t="str">
            <v>facturacion_electronica@mutualser.com</v>
          </cell>
          <cell r="D63" t="str">
            <v>CARRERA 17 15-80</v>
          </cell>
          <cell r="E63" t="str">
            <v>001</v>
          </cell>
          <cell r="F63" t="str">
            <v>SINCELEJO</v>
          </cell>
          <cell r="G63">
            <v>952823124</v>
          </cell>
        </row>
        <row r="64">
          <cell r="A64">
            <v>901542573</v>
          </cell>
          <cell r="B64">
            <v>2</v>
          </cell>
          <cell r="D64" t="str">
            <v>CRA 8 NO 58 - 67 BARRIO LA BASE</v>
          </cell>
          <cell r="E64" t="str">
            <v>001</v>
          </cell>
          <cell r="F64" t="str">
            <v>CALI</v>
          </cell>
          <cell r="G64">
            <v>0</v>
          </cell>
        </row>
        <row r="65">
          <cell r="A65">
            <v>824001398</v>
          </cell>
          <cell r="B65">
            <v>1</v>
          </cell>
          <cell r="D65" t="str">
            <v>TAMENNNNNN</v>
          </cell>
          <cell r="E65" t="str">
            <v>794</v>
          </cell>
          <cell r="F65" t="str">
            <v>TAME</v>
          </cell>
          <cell r="G65">
            <v>0</v>
          </cell>
        </row>
        <row r="66">
          <cell r="A66">
            <v>891856000</v>
          </cell>
          <cell r="B66">
            <v>7</v>
          </cell>
          <cell r="D66" t="str">
            <v>CALLE 7 A # 19-34</v>
          </cell>
          <cell r="E66" t="str">
            <v>001</v>
          </cell>
          <cell r="F66" t="str">
            <v>YOPAL</v>
          </cell>
          <cell r="G66" t="str">
            <v>098 634861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1"/>
  <sheetViews>
    <sheetView tabSelected="1" zoomScale="75" zoomScaleNormal="75" workbookViewId="0">
      <pane ySplit="6" topLeftCell="A7" activePane="bottomLeft" state="frozen"/>
      <selection pane="bottomLeft" activeCell="D32" sqref="D32"/>
    </sheetView>
  </sheetViews>
  <sheetFormatPr baseColWidth="10" defaultColWidth="8.85546875" defaultRowHeight="15" x14ac:dyDescent="0.25"/>
  <cols>
    <col min="1" max="1" width="18.85546875" style="26" customWidth="1"/>
    <col min="2" max="2" width="8.85546875" style="26"/>
    <col min="3" max="3" width="63.140625" style="26" customWidth="1"/>
    <col min="4" max="4" width="44" style="26" customWidth="1"/>
    <col min="5" max="5" width="9.85546875" style="26" bestFit="1" customWidth="1"/>
    <col min="6" max="6" width="17.140625" style="26" customWidth="1"/>
    <col min="7" max="7" width="22.42578125" style="26" bestFit="1" customWidth="1"/>
    <col min="8" max="8" width="22.7109375" style="26" customWidth="1"/>
    <col min="9" max="9" width="21.7109375" style="26" customWidth="1"/>
    <col min="10" max="10" width="18.28515625" style="26" customWidth="1"/>
    <col min="11" max="11" width="20.42578125" style="26" customWidth="1"/>
    <col min="12" max="12" width="19.28515625" style="26" customWidth="1"/>
    <col min="13" max="13" width="19.5703125" style="25" customWidth="1"/>
    <col min="14" max="142" width="8.85546875" style="25"/>
    <col min="143" max="16384" width="8.85546875" style="26"/>
  </cols>
  <sheetData>
    <row r="1" spans="1:12" ht="156.7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5" customHeight="1" x14ac:dyDescent="0.25">
      <c r="A2" s="27" t="s">
        <v>2251</v>
      </c>
      <c r="B2" s="27"/>
      <c r="C2" s="27"/>
      <c r="D2" s="28" t="s">
        <v>2448</v>
      </c>
      <c r="E2" s="29"/>
      <c r="F2" s="29"/>
      <c r="G2" s="25"/>
      <c r="H2" s="25"/>
      <c r="I2" s="25"/>
      <c r="J2" s="25"/>
      <c r="K2" s="25"/>
      <c r="L2" s="25"/>
    </row>
    <row r="3" spans="1:12" ht="15" customHeight="1" x14ac:dyDescent="0.25">
      <c r="A3" s="30" t="s">
        <v>2248</v>
      </c>
      <c r="B3" s="30"/>
      <c r="C3" s="30"/>
      <c r="D3" s="31" t="s">
        <v>2447</v>
      </c>
      <c r="E3" s="32"/>
      <c r="F3" s="32"/>
      <c r="G3" s="33"/>
      <c r="H3" s="33"/>
      <c r="I3" s="33"/>
      <c r="J3" s="33"/>
      <c r="K3" s="33"/>
      <c r="L3" s="33"/>
    </row>
    <row r="4" spans="1:12" ht="15" customHeight="1" x14ac:dyDescent="0.25">
      <c r="A4" s="27" t="s">
        <v>2250</v>
      </c>
      <c r="B4" s="27"/>
      <c r="C4" s="27"/>
      <c r="D4" s="28">
        <v>2024</v>
      </c>
      <c r="E4" s="29"/>
      <c r="F4" s="29"/>
      <c r="G4" s="33"/>
      <c r="H4" s="33"/>
      <c r="I4" s="33"/>
      <c r="J4" s="33"/>
      <c r="K4" s="33"/>
      <c r="L4" s="33"/>
    </row>
    <row r="5" spans="1:12" ht="15" customHeight="1" thickBot="1" x14ac:dyDescent="0.3">
      <c r="A5" s="30" t="s">
        <v>2249</v>
      </c>
      <c r="B5" s="30"/>
      <c r="C5" s="30"/>
      <c r="D5" s="34" t="s">
        <v>2449</v>
      </c>
      <c r="E5" s="35"/>
      <c r="F5" s="35"/>
      <c r="G5" s="33"/>
      <c r="H5" s="33"/>
      <c r="I5" s="33"/>
      <c r="J5" s="33"/>
      <c r="K5" s="33"/>
      <c r="L5" s="33"/>
    </row>
    <row r="6" spans="1:12" ht="45.75" thickBot="1" x14ac:dyDescent="0.3">
      <c r="A6" s="8" t="s">
        <v>0</v>
      </c>
      <c r="B6" s="9" t="s">
        <v>1</v>
      </c>
      <c r="C6" s="10" t="s">
        <v>2</v>
      </c>
      <c r="D6" s="11" t="s">
        <v>3</v>
      </c>
      <c r="E6" s="9" t="s">
        <v>4</v>
      </c>
      <c r="F6" s="10" t="s">
        <v>5</v>
      </c>
      <c r="G6" s="9" t="s">
        <v>6</v>
      </c>
      <c r="H6" s="12" t="s">
        <v>7</v>
      </c>
      <c r="I6" s="12" t="s">
        <v>2247</v>
      </c>
      <c r="J6" s="12" t="s">
        <v>8</v>
      </c>
      <c r="K6" s="12" t="s">
        <v>9</v>
      </c>
      <c r="L6" s="13" t="s">
        <v>10</v>
      </c>
    </row>
    <row r="7" spans="1:12" s="14" customFormat="1" ht="12" x14ac:dyDescent="0.25">
      <c r="A7" s="23">
        <v>901037916</v>
      </c>
      <c r="B7" s="15">
        <f>VLOOKUP(A7,aa,2,0)</f>
        <v>1</v>
      </c>
      <c r="C7" s="23" t="s">
        <v>2252</v>
      </c>
      <c r="D7" s="36" t="s">
        <v>2253</v>
      </c>
      <c r="E7" s="36">
        <v>4322760</v>
      </c>
      <c r="F7" s="36" t="s">
        <v>2254</v>
      </c>
      <c r="G7" s="16">
        <v>11001</v>
      </c>
      <c r="H7" s="36">
        <v>312</v>
      </c>
      <c r="I7" s="37">
        <v>45744233</v>
      </c>
      <c r="J7" s="36">
        <v>0</v>
      </c>
      <c r="K7" s="36">
        <v>0</v>
      </c>
      <c r="L7" s="36">
        <v>0</v>
      </c>
    </row>
    <row r="8" spans="1:12" x14ac:dyDescent="0.25">
      <c r="A8" s="23">
        <v>830113831</v>
      </c>
      <c r="B8" s="15">
        <f>VLOOKUP(A8,aa,2,0)</f>
        <v>0</v>
      </c>
      <c r="C8" s="23" t="s">
        <v>2255</v>
      </c>
      <c r="D8" s="38" t="s">
        <v>2256</v>
      </c>
      <c r="E8" s="36">
        <v>917568000</v>
      </c>
      <c r="F8" s="36" t="s">
        <v>2257</v>
      </c>
      <c r="G8" s="16">
        <v>11001</v>
      </c>
      <c r="H8" s="36">
        <v>312</v>
      </c>
      <c r="I8" s="39">
        <v>15770290</v>
      </c>
      <c r="J8" s="36">
        <v>0</v>
      </c>
      <c r="K8" s="36">
        <v>0</v>
      </c>
      <c r="L8" s="36">
        <v>0</v>
      </c>
    </row>
    <row r="9" spans="1:12" x14ac:dyDescent="0.25">
      <c r="A9" s="36">
        <v>839000495</v>
      </c>
      <c r="B9" s="15">
        <f>VLOOKUP(A9,aa,2,0)</f>
        <v>6</v>
      </c>
      <c r="C9" s="40" t="s">
        <v>2258</v>
      </c>
      <c r="D9" s="36" t="s">
        <v>2259</v>
      </c>
      <c r="E9" s="36">
        <v>1800096278</v>
      </c>
      <c r="F9" s="36" t="s">
        <v>2260</v>
      </c>
      <c r="G9" s="16">
        <v>44430</v>
      </c>
      <c r="H9" s="36">
        <v>312</v>
      </c>
      <c r="I9" s="39">
        <v>593876</v>
      </c>
      <c r="J9" s="36">
        <v>0</v>
      </c>
      <c r="K9" s="36">
        <v>0</v>
      </c>
      <c r="L9" s="36">
        <v>0</v>
      </c>
    </row>
    <row r="10" spans="1:12" x14ac:dyDescent="0.25">
      <c r="A10" s="23">
        <v>860524654</v>
      </c>
      <c r="B10" s="15">
        <f>VLOOKUP(A10,aa,2,0)</f>
        <v>6</v>
      </c>
      <c r="C10" s="23" t="s">
        <v>2261</v>
      </c>
      <c r="D10" s="36" t="s">
        <v>2262</v>
      </c>
      <c r="E10" s="36">
        <v>7437004</v>
      </c>
      <c r="F10" s="36" t="s">
        <v>2263</v>
      </c>
      <c r="G10" s="16">
        <v>11001</v>
      </c>
      <c r="H10" s="36">
        <v>312</v>
      </c>
      <c r="I10" s="37">
        <v>38737160</v>
      </c>
      <c r="J10" s="36">
        <v>0</v>
      </c>
      <c r="K10" s="36">
        <v>0</v>
      </c>
      <c r="L10" s="36">
        <v>0</v>
      </c>
    </row>
    <row r="11" spans="1:12" x14ac:dyDescent="0.25">
      <c r="A11" s="23">
        <v>900935126</v>
      </c>
      <c r="B11" s="15">
        <f>VLOOKUP(A11,aa,2,0)</f>
        <v>7</v>
      </c>
      <c r="C11" s="23" t="s">
        <v>2264</v>
      </c>
      <c r="D11" s="36" t="s">
        <v>2265</v>
      </c>
      <c r="E11" s="36">
        <v>8312000</v>
      </c>
      <c r="F11" s="36" t="s">
        <v>2266</v>
      </c>
      <c r="G11" s="16">
        <v>19001</v>
      </c>
      <c r="H11" s="36">
        <v>312</v>
      </c>
      <c r="I11" s="37">
        <v>6053744</v>
      </c>
      <c r="J11" s="36">
        <v>0</v>
      </c>
      <c r="K11" s="36">
        <v>0</v>
      </c>
      <c r="L11" s="36">
        <v>0</v>
      </c>
    </row>
    <row r="12" spans="1:12" x14ac:dyDescent="0.25">
      <c r="A12" s="36">
        <v>824001398</v>
      </c>
      <c r="B12" s="15">
        <f>VLOOKUP(A12,aa,2,0)</f>
        <v>1</v>
      </c>
      <c r="C12" s="36" t="s">
        <v>2267</v>
      </c>
      <c r="D12" s="38" t="s">
        <v>2268</v>
      </c>
      <c r="E12" s="36">
        <v>0</v>
      </c>
      <c r="F12" s="36" t="s">
        <v>372</v>
      </c>
      <c r="G12" s="16">
        <v>81794</v>
      </c>
      <c r="H12" s="36">
        <v>312</v>
      </c>
      <c r="I12" s="39">
        <v>258783</v>
      </c>
      <c r="J12" s="36">
        <v>0</v>
      </c>
      <c r="K12" s="36">
        <v>0</v>
      </c>
      <c r="L12" s="36">
        <v>0</v>
      </c>
    </row>
    <row r="13" spans="1:12" x14ac:dyDescent="0.25">
      <c r="A13" s="36">
        <v>806008394</v>
      </c>
      <c r="B13" s="15">
        <f>VLOOKUP(A13,aa,2,0)</f>
        <v>7</v>
      </c>
      <c r="C13" s="40" t="s">
        <v>2269</v>
      </c>
      <c r="D13" s="36" t="s">
        <v>2270</v>
      </c>
      <c r="E13" s="36">
        <v>952823124</v>
      </c>
      <c r="F13" s="36" t="s">
        <v>2271</v>
      </c>
      <c r="G13" s="16" t="s">
        <v>2022</v>
      </c>
      <c r="H13" s="36">
        <v>312</v>
      </c>
      <c r="I13" s="17">
        <v>1284818</v>
      </c>
      <c r="J13" s="36">
        <v>0</v>
      </c>
      <c r="K13" s="36">
        <v>0</v>
      </c>
      <c r="L13" s="36">
        <v>0</v>
      </c>
    </row>
    <row r="14" spans="1:12" x14ac:dyDescent="0.25">
      <c r="A14" s="23">
        <v>800244309</v>
      </c>
      <c r="B14" s="15">
        <f>VLOOKUP(A14,aa,2,0)</f>
        <v>1</v>
      </c>
      <c r="C14" s="23" t="s">
        <v>2272</v>
      </c>
      <c r="D14" s="36" t="s">
        <v>2273</v>
      </c>
      <c r="E14" s="36">
        <v>6446188</v>
      </c>
      <c r="F14" s="36" t="s">
        <v>2274</v>
      </c>
      <c r="G14" s="16">
        <v>11001</v>
      </c>
      <c r="H14" s="36">
        <v>312</v>
      </c>
      <c r="I14" s="37">
        <v>2905208</v>
      </c>
      <c r="J14" s="36">
        <v>0</v>
      </c>
      <c r="K14" s="36">
        <v>0</v>
      </c>
      <c r="L14" s="36">
        <v>0</v>
      </c>
    </row>
    <row r="15" spans="1:12" x14ac:dyDescent="0.25">
      <c r="A15" s="23">
        <v>860002183</v>
      </c>
      <c r="B15" s="15">
        <f>VLOOKUP(A15,aa,2,0)</f>
        <v>9</v>
      </c>
      <c r="C15" s="23" t="s">
        <v>2275</v>
      </c>
      <c r="D15" s="36" t="s">
        <v>2276</v>
      </c>
      <c r="E15" s="36">
        <v>2417430</v>
      </c>
      <c r="F15" s="36" t="s">
        <v>2277</v>
      </c>
      <c r="G15" s="16">
        <v>11001</v>
      </c>
      <c r="H15" s="36">
        <v>312</v>
      </c>
      <c r="I15" s="37">
        <v>4855294</v>
      </c>
      <c r="J15" s="36">
        <v>0</v>
      </c>
      <c r="K15" s="36">
        <v>0</v>
      </c>
      <c r="L15" s="36">
        <v>0</v>
      </c>
    </row>
    <row r="16" spans="1:12" x14ac:dyDescent="0.25">
      <c r="A16" s="23">
        <v>860002184</v>
      </c>
      <c r="B16" s="15">
        <f>VLOOKUP(A16,aa,2,0)</f>
        <v>6</v>
      </c>
      <c r="C16" s="23" t="s">
        <v>2278</v>
      </c>
      <c r="D16" s="36" t="s">
        <v>2279</v>
      </c>
      <c r="E16" s="36" t="s">
        <v>2280</v>
      </c>
      <c r="F16" s="36" t="s">
        <v>2281</v>
      </c>
      <c r="G16" s="16">
        <v>11001</v>
      </c>
      <c r="H16" s="36">
        <v>312</v>
      </c>
      <c r="I16" s="37">
        <v>5189142</v>
      </c>
      <c r="J16" s="36">
        <v>0</v>
      </c>
      <c r="K16" s="36">
        <v>0</v>
      </c>
      <c r="L16" s="36">
        <v>0</v>
      </c>
    </row>
    <row r="17" spans="1:12" x14ac:dyDescent="0.25">
      <c r="A17" s="36">
        <v>800037800</v>
      </c>
      <c r="B17" s="15">
        <f>VLOOKUP(A17,aa,2,0)</f>
        <v>0</v>
      </c>
      <c r="C17" s="40" t="s">
        <v>2282</v>
      </c>
      <c r="D17" s="36" t="s">
        <v>2283</v>
      </c>
      <c r="E17" s="36">
        <v>18000915000</v>
      </c>
      <c r="F17" s="36" t="s">
        <v>2284</v>
      </c>
      <c r="G17" s="16">
        <v>15516</v>
      </c>
      <c r="H17" s="36">
        <v>312</v>
      </c>
      <c r="I17" s="41">
        <v>262</v>
      </c>
      <c r="J17" s="36">
        <v>0</v>
      </c>
      <c r="K17" s="36">
        <v>0</v>
      </c>
      <c r="L17" s="36">
        <v>0</v>
      </c>
    </row>
    <row r="18" spans="1:12" x14ac:dyDescent="0.25">
      <c r="A18" s="36">
        <v>860007738</v>
      </c>
      <c r="B18" s="15">
        <f>VLOOKUP(A18,aa,2,0)</f>
        <v>9</v>
      </c>
      <c r="C18" s="40" t="s">
        <v>2285</v>
      </c>
      <c r="D18" s="36" t="s">
        <v>2286</v>
      </c>
      <c r="E18" s="36">
        <v>78500530</v>
      </c>
      <c r="F18" s="36" t="s">
        <v>2287</v>
      </c>
      <c r="G18" s="16">
        <v>15516</v>
      </c>
      <c r="H18" s="36">
        <v>312</v>
      </c>
      <c r="I18" s="41">
        <f>282+685000</f>
        <v>685282</v>
      </c>
      <c r="J18" s="36">
        <v>0</v>
      </c>
      <c r="K18" s="36">
        <v>0</v>
      </c>
      <c r="L18" s="36">
        <v>0</v>
      </c>
    </row>
    <row r="19" spans="1:12" x14ac:dyDescent="0.25">
      <c r="A19" s="36">
        <v>890903938</v>
      </c>
      <c r="B19" s="15">
        <f>VLOOKUP(A19,aa,2,0)</f>
        <v>8</v>
      </c>
      <c r="C19" s="40" t="s">
        <v>2288</v>
      </c>
      <c r="D19" s="36" t="s">
        <v>2289</v>
      </c>
      <c r="E19" s="36">
        <v>18000522622</v>
      </c>
      <c r="F19" s="36" t="s">
        <v>2284</v>
      </c>
      <c r="G19" s="16">
        <v>15516</v>
      </c>
      <c r="H19" s="36">
        <v>312</v>
      </c>
      <c r="I19" s="39">
        <v>901490</v>
      </c>
      <c r="J19" s="36">
        <v>0</v>
      </c>
      <c r="K19" s="36">
        <v>0</v>
      </c>
      <c r="L19" s="36">
        <v>0</v>
      </c>
    </row>
    <row r="20" spans="1:12" x14ac:dyDescent="0.25">
      <c r="A20" s="23">
        <v>800140999</v>
      </c>
      <c r="B20" s="15">
        <f>VLOOKUP(A20,aa,2,0)</f>
        <v>4</v>
      </c>
      <c r="C20" s="23" t="s">
        <v>2290</v>
      </c>
      <c r="D20" s="36" t="s">
        <v>2291</v>
      </c>
      <c r="E20" s="36">
        <v>3171820</v>
      </c>
      <c r="F20" s="36" t="s">
        <v>2292</v>
      </c>
      <c r="G20" s="16">
        <v>11001</v>
      </c>
      <c r="H20" s="36">
        <v>312</v>
      </c>
      <c r="I20" s="37">
        <v>2593700</v>
      </c>
      <c r="J20" s="36">
        <v>0</v>
      </c>
      <c r="K20" s="36">
        <v>0</v>
      </c>
      <c r="L20" s="36">
        <v>0</v>
      </c>
    </row>
    <row r="21" spans="1:12" x14ac:dyDescent="0.25">
      <c r="A21" s="18">
        <v>901543211</v>
      </c>
      <c r="B21" s="15">
        <f>VLOOKUP(A21,aa,2,0)</f>
        <v>6</v>
      </c>
      <c r="C21" s="18" t="s">
        <v>2293</v>
      </c>
      <c r="D21" s="19" t="s">
        <v>2294</v>
      </c>
      <c r="E21" s="20">
        <v>986722852</v>
      </c>
      <c r="F21" s="20" t="s">
        <v>2295</v>
      </c>
      <c r="G21" s="16" t="s">
        <v>1552</v>
      </c>
      <c r="H21" s="16">
        <v>312</v>
      </c>
      <c r="I21" s="21">
        <v>313993639</v>
      </c>
      <c r="J21" s="36">
        <v>0</v>
      </c>
      <c r="K21" s="36">
        <v>0</v>
      </c>
      <c r="L21" s="36">
        <v>0</v>
      </c>
    </row>
    <row r="22" spans="1:12" x14ac:dyDescent="0.25">
      <c r="A22" s="23">
        <v>900298372</v>
      </c>
      <c r="B22" s="15">
        <f>VLOOKUP(A22,aa,2,0)</f>
        <v>9</v>
      </c>
      <c r="C22" s="23" t="s">
        <v>2296</v>
      </c>
      <c r="D22" s="36" t="s">
        <v>2297</v>
      </c>
      <c r="E22" s="36">
        <v>3389650</v>
      </c>
      <c r="F22" s="36" t="s">
        <v>2298</v>
      </c>
      <c r="G22" s="16">
        <v>11001</v>
      </c>
      <c r="H22" s="36">
        <v>312</v>
      </c>
      <c r="I22" s="37">
        <v>26392700</v>
      </c>
      <c r="J22" s="36">
        <v>0</v>
      </c>
      <c r="K22" s="36">
        <v>0</v>
      </c>
      <c r="L22" s="36">
        <v>0</v>
      </c>
    </row>
    <row r="23" spans="1:12" x14ac:dyDescent="0.25">
      <c r="A23" s="23">
        <v>891856000</v>
      </c>
      <c r="B23" s="15">
        <f>VLOOKUP(A23,aa,2,0)</f>
        <v>7</v>
      </c>
      <c r="C23" s="23" t="s">
        <v>2299</v>
      </c>
      <c r="D23" s="36" t="s">
        <v>2300</v>
      </c>
      <c r="E23" s="36" t="s">
        <v>2301</v>
      </c>
      <c r="F23" s="36" t="s">
        <v>2302</v>
      </c>
      <c r="G23" s="16" t="s">
        <v>875</v>
      </c>
      <c r="H23" s="36">
        <v>312</v>
      </c>
      <c r="I23" s="37">
        <v>10719783</v>
      </c>
      <c r="J23" s="36">
        <v>0</v>
      </c>
      <c r="K23" s="36">
        <v>0</v>
      </c>
      <c r="L23" s="36">
        <v>0</v>
      </c>
    </row>
    <row r="24" spans="1:12" x14ac:dyDescent="0.25">
      <c r="A24" s="23">
        <v>800226175</v>
      </c>
      <c r="B24" s="15">
        <f>VLOOKUP(A24,aa,2,0)</f>
        <v>3</v>
      </c>
      <c r="C24" s="23" t="s">
        <v>2303</v>
      </c>
      <c r="D24" s="36" t="s">
        <v>2304</v>
      </c>
      <c r="E24" s="36">
        <v>7422650</v>
      </c>
      <c r="F24" s="36" t="s">
        <v>2305</v>
      </c>
      <c r="G24" s="16">
        <v>11001</v>
      </c>
      <c r="H24" s="36">
        <v>312</v>
      </c>
      <c r="I24" s="37">
        <v>2383384</v>
      </c>
      <c r="J24" s="36">
        <v>0</v>
      </c>
      <c r="K24" s="36">
        <v>0</v>
      </c>
      <c r="L24" s="36">
        <v>0</v>
      </c>
    </row>
    <row r="25" spans="1:12" x14ac:dyDescent="0.25">
      <c r="A25" s="23">
        <v>900015278</v>
      </c>
      <c r="B25" s="15">
        <f>VLOOKUP(A25,aa,2,0)</f>
        <v>0</v>
      </c>
      <c r="C25" s="23" t="s">
        <v>2306</v>
      </c>
      <c r="D25" s="36" t="s">
        <v>2307</v>
      </c>
      <c r="E25" s="36" t="s">
        <v>2308</v>
      </c>
      <c r="F25" s="36" t="s">
        <v>2309</v>
      </c>
      <c r="G25" s="16">
        <v>11001</v>
      </c>
      <c r="H25" s="36">
        <v>312</v>
      </c>
      <c r="I25" s="37">
        <v>7415317</v>
      </c>
      <c r="J25" s="36">
        <v>0</v>
      </c>
      <c r="K25" s="36">
        <v>0</v>
      </c>
      <c r="L25" s="36">
        <v>0</v>
      </c>
    </row>
    <row r="26" spans="1:12" x14ac:dyDescent="0.25">
      <c r="A26" s="23">
        <v>860066942</v>
      </c>
      <c r="B26" s="15">
        <f>VLOOKUP(A26,aa,2,0)</f>
        <v>7</v>
      </c>
      <c r="C26" s="23" t="s">
        <v>2310</v>
      </c>
      <c r="D26" s="36" t="s">
        <v>2311</v>
      </c>
      <c r="E26" s="36" t="s">
        <v>2312</v>
      </c>
      <c r="F26" s="36" t="s">
        <v>2313</v>
      </c>
      <c r="G26" s="16">
        <v>11001</v>
      </c>
      <c r="H26" s="36">
        <v>312</v>
      </c>
      <c r="I26" s="37">
        <v>532070852</v>
      </c>
      <c r="J26" s="36">
        <v>0</v>
      </c>
      <c r="K26" s="36">
        <v>0</v>
      </c>
      <c r="L26" s="36">
        <v>0</v>
      </c>
    </row>
    <row r="27" spans="1:12" x14ac:dyDescent="0.25">
      <c r="A27" s="23">
        <v>900226715</v>
      </c>
      <c r="B27" s="15">
        <f>VLOOKUP(A27,aa,2,0)</f>
        <v>3</v>
      </c>
      <c r="C27" s="23" t="s">
        <v>2314</v>
      </c>
      <c r="D27" s="42" t="s">
        <v>2315</v>
      </c>
      <c r="E27" s="36">
        <v>7432118</v>
      </c>
      <c r="F27" s="36" t="s">
        <v>2316</v>
      </c>
      <c r="G27" s="16">
        <v>15001</v>
      </c>
      <c r="H27" s="36">
        <v>312</v>
      </c>
      <c r="I27" s="37">
        <v>363655685</v>
      </c>
      <c r="J27" s="36">
        <v>0</v>
      </c>
      <c r="K27" s="36">
        <v>0</v>
      </c>
      <c r="L27" s="36">
        <v>0</v>
      </c>
    </row>
    <row r="28" spans="1:12" x14ac:dyDescent="0.25">
      <c r="A28" s="23">
        <v>891800498</v>
      </c>
      <c r="B28" s="15">
        <f>VLOOKUP(A28,aa,2,0)</f>
        <v>1</v>
      </c>
      <c r="C28" s="23" t="s">
        <v>2317</v>
      </c>
      <c r="D28" s="36" t="s">
        <v>2318</v>
      </c>
      <c r="E28" s="36">
        <v>7420150</v>
      </c>
      <c r="F28" s="36" t="s">
        <v>2319</v>
      </c>
      <c r="G28" s="16">
        <v>15001</v>
      </c>
      <c r="H28" s="36">
        <v>312</v>
      </c>
      <c r="I28" s="37">
        <v>637674326</v>
      </c>
      <c r="J28" s="36">
        <v>0</v>
      </c>
      <c r="K28" s="36">
        <v>0</v>
      </c>
      <c r="L28" s="36">
        <v>0</v>
      </c>
    </row>
    <row r="29" spans="1:12" x14ac:dyDescent="0.25">
      <c r="A29" s="23">
        <v>901540992</v>
      </c>
      <c r="B29" s="15">
        <f>VLOOKUP(A29,aa,2,0)</f>
        <v>6</v>
      </c>
      <c r="C29" s="23" t="s">
        <v>2320</v>
      </c>
      <c r="D29" s="36" t="s">
        <v>2452</v>
      </c>
      <c r="E29" s="36">
        <v>3208486799</v>
      </c>
      <c r="F29" s="36" t="s">
        <v>2321</v>
      </c>
      <c r="G29" s="16">
        <v>11001</v>
      </c>
      <c r="H29" s="36">
        <v>312</v>
      </c>
      <c r="I29" s="37">
        <v>39734566</v>
      </c>
      <c r="J29" s="36">
        <v>0</v>
      </c>
      <c r="K29" s="36">
        <v>0</v>
      </c>
      <c r="L29" s="36">
        <v>0</v>
      </c>
    </row>
    <row r="30" spans="1:12" x14ac:dyDescent="0.25">
      <c r="A30" s="23">
        <v>899999068</v>
      </c>
      <c r="B30" s="15">
        <f>VLOOKUP(A30,aa,2,0)</f>
        <v>1</v>
      </c>
      <c r="C30" s="23" t="s">
        <v>2322</v>
      </c>
      <c r="D30" s="36" t="s">
        <v>2323</v>
      </c>
      <c r="E30" s="36" t="s">
        <v>2324</v>
      </c>
      <c r="F30" s="36" t="s">
        <v>2325</v>
      </c>
      <c r="G30" s="16">
        <v>11001</v>
      </c>
      <c r="H30" s="36">
        <v>312</v>
      </c>
      <c r="I30" s="37">
        <v>6688662</v>
      </c>
      <c r="J30" s="36">
        <v>0</v>
      </c>
      <c r="K30" s="36">
        <v>0</v>
      </c>
      <c r="L30" s="36">
        <v>0</v>
      </c>
    </row>
    <row r="31" spans="1:12" x14ac:dyDescent="0.25">
      <c r="A31" s="23">
        <v>901021565</v>
      </c>
      <c r="B31" s="15">
        <f>VLOOKUP(A31,aa,2,0)</f>
        <v>8</v>
      </c>
      <c r="C31" s="23" t="s">
        <v>2326</v>
      </c>
      <c r="D31" s="36" t="s">
        <v>2327</v>
      </c>
      <c r="E31" s="36">
        <v>7336058</v>
      </c>
      <c r="F31" s="36" t="s">
        <v>2328</v>
      </c>
      <c r="G31" s="16">
        <v>52001</v>
      </c>
      <c r="H31" s="36">
        <v>312</v>
      </c>
      <c r="I31" s="37">
        <v>2436327</v>
      </c>
      <c r="J31" s="36">
        <v>0</v>
      </c>
      <c r="K31" s="36">
        <v>0</v>
      </c>
      <c r="L31" s="36">
        <v>0</v>
      </c>
    </row>
    <row r="32" spans="1:12" x14ac:dyDescent="0.25">
      <c r="A32" s="23">
        <v>800251440</v>
      </c>
      <c r="B32" s="15">
        <f>VLOOKUP(A32,aa,2,0)</f>
        <v>6</v>
      </c>
      <c r="C32" s="23" t="s">
        <v>2329</v>
      </c>
      <c r="D32" s="36" t="s">
        <v>2330</v>
      </c>
      <c r="E32" s="36">
        <v>6013759000</v>
      </c>
      <c r="F32" s="38" t="s">
        <v>2331</v>
      </c>
      <c r="G32" s="16">
        <v>11001</v>
      </c>
      <c r="H32" s="36">
        <v>312</v>
      </c>
      <c r="I32" s="37">
        <v>1169200689</v>
      </c>
      <c r="J32" s="36">
        <v>0</v>
      </c>
      <c r="K32" s="36">
        <v>0</v>
      </c>
      <c r="L32" s="36">
        <v>0</v>
      </c>
    </row>
    <row r="33" spans="1:12" x14ac:dyDescent="0.25">
      <c r="A33" s="23">
        <v>830003564</v>
      </c>
      <c r="B33" s="15">
        <f>VLOOKUP(A33,aa,2,0)</f>
        <v>7</v>
      </c>
      <c r="C33" s="23" t="s">
        <v>2332</v>
      </c>
      <c r="D33" s="38" t="s">
        <v>2333</v>
      </c>
      <c r="E33" s="36">
        <v>6684100</v>
      </c>
      <c r="F33" s="38" t="s">
        <v>2334</v>
      </c>
      <c r="G33" s="16">
        <v>11001</v>
      </c>
      <c r="H33" s="36">
        <v>312</v>
      </c>
      <c r="I33" s="37">
        <v>2163785397</v>
      </c>
      <c r="J33" s="36">
        <v>0</v>
      </c>
      <c r="K33" s="36">
        <v>0</v>
      </c>
      <c r="L33" s="36">
        <v>0</v>
      </c>
    </row>
    <row r="34" spans="1:12" x14ac:dyDescent="0.25">
      <c r="A34" s="23">
        <v>800130907</v>
      </c>
      <c r="B34" s="15">
        <f>VLOOKUP(A34,aa,2,0)</f>
        <v>4</v>
      </c>
      <c r="C34" s="23" t="s">
        <v>2335</v>
      </c>
      <c r="D34" s="36" t="s">
        <v>2336</v>
      </c>
      <c r="E34" s="36"/>
      <c r="F34" s="36" t="s">
        <v>2337</v>
      </c>
      <c r="G34" s="16">
        <v>11001</v>
      </c>
      <c r="H34" s="36">
        <v>312</v>
      </c>
      <c r="I34" s="37">
        <v>206620476</v>
      </c>
      <c r="J34" s="36">
        <v>0</v>
      </c>
      <c r="K34" s="36">
        <v>0</v>
      </c>
      <c r="L34" s="36">
        <v>0</v>
      </c>
    </row>
    <row r="35" spans="1:12" x14ac:dyDescent="0.25">
      <c r="A35" s="36">
        <v>901542573</v>
      </c>
      <c r="B35" s="15">
        <f>VLOOKUP(A35,aa,2,0)</f>
        <v>2</v>
      </c>
      <c r="C35" s="40" t="s">
        <v>2338</v>
      </c>
      <c r="D35" s="36" t="s">
        <v>2339</v>
      </c>
      <c r="E35" s="36">
        <v>0</v>
      </c>
      <c r="F35" s="36" t="s">
        <v>2340</v>
      </c>
      <c r="G35" s="16">
        <v>76001</v>
      </c>
      <c r="H35" s="36">
        <v>312</v>
      </c>
      <c r="I35" s="17">
        <v>412093</v>
      </c>
      <c r="J35" s="36">
        <v>0</v>
      </c>
      <c r="K35" s="36">
        <v>0</v>
      </c>
      <c r="L35" s="36">
        <v>0</v>
      </c>
    </row>
    <row r="36" spans="1:12" x14ac:dyDescent="0.25">
      <c r="A36" s="23">
        <v>830053105</v>
      </c>
      <c r="B36" s="15">
        <f>VLOOKUP(A36,aa,2,0)</f>
        <v>3</v>
      </c>
      <c r="C36" s="23" t="s">
        <v>2341</v>
      </c>
      <c r="D36" s="36" t="s">
        <v>2342</v>
      </c>
      <c r="E36" s="36">
        <v>6343558</v>
      </c>
      <c r="F36" s="36" t="s">
        <v>2343</v>
      </c>
      <c r="G36" s="16">
        <v>11001</v>
      </c>
      <c r="H36" s="36">
        <v>312</v>
      </c>
      <c r="I36" s="37">
        <v>113678064</v>
      </c>
      <c r="J36" s="36">
        <v>0</v>
      </c>
      <c r="K36" s="36">
        <v>0</v>
      </c>
      <c r="L36" s="36">
        <v>0</v>
      </c>
    </row>
    <row r="37" spans="1:12" x14ac:dyDescent="0.25">
      <c r="A37" s="23">
        <v>800112806</v>
      </c>
      <c r="B37" s="15">
        <f>VLOOKUP(A37,aa,2,0)</f>
        <v>2</v>
      </c>
      <c r="C37" s="23" t="s">
        <v>2344</v>
      </c>
      <c r="D37" s="36" t="s">
        <v>2451</v>
      </c>
      <c r="E37" s="36" t="s">
        <v>2345</v>
      </c>
      <c r="F37" s="36" t="s">
        <v>2346</v>
      </c>
      <c r="G37" s="16">
        <v>11001</v>
      </c>
      <c r="H37" s="36">
        <v>312</v>
      </c>
      <c r="I37" s="37">
        <v>2066513</v>
      </c>
      <c r="J37" s="36">
        <v>0</v>
      </c>
      <c r="K37" s="36">
        <v>0</v>
      </c>
      <c r="L37" s="36">
        <v>0</v>
      </c>
    </row>
    <row r="38" spans="1:12" x14ac:dyDescent="0.25">
      <c r="A38" s="23">
        <v>860004875</v>
      </c>
      <c r="B38" s="15">
        <f>VLOOKUP(A38,aa,2,0)</f>
        <v>6</v>
      </c>
      <c r="C38" s="23" t="s">
        <v>2347</v>
      </c>
      <c r="D38" s="36" t="s">
        <v>2348</v>
      </c>
      <c r="E38" s="36">
        <v>3468888</v>
      </c>
      <c r="F38" s="36" t="s">
        <v>2349</v>
      </c>
      <c r="G38" s="16">
        <v>11001</v>
      </c>
      <c r="H38" s="36">
        <v>312</v>
      </c>
      <c r="I38" s="37">
        <v>9332883</v>
      </c>
      <c r="J38" s="36">
        <v>0</v>
      </c>
      <c r="K38" s="36">
        <v>0</v>
      </c>
      <c r="L38" s="36">
        <v>0</v>
      </c>
    </row>
    <row r="39" spans="1:12" x14ac:dyDescent="0.25">
      <c r="A39" s="23">
        <v>826000214</v>
      </c>
      <c r="B39" s="15">
        <f>VLOOKUP(A39,aa,2,0)</f>
        <v>6</v>
      </c>
      <c r="C39" s="23" t="s">
        <v>2350</v>
      </c>
      <c r="D39" s="36" t="s">
        <v>2351</v>
      </c>
      <c r="E39" s="36">
        <v>7852145</v>
      </c>
      <c r="F39" s="36" t="s">
        <v>2352</v>
      </c>
      <c r="G39" s="16">
        <v>15516</v>
      </c>
      <c r="H39" s="36">
        <v>312</v>
      </c>
      <c r="I39" s="37">
        <v>35000000</v>
      </c>
      <c r="J39" s="36">
        <v>0</v>
      </c>
      <c r="K39" s="36">
        <v>0</v>
      </c>
      <c r="L39" s="36">
        <v>0</v>
      </c>
    </row>
    <row r="40" spans="1:12" x14ac:dyDescent="0.25">
      <c r="A40" s="23">
        <v>901440176</v>
      </c>
      <c r="B40" s="15">
        <f>VLOOKUP(A40,aa,2,0)</f>
        <v>3</v>
      </c>
      <c r="C40" s="23" t="s">
        <v>2353</v>
      </c>
      <c r="D40" s="36" t="s">
        <v>2354</v>
      </c>
      <c r="E40" s="36">
        <v>6013487030</v>
      </c>
      <c r="F40" s="36" t="s">
        <v>2355</v>
      </c>
      <c r="G40" s="16">
        <v>11001</v>
      </c>
      <c r="H40" s="36">
        <v>312</v>
      </c>
      <c r="I40" s="37">
        <v>5002437</v>
      </c>
      <c r="J40" s="36">
        <v>0</v>
      </c>
      <c r="K40" s="36">
        <v>0</v>
      </c>
      <c r="L40" s="36">
        <v>0</v>
      </c>
    </row>
    <row r="41" spans="1:12" x14ac:dyDescent="0.25">
      <c r="A41" s="23">
        <v>860028415</v>
      </c>
      <c r="B41" s="15">
        <f>VLOOKUP(A41,aa,2,0)</f>
        <v>5</v>
      </c>
      <c r="C41" s="36" t="s">
        <v>2356</v>
      </c>
      <c r="D41" s="36" t="s">
        <v>2357</v>
      </c>
      <c r="E41" s="36">
        <v>7400042</v>
      </c>
      <c r="F41" s="36" t="s">
        <v>2358</v>
      </c>
      <c r="G41" s="16">
        <v>15001</v>
      </c>
      <c r="H41" s="36">
        <v>312</v>
      </c>
      <c r="I41" s="17">
        <v>855404</v>
      </c>
      <c r="J41" s="36">
        <v>0</v>
      </c>
      <c r="K41" s="36">
        <v>0</v>
      </c>
      <c r="L41" s="36">
        <v>0</v>
      </c>
    </row>
    <row r="42" spans="1:12" x14ac:dyDescent="0.25">
      <c r="A42" s="36">
        <v>830008686</v>
      </c>
      <c r="B42" s="15">
        <f>VLOOKUP(A42,aa,2,0)</f>
        <v>1</v>
      </c>
      <c r="C42" s="40" t="s">
        <v>2359</v>
      </c>
      <c r="D42" s="36" t="s">
        <v>2360</v>
      </c>
      <c r="E42" s="36">
        <v>5922929</v>
      </c>
      <c r="F42" s="36" t="s">
        <v>2361</v>
      </c>
      <c r="G42" s="16">
        <v>11001</v>
      </c>
      <c r="H42" s="36">
        <v>312</v>
      </c>
      <c r="I42" s="17">
        <v>2011656</v>
      </c>
      <c r="J42" s="36">
        <v>0</v>
      </c>
      <c r="K42" s="36">
        <v>0</v>
      </c>
      <c r="L42" s="36">
        <v>0</v>
      </c>
    </row>
    <row r="43" spans="1:12" x14ac:dyDescent="0.25">
      <c r="A43" s="23">
        <v>860002400</v>
      </c>
      <c r="B43" s="15">
        <f>VLOOKUP(A43,aa,2,0)</f>
        <v>2</v>
      </c>
      <c r="C43" s="23" t="s">
        <v>2362</v>
      </c>
      <c r="D43" s="36" t="s">
        <v>2363</v>
      </c>
      <c r="E43" s="36" t="s">
        <v>2364</v>
      </c>
      <c r="F43" s="36" t="s">
        <v>2365</v>
      </c>
      <c r="G43" s="16">
        <v>11001</v>
      </c>
      <c r="H43" s="36">
        <v>312</v>
      </c>
      <c r="I43" s="37">
        <v>49778536</v>
      </c>
      <c r="J43" s="36">
        <v>0</v>
      </c>
      <c r="K43" s="36">
        <v>0</v>
      </c>
      <c r="L43" s="36">
        <v>0</v>
      </c>
    </row>
    <row r="44" spans="1:12" x14ac:dyDescent="0.25">
      <c r="A44" s="36">
        <v>860039988</v>
      </c>
      <c r="B44" s="15">
        <f>VLOOKUP(A44,aa,2,0)</f>
        <v>0</v>
      </c>
      <c r="C44" s="40" t="s">
        <v>2366</v>
      </c>
      <c r="D44" s="36" t="s">
        <v>2367</v>
      </c>
      <c r="E44" s="36" t="s">
        <v>2368</v>
      </c>
      <c r="F44" s="36" t="s">
        <v>2369</v>
      </c>
      <c r="G44" s="16">
        <v>11001</v>
      </c>
      <c r="H44" s="36">
        <v>312</v>
      </c>
      <c r="I44" s="17">
        <v>1323918</v>
      </c>
      <c r="J44" s="36">
        <v>0</v>
      </c>
      <c r="K44" s="36">
        <v>0</v>
      </c>
      <c r="L44" s="36">
        <v>0</v>
      </c>
    </row>
    <row r="45" spans="1:12" x14ac:dyDescent="0.25">
      <c r="A45" s="23">
        <v>891700037</v>
      </c>
      <c r="B45" s="15">
        <f>VLOOKUP(A45,aa,2,0)</f>
        <v>9</v>
      </c>
      <c r="C45" s="23" t="s">
        <v>2370</v>
      </c>
      <c r="D45" s="36" t="s">
        <v>2371</v>
      </c>
      <c r="E45" s="36">
        <v>6013077024</v>
      </c>
      <c r="F45" s="36" t="s">
        <v>2372</v>
      </c>
      <c r="G45" s="16">
        <v>11001</v>
      </c>
      <c r="H45" s="36">
        <v>312</v>
      </c>
      <c r="I45" s="37">
        <v>3263256</v>
      </c>
      <c r="J45" s="36">
        <v>0</v>
      </c>
      <c r="K45" s="36">
        <v>0</v>
      </c>
      <c r="L45" s="36">
        <v>0</v>
      </c>
    </row>
    <row r="46" spans="1:12" x14ac:dyDescent="0.25">
      <c r="A46" s="23">
        <v>899999090</v>
      </c>
      <c r="B46" s="15">
        <f>VLOOKUP(A46,aa,2,0)</f>
        <v>2</v>
      </c>
      <c r="C46" s="23" t="s">
        <v>2373</v>
      </c>
      <c r="D46" s="36" t="s">
        <v>2374</v>
      </c>
      <c r="E46" s="36">
        <v>6013811700</v>
      </c>
      <c r="F46" s="36" t="s">
        <v>2375</v>
      </c>
      <c r="G46" s="16">
        <v>11001</v>
      </c>
      <c r="H46" s="36">
        <v>312</v>
      </c>
      <c r="I46" s="37">
        <v>851685288</v>
      </c>
      <c r="J46" s="36">
        <v>0</v>
      </c>
      <c r="K46" s="36">
        <v>0</v>
      </c>
      <c r="L46" s="36">
        <v>0</v>
      </c>
    </row>
    <row r="47" spans="1:12" x14ac:dyDescent="0.25">
      <c r="A47" s="23">
        <v>860037013</v>
      </c>
      <c r="B47" s="15">
        <f>VLOOKUP(A47,aa,2,0)</f>
        <v>6</v>
      </c>
      <c r="C47" s="23" t="s">
        <v>2376</v>
      </c>
      <c r="D47" s="36" t="s">
        <v>2377</v>
      </c>
      <c r="E47" s="36">
        <v>7568923</v>
      </c>
      <c r="F47" s="36" t="s">
        <v>2378</v>
      </c>
      <c r="G47" s="16">
        <v>11001</v>
      </c>
      <c r="H47" s="36">
        <v>312</v>
      </c>
      <c r="I47" s="37">
        <v>51386596</v>
      </c>
      <c r="J47" s="36">
        <v>0</v>
      </c>
      <c r="K47" s="36">
        <v>0</v>
      </c>
      <c r="L47" s="36">
        <v>0</v>
      </c>
    </row>
    <row r="48" spans="1:12" x14ac:dyDescent="0.25">
      <c r="A48" s="23">
        <v>891801240</v>
      </c>
      <c r="B48" s="15">
        <f>VLOOKUP(A48,aa,2,0)</f>
        <v>1</v>
      </c>
      <c r="C48" s="23" t="s">
        <v>2379</v>
      </c>
      <c r="D48" s="36" t="s">
        <v>2380</v>
      </c>
      <c r="E48" s="36">
        <v>1850131</v>
      </c>
      <c r="F48" s="36" t="s">
        <v>2381</v>
      </c>
      <c r="G48" s="16">
        <v>15516</v>
      </c>
      <c r="H48" s="36">
        <v>312</v>
      </c>
      <c r="I48" s="37">
        <v>547095346</v>
      </c>
      <c r="J48" s="36">
        <v>0</v>
      </c>
      <c r="K48" s="36">
        <v>0</v>
      </c>
      <c r="L48" s="36">
        <v>0</v>
      </c>
    </row>
    <row r="49" spans="1:12" x14ac:dyDescent="0.25">
      <c r="A49" s="23">
        <v>900156264</v>
      </c>
      <c r="B49" s="15">
        <f>VLOOKUP(A49,aa,2,0)</f>
        <v>2</v>
      </c>
      <c r="C49" s="23" t="s">
        <v>2382</v>
      </c>
      <c r="D49" s="38" t="s">
        <v>2383</v>
      </c>
      <c r="E49" s="36">
        <v>4193000</v>
      </c>
      <c r="F49" s="36" t="s">
        <v>2384</v>
      </c>
      <c r="G49" s="16">
        <v>11001</v>
      </c>
      <c r="H49" s="36">
        <v>312</v>
      </c>
      <c r="I49" s="37">
        <v>5148876706</v>
      </c>
      <c r="J49" s="36">
        <v>0</v>
      </c>
      <c r="K49" s="36">
        <v>0</v>
      </c>
      <c r="L49" s="36">
        <v>0</v>
      </c>
    </row>
    <row r="50" spans="1:12" x14ac:dyDescent="0.25">
      <c r="A50" s="23">
        <v>74323309</v>
      </c>
      <c r="B50" s="15">
        <f>VLOOKUP(A50,aa,2,0)</f>
        <v>0</v>
      </c>
      <c r="C50" s="23" t="s">
        <v>2385</v>
      </c>
      <c r="D50" s="38" t="s">
        <v>2268</v>
      </c>
      <c r="E50" s="36">
        <v>0</v>
      </c>
      <c r="F50" s="36" t="s">
        <v>2386</v>
      </c>
      <c r="G50" s="16">
        <v>15516</v>
      </c>
      <c r="H50" s="36">
        <v>312</v>
      </c>
      <c r="I50" s="37">
        <v>3233976</v>
      </c>
      <c r="J50" s="36">
        <v>0</v>
      </c>
      <c r="K50" s="36">
        <v>0</v>
      </c>
      <c r="L50" s="36">
        <v>0</v>
      </c>
    </row>
    <row r="51" spans="1:12" x14ac:dyDescent="0.25">
      <c r="A51" s="23">
        <v>860011153</v>
      </c>
      <c r="B51" s="15">
        <f>VLOOKUP(A51,aa,2,0)</f>
        <v>6</v>
      </c>
      <c r="C51" s="23" t="s">
        <v>2387</v>
      </c>
      <c r="D51" s="36" t="s">
        <v>2300</v>
      </c>
      <c r="E51" s="36">
        <v>1800011117</v>
      </c>
      <c r="F51" s="36" t="s">
        <v>2388</v>
      </c>
      <c r="G51" s="16">
        <v>15759</v>
      </c>
      <c r="H51" s="36">
        <v>312</v>
      </c>
      <c r="I51" s="37">
        <v>98770141</v>
      </c>
      <c r="J51" s="36">
        <v>0</v>
      </c>
      <c r="K51" s="36">
        <v>0</v>
      </c>
      <c r="L51" s="36">
        <v>0</v>
      </c>
    </row>
    <row r="52" spans="1:12" x14ac:dyDescent="0.25">
      <c r="A52" s="23">
        <v>900336524</v>
      </c>
      <c r="B52" s="15">
        <f>VLOOKUP(A52,aa,2,0)</f>
        <v>5</v>
      </c>
      <c r="C52" s="23" t="s">
        <v>2389</v>
      </c>
      <c r="D52" s="36" t="s">
        <v>2390</v>
      </c>
      <c r="E52" s="36"/>
      <c r="F52" s="36" t="s">
        <v>2391</v>
      </c>
      <c r="G52" s="16">
        <v>11001</v>
      </c>
      <c r="H52" s="36">
        <v>312</v>
      </c>
      <c r="I52" s="37">
        <v>79476355</v>
      </c>
      <c r="J52" s="36">
        <v>0</v>
      </c>
      <c r="K52" s="36">
        <v>0</v>
      </c>
      <c r="L52" s="36">
        <v>0</v>
      </c>
    </row>
    <row r="53" spans="1:12" x14ac:dyDescent="0.25">
      <c r="A53" s="36">
        <v>901438242</v>
      </c>
      <c r="B53" s="15">
        <f>VLOOKUP(A53,aa,2,0)</f>
        <v>5</v>
      </c>
      <c r="C53" s="36" t="s">
        <v>2392</v>
      </c>
      <c r="D53" s="36" t="s">
        <v>2393</v>
      </c>
      <c r="E53" s="36">
        <v>60134444</v>
      </c>
      <c r="F53" s="36" t="s">
        <v>2394</v>
      </c>
      <c r="G53" s="16">
        <v>11001</v>
      </c>
      <c r="H53" s="36">
        <v>312</v>
      </c>
      <c r="I53" s="39">
        <v>454395</v>
      </c>
      <c r="J53" s="36">
        <v>0</v>
      </c>
      <c r="K53" s="36">
        <v>0</v>
      </c>
      <c r="L53" s="36">
        <v>0</v>
      </c>
    </row>
    <row r="54" spans="1:12" x14ac:dyDescent="0.25">
      <c r="A54" s="23">
        <v>900604350</v>
      </c>
      <c r="B54" s="15">
        <f>VLOOKUP(A54,aa,2,0)</f>
        <v>0</v>
      </c>
      <c r="C54" s="23" t="s">
        <v>2395</v>
      </c>
      <c r="D54" s="36" t="s">
        <v>2396</v>
      </c>
      <c r="E54" s="36">
        <v>0</v>
      </c>
      <c r="F54" s="36" t="s">
        <v>2397</v>
      </c>
      <c r="G54" s="16">
        <v>5001</v>
      </c>
      <c r="H54" s="36">
        <v>312</v>
      </c>
      <c r="I54" s="37">
        <v>1893825</v>
      </c>
      <c r="J54" s="36">
        <v>0</v>
      </c>
      <c r="K54" s="36">
        <v>0</v>
      </c>
      <c r="L54" s="36">
        <v>0</v>
      </c>
    </row>
    <row r="55" spans="1:12" x14ac:dyDescent="0.25">
      <c r="A55" s="23">
        <v>860002503</v>
      </c>
      <c r="B55" s="15">
        <f>VLOOKUP(A55,aa,2,0)</f>
        <v>2</v>
      </c>
      <c r="C55" s="23" t="s">
        <v>2398</v>
      </c>
      <c r="D55" s="36" t="s">
        <v>2399</v>
      </c>
      <c r="E55" s="36">
        <v>3410077</v>
      </c>
      <c r="F55" s="36" t="s">
        <v>2400</v>
      </c>
      <c r="G55" s="16">
        <v>11001</v>
      </c>
      <c r="H55" s="36">
        <v>312</v>
      </c>
      <c r="I55" s="37">
        <v>8157713</v>
      </c>
      <c r="J55" s="36">
        <v>0</v>
      </c>
      <c r="K55" s="36">
        <v>0</v>
      </c>
      <c r="L55" s="36">
        <v>0</v>
      </c>
    </row>
    <row r="56" spans="1:12" x14ac:dyDescent="0.25">
      <c r="A56" s="23">
        <v>860002180</v>
      </c>
      <c r="B56" s="15">
        <f>VLOOKUP(A56,aa,2,0)</f>
        <v>7</v>
      </c>
      <c r="C56" s="23" t="s">
        <v>2401</v>
      </c>
      <c r="D56" s="36" t="s">
        <v>2402</v>
      </c>
      <c r="E56" s="36">
        <v>913136969</v>
      </c>
      <c r="F56" s="36" t="s">
        <v>2403</v>
      </c>
      <c r="G56" s="16">
        <v>11001</v>
      </c>
      <c r="H56" s="36">
        <v>312</v>
      </c>
      <c r="I56" s="37">
        <v>17074761</v>
      </c>
      <c r="J56" s="36">
        <v>0</v>
      </c>
      <c r="K56" s="36">
        <v>0</v>
      </c>
      <c r="L56" s="36">
        <v>0</v>
      </c>
    </row>
    <row r="57" spans="1:12" x14ac:dyDescent="0.25">
      <c r="A57" s="23">
        <v>860503617</v>
      </c>
      <c r="B57" s="15">
        <f>VLOOKUP(A57,aa,2,0)</f>
        <v>3</v>
      </c>
      <c r="C57" s="23" t="s">
        <v>2404</v>
      </c>
      <c r="D57" s="36" t="s">
        <v>2405</v>
      </c>
      <c r="E57" s="36">
        <v>7435333</v>
      </c>
      <c r="F57" s="36" t="s">
        <v>2406</v>
      </c>
      <c r="G57" s="16">
        <v>11001</v>
      </c>
      <c r="H57" s="36">
        <v>312</v>
      </c>
      <c r="I57" s="37">
        <v>2876998</v>
      </c>
      <c r="J57" s="36">
        <v>0</v>
      </c>
      <c r="K57" s="36">
        <v>0</v>
      </c>
      <c r="L57" s="36">
        <v>0</v>
      </c>
    </row>
    <row r="58" spans="1:12" x14ac:dyDescent="0.25">
      <c r="A58" s="23">
        <v>860009174</v>
      </c>
      <c r="B58" s="15">
        <f>VLOOKUP(A58,aa,2,0)</f>
        <v>4</v>
      </c>
      <c r="C58" s="23" t="s">
        <v>2407</v>
      </c>
      <c r="D58" s="36" t="s">
        <v>2408</v>
      </c>
      <c r="E58" s="36">
        <v>0</v>
      </c>
      <c r="F58" s="36" t="s">
        <v>2409</v>
      </c>
      <c r="G58" s="16">
        <v>15238</v>
      </c>
      <c r="H58" s="36">
        <v>312</v>
      </c>
      <c r="I58" s="37">
        <v>4485535</v>
      </c>
      <c r="J58" s="36">
        <v>0</v>
      </c>
      <c r="K58" s="36">
        <v>0</v>
      </c>
      <c r="L58" s="36">
        <v>0</v>
      </c>
    </row>
    <row r="59" spans="1:12" x14ac:dyDescent="0.25">
      <c r="A59" s="23">
        <v>800088702</v>
      </c>
      <c r="B59" s="15">
        <f>VLOOKUP(A59,aa,2,0)</f>
        <v>2</v>
      </c>
      <c r="C59" s="23" t="s">
        <v>2410</v>
      </c>
      <c r="D59" s="36" t="s">
        <v>2411</v>
      </c>
      <c r="E59" s="36">
        <v>2602100</v>
      </c>
      <c r="F59" s="36" t="s">
        <v>2412</v>
      </c>
      <c r="G59" s="16">
        <v>11001</v>
      </c>
      <c r="H59" s="36">
        <v>312</v>
      </c>
      <c r="I59" s="37">
        <v>54354843</v>
      </c>
      <c r="J59" s="36">
        <v>0</v>
      </c>
      <c r="K59" s="36">
        <v>0</v>
      </c>
      <c r="L59" s="36">
        <v>0</v>
      </c>
    </row>
    <row r="60" spans="1:12" x14ac:dyDescent="0.25">
      <c r="A60" s="23">
        <v>890903790</v>
      </c>
      <c r="B60" s="15">
        <f>VLOOKUP(A60,aa,2,0)</f>
        <v>5</v>
      </c>
      <c r="C60" s="23" t="s">
        <v>2413</v>
      </c>
      <c r="D60" s="36" t="s">
        <v>2414</v>
      </c>
      <c r="E60" s="36">
        <v>42602100</v>
      </c>
      <c r="F60" s="36" t="s">
        <v>2415</v>
      </c>
      <c r="G60" s="16">
        <v>5001</v>
      </c>
      <c r="H60" s="36">
        <v>312</v>
      </c>
      <c r="I60" s="37">
        <v>55673307</v>
      </c>
      <c r="J60" s="36">
        <v>0</v>
      </c>
      <c r="K60" s="36">
        <v>0</v>
      </c>
      <c r="L60" s="36">
        <v>0</v>
      </c>
    </row>
    <row r="61" spans="1:12" x14ac:dyDescent="0.25">
      <c r="A61" s="23">
        <v>860009578</v>
      </c>
      <c r="B61" s="15">
        <f>VLOOKUP(A61,aa,2,0)</f>
        <v>6</v>
      </c>
      <c r="C61" s="23" t="s">
        <v>2416</v>
      </c>
      <c r="D61" s="36" t="s">
        <v>2417</v>
      </c>
      <c r="E61" s="36" t="s">
        <v>2418</v>
      </c>
      <c r="F61" s="36" t="s">
        <v>2419</v>
      </c>
      <c r="G61" s="16">
        <v>11001</v>
      </c>
      <c r="H61" s="36">
        <v>312</v>
      </c>
      <c r="I61" s="37">
        <v>12922056</v>
      </c>
      <c r="J61" s="36">
        <v>0</v>
      </c>
      <c r="K61" s="36">
        <v>0</v>
      </c>
      <c r="L61" s="36">
        <v>0</v>
      </c>
    </row>
    <row r="62" spans="1:12" x14ac:dyDescent="0.25">
      <c r="A62" s="23">
        <v>890903407</v>
      </c>
      <c r="B62" s="15">
        <f>VLOOKUP(A62,aa,2,0)</f>
        <v>9</v>
      </c>
      <c r="C62" s="23" t="s">
        <v>2420</v>
      </c>
      <c r="D62" s="38" t="s">
        <v>2421</v>
      </c>
      <c r="E62" s="36" t="s">
        <v>2422</v>
      </c>
      <c r="F62" s="36" t="s">
        <v>2423</v>
      </c>
      <c r="G62" s="16">
        <v>11001</v>
      </c>
      <c r="H62" s="36">
        <v>312</v>
      </c>
      <c r="I62" s="37">
        <v>28723038</v>
      </c>
      <c r="J62" s="36">
        <v>0</v>
      </c>
      <c r="K62" s="36">
        <v>0</v>
      </c>
      <c r="L62" s="36">
        <v>0</v>
      </c>
    </row>
    <row r="63" spans="1:12" x14ac:dyDescent="0.25">
      <c r="A63" s="36">
        <v>805001157</v>
      </c>
      <c r="B63" s="15">
        <f>VLOOKUP(A63,aa,2,0)</f>
        <v>2</v>
      </c>
      <c r="C63" s="40" t="s">
        <v>2424</v>
      </c>
      <c r="D63" s="36" t="s">
        <v>2425</v>
      </c>
      <c r="E63" s="36">
        <v>4898686</v>
      </c>
      <c r="F63" s="36" t="s">
        <v>2426</v>
      </c>
      <c r="G63" s="16">
        <v>11001</v>
      </c>
      <c r="H63" s="36">
        <v>312</v>
      </c>
      <c r="I63" s="22">
        <v>454900</v>
      </c>
      <c r="J63" s="36">
        <v>0</v>
      </c>
      <c r="K63" s="36">
        <v>0</v>
      </c>
      <c r="L63" s="36">
        <v>0</v>
      </c>
    </row>
    <row r="64" spans="1:12" x14ac:dyDescent="0.25">
      <c r="A64" s="36">
        <v>900033371</v>
      </c>
      <c r="B64" s="15">
        <f>VLOOKUP(A64,aa,2,0)</f>
        <v>4</v>
      </c>
      <c r="C64" s="40" t="s">
        <v>2427</v>
      </c>
      <c r="D64" s="36" t="s">
        <v>2450</v>
      </c>
      <c r="E64" s="36">
        <v>4114488</v>
      </c>
      <c r="F64" s="36" t="s">
        <v>2428</v>
      </c>
      <c r="G64" s="16">
        <v>5001</v>
      </c>
      <c r="H64" s="36">
        <v>312</v>
      </c>
      <c r="I64" s="39">
        <v>456373</v>
      </c>
      <c r="J64" s="36">
        <v>0</v>
      </c>
      <c r="K64" s="36">
        <v>0</v>
      </c>
      <c r="L64" s="36">
        <v>0</v>
      </c>
    </row>
    <row r="65" spans="1:12" x14ac:dyDescent="0.25">
      <c r="A65" s="23">
        <v>901153500</v>
      </c>
      <c r="B65" s="15">
        <f>VLOOKUP(A65,aa,2,0)</f>
        <v>6</v>
      </c>
      <c r="C65" s="23" t="s">
        <v>2429</v>
      </c>
      <c r="D65" s="36" t="s">
        <v>2430</v>
      </c>
      <c r="E65" s="36">
        <v>3185329537</v>
      </c>
      <c r="F65" s="36" t="s">
        <v>2431</v>
      </c>
      <c r="G65" s="16">
        <v>11001</v>
      </c>
      <c r="H65" s="36">
        <v>312</v>
      </c>
      <c r="I65" s="37">
        <v>45730356</v>
      </c>
      <c r="J65" s="36">
        <v>0</v>
      </c>
      <c r="K65" s="36">
        <v>0</v>
      </c>
      <c r="L65" s="36">
        <v>0</v>
      </c>
    </row>
    <row r="66" spans="1:12" x14ac:dyDescent="0.25">
      <c r="A66" s="36">
        <v>901153056</v>
      </c>
      <c r="B66" s="15">
        <f>VLOOKUP(A66,aa,2,0)</f>
        <v>7</v>
      </c>
      <c r="C66" s="40" t="s">
        <v>2432</v>
      </c>
      <c r="D66" s="36" t="s">
        <v>2433</v>
      </c>
      <c r="E66" s="36">
        <v>0</v>
      </c>
      <c r="F66" s="36" t="s">
        <v>2434</v>
      </c>
      <c r="G66" s="16">
        <v>68001</v>
      </c>
      <c r="H66" s="36">
        <v>312</v>
      </c>
      <c r="I66" s="17">
        <v>906311</v>
      </c>
      <c r="J66" s="36">
        <v>0</v>
      </c>
      <c r="K66" s="36">
        <v>0</v>
      </c>
      <c r="L66" s="36">
        <v>0</v>
      </c>
    </row>
    <row r="67" spans="1:12" x14ac:dyDescent="0.25">
      <c r="A67" s="36">
        <v>899999063</v>
      </c>
      <c r="B67" s="15">
        <f>VLOOKUP(A67,aa,2,0)</f>
        <v>3</v>
      </c>
      <c r="C67" s="36" t="s">
        <v>2435</v>
      </c>
      <c r="D67" s="36" t="s">
        <v>2436</v>
      </c>
      <c r="E67" s="36">
        <v>3165440</v>
      </c>
      <c r="F67" s="36" t="s">
        <v>2437</v>
      </c>
      <c r="G67" s="16">
        <v>11001</v>
      </c>
      <c r="H67" s="36">
        <v>312</v>
      </c>
      <c r="I67" s="17">
        <v>880673</v>
      </c>
      <c r="J67" s="36">
        <v>0</v>
      </c>
      <c r="K67" s="36">
        <v>0</v>
      </c>
      <c r="L67" s="36">
        <v>0</v>
      </c>
    </row>
    <row r="68" spans="1:12" x14ac:dyDescent="0.25">
      <c r="A68" s="23">
        <v>891800330</v>
      </c>
      <c r="B68" s="15">
        <f>VLOOKUP(A68,aa,2,0)</f>
        <v>1</v>
      </c>
      <c r="C68" s="23" t="s">
        <v>2438</v>
      </c>
      <c r="D68" s="36" t="s">
        <v>2439</v>
      </c>
      <c r="E68" s="36" t="s">
        <v>2440</v>
      </c>
      <c r="F68" s="36" t="s">
        <v>2441</v>
      </c>
      <c r="G68" s="16">
        <v>15001</v>
      </c>
      <c r="H68" s="36">
        <v>312</v>
      </c>
      <c r="I68" s="37">
        <v>12531157</v>
      </c>
      <c r="J68" s="36">
        <v>0</v>
      </c>
      <c r="K68" s="36">
        <v>0</v>
      </c>
      <c r="L68" s="36">
        <v>0</v>
      </c>
    </row>
    <row r="69" spans="1:12" x14ac:dyDescent="0.25">
      <c r="A69" s="23">
        <v>901127521</v>
      </c>
      <c r="B69" s="15">
        <f>VLOOKUP(A69,aa,2,0)</f>
        <v>0</v>
      </c>
      <c r="C69" s="23" t="s">
        <v>2442</v>
      </c>
      <c r="D69" s="38" t="s">
        <v>2268</v>
      </c>
      <c r="E69" s="36">
        <v>0</v>
      </c>
      <c r="F69" s="36" t="s">
        <v>2443</v>
      </c>
      <c r="G69" s="16">
        <v>11001</v>
      </c>
      <c r="H69" s="36">
        <v>312</v>
      </c>
      <c r="I69" s="37">
        <v>2516077</v>
      </c>
      <c r="J69" s="36">
        <v>0</v>
      </c>
      <c r="K69" s="36">
        <v>0</v>
      </c>
      <c r="L69" s="36">
        <v>0</v>
      </c>
    </row>
    <row r="70" spans="1:12" x14ac:dyDescent="0.25">
      <c r="A70" s="23">
        <v>1116805386</v>
      </c>
      <c r="B70" s="15">
        <f>VLOOKUP(A70,aa,2,0)</f>
        <v>0</v>
      </c>
      <c r="C70" s="23" t="s">
        <v>2444</v>
      </c>
      <c r="D70" s="38" t="s">
        <v>2268</v>
      </c>
      <c r="E70" s="36">
        <v>3123277490</v>
      </c>
      <c r="F70" s="36" t="s">
        <v>2445</v>
      </c>
      <c r="G70" s="16">
        <v>15516</v>
      </c>
      <c r="H70" s="36">
        <v>312</v>
      </c>
      <c r="I70" s="37">
        <v>1127972</v>
      </c>
      <c r="J70" s="36">
        <v>0</v>
      </c>
      <c r="K70" s="36">
        <v>0</v>
      </c>
      <c r="L70" s="36">
        <v>0</v>
      </c>
    </row>
    <row r="71" spans="1:12" x14ac:dyDescent="0.25">
      <c r="A71" s="43">
        <v>222222222</v>
      </c>
      <c r="B71" s="36"/>
      <c r="C71" s="36" t="s">
        <v>2446</v>
      </c>
      <c r="D71" s="36"/>
      <c r="E71" s="36"/>
      <c r="F71" s="36"/>
      <c r="G71" s="36"/>
      <c r="H71" s="36">
        <v>312</v>
      </c>
      <c r="I71" s="39">
        <v>104720201.63</v>
      </c>
      <c r="J71" s="36">
        <v>0</v>
      </c>
      <c r="K71" s="36">
        <v>0</v>
      </c>
      <c r="L71" s="36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32" zoomScale="85" zoomScaleNormal="85" workbookViewId="0">
      <selection activeCell="B45" sqref="B4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89" workbookViewId="0">
      <selection activeCell="A400" sqref="A40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2025-08-22T20:35:39Z</dcterms:modified>
</cp:coreProperties>
</file>