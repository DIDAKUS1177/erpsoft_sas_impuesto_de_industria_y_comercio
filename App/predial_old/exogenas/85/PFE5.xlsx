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29"/>
  <workbookPr/>
  <mc:AlternateContent xmlns:mc="http://schemas.openxmlformats.org/markup-compatibility/2006">
    <mc:Choice Requires="x15">
      <x15ac:absPath xmlns:x15ac="http://schemas.microsoft.com/office/spreadsheetml/2010/11/ac" url="Z:\COMPARTIDA\ROSACHAVES\EXOGENA PAIPA\"/>
    </mc:Choice>
  </mc:AlternateContent>
  <xr:revisionPtr revIDLastSave="0" documentId="13_ncr:1_{1FBF1ADF-00F1-4DE5-B57E-87FE80B86C2C}" xr6:coauthVersionLast="43" xr6:coauthVersionMax="47" xr10:uidLastSave="{00000000-0000-0000-0000-000000000000}"/>
  <bookViews>
    <workbookView xWindow="-120" yWindow="-120" windowWidth="20730" windowHeight="1131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19" i="1" l="1"/>
  <c r="I13" i="1"/>
</calcChain>
</file>

<file path=xl/sharedStrings.xml><?xml version="1.0" encoding="utf-8"?>
<sst xmlns="http://schemas.openxmlformats.org/spreadsheetml/2006/main" count="2408" uniqueCount="2325">
  <si>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</si>
  <si>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</si>
  <si>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</si>
  <si>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</si>
  <si>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</si>
  <si>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</si>
  <si>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</si>
  <si>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</si>
  <si>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</si>
  <si>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</si>
  <si>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</si>
  <si>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</si>
  <si>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</si>
  <si>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</si>
  <si>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</si>
  <si>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</si>
  <si>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</si>
  <si>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</si>
  <si>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</si>
  <si>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</si>
  <si>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</si>
  <si>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</si>
  <si>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</si>
  <si>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</si>
  <si>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</si>
  <si>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</si>
  <si>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</si>
  <si>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</si>
  <si>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</si>
  <si>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</si>
  <si>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</si>
  <si>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</si>
  <si>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</si>
  <si>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</si>
  <si>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</si>
  <si>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</si>
  <si>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</si>
  <si>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</si>
  <si>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</si>
  <si>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</si>
  <si>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</si>
  <si>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</si>
  <si>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</si>
  <si>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</si>
  <si>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</si>
  <si>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</si>
  <si>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</si>
  <si>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</si>
  <si>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</si>
  <si>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</si>
  <si>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</si>
  <si>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</si>
  <si>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</si>
  <si>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</si>
  <si>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</si>
  <si>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</si>
  <si>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</si>
  <si>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</si>
  <si>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</si>
  <si>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</si>
  <si>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</si>
  <si>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</si>
  <si>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</si>
  <si>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</si>
  <si>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</si>
  <si>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</si>
  <si>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</si>
  <si>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</si>
  <si>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</si>
  <si>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</si>
  <si>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</si>
  <si>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</si>
  <si>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</si>
  <si>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</si>
  <si>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</si>
  <si>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</si>
  <si>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</si>
  <si>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</si>
  <si>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</si>
  <si>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</si>
  <si>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</si>
  <si>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</si>
  <si>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</si>
  <si>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</si>
  <si>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</si>
  <si>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</si>
  <si>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</si>
  <si>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</si>
  <si>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</si>
  <si>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</si>
  <si>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</si>
  <si>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</si>
  <si>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</si>
  <si>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</si>
  <si>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</si>
  <si>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</si>
  <si>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</si>
  <si>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</si>
  <si>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</si>
  <si>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</si>
  <si>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</si>
  <si>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</si>
  <si>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</si>
  <si>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</si>
  <si>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</si>
  <si>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</si>
  <si>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</si>
  <si>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</si>
  <si>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</si>
  <si>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</si>
  <si>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</si>
  <si>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</si>
  <si>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</si>
  <si>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</si>
  <si>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</si>
  <si>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</si>
  <si>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</si>
  <si>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</si>
  <si>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</si>
  <si>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</si>
  <si>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</si>
  <si>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</si>
  <si>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</si>
  <si>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</si>
  <si>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</si>
  <si>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</si>
  <si>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</si>
  <si>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</si>
  <si>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</si>
  <si>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</si>
  <si>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</si>
  <si>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</si>
  <si>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</si>
  <si>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</si>
  <si>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</si>
  <si>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</si>
  <si>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</si>
  <si>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</si>
  <si>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</si>
  <si>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</si>
  <si>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</si>
  <si>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</si>
  <si>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</si>
  <si>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</si>
  <si>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</si>
  <si>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</si>
  <si>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</si>
  <si>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</si>
  <si>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</si>
  <si>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</si>
  <si>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</si>
  <si>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</si>
  <si>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</si>
  <si>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</si>
  <si>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</si>
  <si>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</si>
  <si>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</si>
  <si>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</si>
  <si>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</si>
  <si>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</si>
  <si>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</si>
  <si>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</si>
  <si>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</si>
  <si>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</si>
  <si>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</si>
  <si>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</si>
  <si>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</si>
  <si>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</si>
  <si>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</si>
  <si>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</si>
  <si>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</si>
  <si>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</si>
  <si>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</si>
  <si>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</si>
  <si>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</si>
  <si>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</si>
  <si>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</si>
  <si>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</si>
  <si>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</si>
  <si>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</si>
  <si>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</si>
  <si>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</si>
  <si>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</si>
  <si>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</si>
  <si>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</si>
  <si>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</si>
  <si>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</si>
  <si>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</si>
  <si>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</si>
  <si>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</si>
  <si>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</si>
  <si>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</si>
  <si>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</si>
  <si>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</si>
  <si>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</si>
  <si>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</si>
  <si>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</si>
  <si>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</si>
  <si>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</si>
  <si>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</si>
  <si>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</si>
  <si>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</si>
  <si>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</si>
  <si>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</si>
  <si>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</si>
  <si>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</si>
  <si>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</si>
  <si>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</si>
  <si>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</si>
  <si>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</si>
  <si>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</si>
  <si>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</si>
  <si>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</si>
  <si>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</si>
  <si>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</si>
  <si>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</si>
  <si>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</si>
  <si>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</si>
  <si>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</si>
  <si>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</si>
  <si>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</si>
  <si>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</si>
  <si>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</si>
  <si>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</si>
  <si>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</si>
  <si>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</si>
  <si>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</si>
  <si>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</si>
  <si>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</si>
  <si>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</si>
  <si>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</si>
  <si>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</si>
  <si>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</si>
  <si>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</si>
  <si>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</si>
  <si>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</si>
  <si>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</si>
  <si>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</si>
  <si>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</si>
  <si>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</si>
  <si>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</si>
  <si>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</si>
  <si>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</si>
  <si>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</si>
  <si>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</si>
  <si>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</si>
  <si>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</si>
  <si>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</si>
  <si>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</si>
  <si>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</si>
  <si>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</si>
  <si>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</si>
  <si>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</si>
  <si>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</si>
  <si>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</si>
  <si>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</si>
  <si>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</si>
  <si>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</si>
  <si>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</si>
  <si>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</si>
  <si>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</si>
  <si>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</si>
  <si>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</si>
  <si>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</si>
  <si>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</si>
  <si>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</si>
  <si>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</si>
  <si>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</si>
  <si>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</si>
  <si>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</si>
  <si>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</si>
  <si>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</si>
  <si>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</si>
  <si>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</si>
  <si>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</si>
  <si>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</si>
  <si>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</si>
  <si>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</si>
  <si>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</si>
  <si>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</si>
  <si>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</si>
  <si>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</si>
  <si>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</si>
  <si>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</si>
  <si>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</si>
  <si>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</si>
  <si>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</si>
  <si>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</si>
  <si>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</si>
  <si>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</si>
  <si>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</si>
  <si>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</si>
  <si>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</si>
  <si>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</si>
  <si>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</si>
  <si>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</si>
  <si>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</si>
  <si>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</si>
  <si>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</si>
  <si>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</si>
  <si>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</si>
  <si>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</si>
  <si>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</si>
  <si>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</si>
  <si>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</si>
  <si>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</si>
  <si>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</si>
  <si>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</si>
  <si>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</si>
  <si>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</si>
  <si>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</si>
  <si>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</si>
  <si>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</si>
  <si>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</si>
  <si>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</si>
  <si>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</si>
  <si>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</si>
  <si>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</si>
  <si>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</si>
  <si>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</si>
  <si>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</si>
  <si>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</si>
  <si>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</si>
  <si>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</si>
  <si>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</si>
  <si>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</si>
  <si>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</si>
  <si>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</si>
  <si>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</si>
  <si>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</si>
  <si>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</si>
  <si>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</si>
  <si>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</si>
  <si>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</si>
  <si>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</si>
  <si>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</si>
  <si>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</si>
  <si>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</si>
  <si>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</si>
  <si>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</si>
  <si>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</si>
  <si>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</si>
  <si>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</si>
  <si>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</si>
  <si>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</si>
  <si>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</si>
  <si>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</si>
  <si>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</si>
  <si>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</si>
  <si>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</si>
  <si>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</si>
  <si>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</si>
  <si>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</si>
  <si>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</si>
  <si>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</si>
  <si>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</si>
  <si>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</si>
  <si>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</si>
  <si>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</si>
  <si>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</si>
  <si>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</si>
  <si>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</si>
  <si>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</si>
  <si>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</si>
  <si>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</si>
  <si>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</si>
  <si>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</si>
  <si>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</si>
  <si>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</si>
  <si>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</si>
  <si>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</si>
  <si>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</si>
  <si>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</si>
  <si>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</si>
  <si>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</si>
  <si>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</si>
  <si>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</si>
  <si>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</si>
  <si>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</si>
  <si>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</si>
  <si>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</si>
  <si>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</si>
  <si>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</si>
  <si>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</si>
  <si>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</si>
  <si>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</si>
  <si>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</si>
  <si>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</si>
  <si>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</si>
  <si>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</si>
  <si>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</si>
  <si>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</si>
  <si>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</si>
  <si>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</si>
  <si>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</si>
  <si>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</si>
  <si>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</si>
  <si>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</si>
  <si>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</si>
  <si>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</si>
  <si>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</si>
  <si>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</si>
  <si>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</si>
  <si>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</si>
  <si>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</si>
  <si>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</si>
  <si>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</si>
  <si>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</si>
  <si>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</si>
  <si>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</si>
  <si>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</si>
  <si>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</si>
  <si>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</si>
  <si>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</si>
  <si>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</si>
  <si>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</si>
  <si>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</si>
  <si>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</si>
  <si>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</si>
  <si>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</si>
  <si>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</si>
  <si>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</si>
  <si>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</si>
  <si>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</si>
  <si>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</si>
  <si>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</si>
  <si>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</si>
  <si>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</si>
  <si>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</si>
  <si>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</si>
  <si>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</si>
  <si>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</si>
  <si>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</si>
  <si>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</si>
  <si>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</si>
  <si>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</si>
  <si>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</si>
  <si>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</si>
  <si>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</si>
  <si>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</si>
  <si>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</si>
  <si>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</si>
  <si>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</si>
  <si>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</si>
  <si>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</si>
  <si>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</si>
  <si>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</si>
  <si>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</si>
  <si>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</si>
  <si>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</si>
  <si>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</si>
  <si>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</si>
  <si>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</si>
  <si>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</si>
  <si>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</si>
  <si>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</si>
  <si>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</si>
  <si>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</si>
  <si>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</si>
  <si>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</si>
  <si>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</si>
  <si>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</si>
  <si>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</si>
  <si>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</si>
  <si>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</si>
  <si>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</si>
  <si>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</si>
  <si>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</si>
  <si>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</si>
  <si>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</si>
  <si>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</si>
  <si>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</si>
  <si>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</si>
  <si>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</si>
  <si>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</si>
  <si>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</si>
  <si>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</si>
  <si>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</si>
  <si>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</si>
  <si>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</si>
  <si>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</si>
  <si>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</si>
  <si>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</si>
  <si>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</si>
  <si>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</si>
  <si>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</si>
  <si>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</si>
  <si>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</si>
  <si>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</si>
  <si>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</si>
  <si>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</si>
  <si>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</si>
  <si>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</si>
  <si>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</si>
  <si>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</si>
  <si>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</si>
  <si>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</si>
  <si>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</si>
  <si>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</si>
  <si>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</si>
  <si>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</si>
  <si>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</si>
  <si>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</si>
  <si>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</si>
  <si>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</si>
  <si>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</si>
  <si>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</si>
  <si>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</si>
  <si>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</si>
  <si>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</si>
  <si>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</si>
  <si>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</si>
  <si>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</si>
  <si>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</si>
  <si>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</si>
  <si>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</si>
  <si>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</si>
  <si>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</si>
  <si>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</si>
  <si>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</si>
  <si>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</si>
  <si>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</si>
  <si>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</si>
  <si>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</si>
  <si>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</si>
  <si>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</si>
  <si>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</si>
  <si>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</si>
  <si>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</si>
  <si>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</si>
  <si>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</si>
  <si>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</si>
  <si>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</si>
  <si>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</si>
  <si>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</si>
  <si>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</si>
  <si>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</si>
  <si>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</si>
  <si>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</si>
  <si>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</si>
  <si>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</si>
  <si>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</si>
  <si>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</si>
  <si>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</si>
  <si>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</si>
  <si>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</si>
  <si>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</si>
  <si>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</si>
  <si>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</si>
  <si>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</si>
  <si>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</si>
  <si>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</si>
  <si>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</si>
  <si>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</si>
  <si>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</si>
  <si>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</si>
  <si>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</si>
  <si>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</si>
  <si>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</si>
  <si>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</si>
  <si>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</si>
  <si>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</si>
  <si>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</si>
  <si>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</si>
  <si>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</si>
  <si>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</si>
  <si>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</si>
  <si>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</si>
  <si>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</si>
  <si>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</si>
  <si>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</si>
  <si>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</si>
  <si>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</si>
  <si>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</si>
  <si>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</si>
  <si>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</si>
  <si>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</si>
  <si>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</si>
  <si>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</si>
  <si>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</si>
  <si>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</si>
  <si>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</si>
  <si>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</si>
  <si>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</si>
  <si>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</si>
  <si>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</si>
  <si>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</si>
  <si>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</si>
  <si>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</si>
  <si>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</si>
  <si>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</si>
  <si>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</si>
  <si>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</si>
  <si>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</si>
  <si>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</si>
  <si>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</si>
  <si>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</si>
  <si>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</si>
  <si>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</si>
  <si>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</si>
  <si>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</si>
  <si>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</si>
  <si>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</si>
  <si>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</si>
  <si>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</si>
  <si>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</si>
  <si>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</si>
  <si>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</si>
  <si>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</si>
  <si>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</si>
  <si>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</si>
  <si>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</si>
  <si>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</si>
  <si>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</si>
  <si>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</si>
  <si>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</si>
  <si>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</si>
  <si>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</si>
  <si>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</si>
  <si>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</si>
  <si>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</si>
  <si>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</si>
  <si>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</si>
  <si>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</si>
  <si>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</si>
  <si>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</si>
  <si>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</si>
  <si>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</si>
  <si>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</si>
  <si>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</si>
  <si>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</si>
  <si>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</si>
  <si>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</si>
  <si>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</si>
  <si>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</si>
  <si>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</si>
  <si>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</si>
  <si>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</si>
  <si>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</si>
  <si>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</si>
  <si>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</si>
  <si>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</si>
  <si>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</si>
  <si>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</si>
  <si>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</si>
  <si>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</si>
  <si>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</si>
  <si>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</si>
  <si>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</si>
  <si>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</si>
  <si>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</si>
  <si>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</si>
  <si>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</si>
  <si>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</si>
  <si>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</si>
  <si>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</si>
  <si>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</si>
  <si>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</si>
  <si>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</si>
  <si>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</si>
  <si>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</si>
  <si>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</si>
  <si>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</si>
  <si>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</si>
  <si>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</si>
  <si>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</si>
  <si>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</si>
  <si>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</si>
  <si>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</si>
  <si>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</si>
  <si>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</si>
  <si>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</si>
  <si>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</si>
  <si>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</si>
  <si>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</si>
  <si>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</si>
  <si>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</si>
  <si>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</si>
  <si>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</si>
  <si>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</si>
  <si>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</si>
  <si>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</si>
  <si>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</si>
  <si>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</si>
  <si>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</si>
  <si>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</si>
  <si>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</si>
  <si>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</si>
  <si>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</si>
  <si>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</si>
  <si>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</si>
  <si>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</si>
  <si>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</si>
  <si>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</si>
  <si>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</si>
  <si>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</si>
  <si>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</si>
  <si>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</si>
  <si>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</si>
  <si>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</si>
  <si>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</si>
  <si>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</si>
  <si>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</si>
  <si>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</si>
  <si>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</si>
  <si>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</si>
  <si>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</si>
  <si>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</si>
  <si>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</si>
  <si>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</si>
  <si>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</si>
  <si>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</si>
  <si>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</si>
  <si>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</si>
  <si>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</si>
  <si>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</si>
  <si>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</si>
  <si>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</si>
  <si>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</si>
  <si>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</si>
  <si>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</si>
  <si>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</si>
  <si>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</si>
  <si>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</si>
  <si>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</si>
  <si>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</si>
  <si>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</si>
  <si>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</si>
  <si>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</si>
  <si>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</si>
  <si>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</si>
  <si>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</si>
  <si>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</si>
  <si>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</si>
  <si>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</si>
  <si>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</si>
  <si>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</si>
  <si>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</si>
  <si>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</si>
  <si>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</si>
  <si>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</si>
  <si>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</si>
  <si>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</si>
  <si>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</si>
  <si>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</si>
  <si>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</si>
  <si>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</si>
  <si>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</si>
  <si>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</si>
  <si>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</si>
  <si>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</si>
  <si>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</si>
  <si>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</si>
  <si>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</si>
  <si>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</si>
  <si>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</si>
  <si>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</si>
  <si>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</si>
  <si>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</si>
  <si>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</si>
  <si>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</si>
  <si>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</si>
  <si>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</si>
  <si>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</si>
  <si>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</si>
  <si>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</si>
  <si>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</si>
  <si>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</si>
  <si>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</si>
  <si>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</si>
  <si>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</si>
  <si>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</si>
  <si>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</si>
  <si>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</si>
  <si>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</si>
  <si>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</si>
  <si>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</si>
  <si>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</si>
  <si>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</si>
  <si>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</si>
  <si>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</si>
  <si>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</si>
  <si>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</si>
  <si>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</si>
  <si>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</si>
  <si>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</si>
  <si>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</si>
  <si>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</si>
  <si>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</si>
  <si>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</si>
  <si>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</si>
  <si>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</si>
  <si>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</si>
  <si>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</si>
  <si>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</si>
  <si>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</si>
  <si>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</si>
  <si>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</si>
  <si>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</si>
  <si>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</si>
  <si>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</si>
  <si>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</si>
  <si>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</si>
  <si>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</si>
  <si>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</si>
  <si>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</si>
  <si>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</si>
  <si>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</si>
  <si>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</si>
  <si>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</si>
  <si>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</si>
  <si>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</si>
  <si>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</si>
  <si>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</si>
  <si>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</si>
  <si>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</si>
  <si>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</si>
  <si>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</si>
  <si>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</si>
  <si>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</si>
  <si>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</si>
  <si>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</si>
  <si>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</si>
  <si>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</si>
  <si>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</si>
  <si>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</si>
  <si>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</si>
  <si>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</si>
  <si>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</si>
  <si>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</si>
  <si>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</si>
  <si>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</si>
  <si>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</si>
  <si>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</si>
  <si>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</si>
  <si>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</si>
  <si>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</si>
  <si>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</si>
  <si>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</si>
  <si>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</si>
  <si>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</si>
  <si>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</si>
  <si>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</si>
  <si>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</si>
  <si>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</si>
  <si>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</si>
  <si>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</si>
  <si>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</si>
  <si>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</si>
  <si>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</si>
  <si>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</si>
  <si>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</si>
  <si>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</si>
  <si>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</si>
  <si>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</si>
  <si>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</si>
  <si>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</si>
  <si>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</si>
  <si>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</si>
  <si>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</si>
  <si>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</si>
  <si>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</si>
  <si>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</si>
  <si>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</si>
  <si>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</si>
  <si>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</si>
  <si>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</si>
  <si>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</si>
  <si>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</si>
  <si>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</si>
  <si>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</si>
  <si>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</si>
  <si>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</si>
  <si>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</si>
  <si>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</si>
  <si>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</si>
  <si>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</si>
  <si>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</si>
  <si>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</si>
  <si>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</si>
  <si>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</si>
  <si>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</si>
  <si>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</si>
  <si>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</si>
  <si>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</si>
  <si>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</si>
  <si>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</si>
  <si>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</si>
  <si>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</si>
  <si>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</si>
  <si>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</si>
  <si>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</si>
  <si>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</si>
  <si>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</si>
  <si>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</si>
  <si>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</si>
  <si>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</si>
  <si>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</si>
  <si>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</si>
  <si>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</si>
  <si>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</si>
  <si>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</si>
  <si>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</si>
  <si>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</si>
  <si>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</si>
  <si>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</si>
  <si>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</si>
  <si>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</si>
  <si>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</si>
  <si>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</si>
  <si>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</si>
  <si>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</si>
  <si>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</si>
  <si>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</si>
  <si>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</si>
  <si>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</si>
  <si>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</si>
  <si>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</si>
  <si>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</si>
  <si>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</si>
  <si>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</si>
  <si>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</si>
  <si>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</si>
  <si>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</si>
  <si>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</si>
  <si>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</si>
  <si>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</si>
  <si>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</si>
  <si>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</si>
  <si>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</si>
  <si>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</si>
  <si>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</si>
  <si>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</si>
  <si>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</si>
  <si>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</si>
  <si>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</si>
  <si>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</si>
  <si>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</si>
  <si>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</si>
  <si>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</si>
  <si>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</si>
  <si>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</si>
  <si>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</si>
  <si>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</si>
  <si>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</si>
  <si>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</si>
  <si>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</si>
  <si>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</si>
  <si>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</si>
  <si>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</si>
  <si>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</si>
  <si>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</si>
  <si>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</si>
  <si>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</si>
  <si>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</si>
  <si>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</si>
  <si>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</si>
  <si>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</si>
  <si>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</si>
  <si>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</si>
  <si>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</si>
  <si>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</si>
  <si>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</si>
  <si>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</si>
  <si>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</si>
  <si>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</si>
  <si>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</si>
  <si>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</si>
  <si>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</si>
  <si>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</si>
  <si>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</si>
  <si>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</si>
  <si>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</si>
  <si>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</si>
  <si>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</si>
  <si>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</si>
  <si>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</si>
  <si>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</si>
  <si>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</si>
  <si>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</si>
  <si>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</si>
  <si>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</si>
  <si>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</si>
  <si>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</si>
  <si>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</si>
  <si>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</si>
  <si>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</si>
  <si>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</si>
  <si>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</si>
  <si>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</si>
  <si>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</si>
  <si>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</si>
  <si>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</si>
  <si>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</si>
  <si>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</si>
  <si>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</si>
  <si>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</si>
  <si>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</si>
  <si>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</si>
  <si>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</si>
  <si>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</si>
  <si>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</si>
  <si>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</si>
  <si>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</si>
  <si>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</si>
  <si>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</si>
  <si>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</si>
  <si>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</si>
  <si>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</si>
  <si>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</si>
  <si>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</si>
  <si>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</si>
  <si>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</si>
  <si>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</si>
  <si>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</si>
  <si>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</si>
  <si>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</si>
  <si>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</si>
  <si>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</si>
  <si>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</si>
  <si>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</si>
  <si>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</si>
  <si>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</si>
  <si>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</si>
  <si>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</si>
  <si>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</si>
  <si>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</si>
  <si>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</si>
  <si>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</si>
  <si>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</si>
  <si>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</si>
  <si>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</si>
  <si>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</si>
  <si>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</si>
  <si>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</si>
  <si>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</si>
  <si>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</si>
  <si>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</si>
  <si>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</si>
  <si>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</si>
  <si>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</si>
  <si>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</si>
  <si>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</si>
  <si>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</si>
  <si>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</si>
  <si>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</si>
  <si>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</si>
  <si>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</si>
  <si>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</si>
  <si>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</si>
  <si>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</si>
  <si>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</si>
  <si>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</si>
  <si>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</si>
  <si>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</si>
  <si>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</si>
  <si>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</si>
  <si>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</si>
  <si>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</si>
  <si>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</si>
  <si>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</si>
  <si>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</si>
  <si>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</si>
  <si>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</si>
  <si>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</si>
  <si>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</si>
  <si>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</si>
  <si>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</si>
  <si>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</si>
  <si>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</si>
  <si>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</si>
  <si>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</si>
  <si>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</si>
  <si>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</si>
  <si>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</si>
  <si>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</si>
  <si>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</si>
  <si>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</si>
  <si>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</si>
  <si>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</si>
  <si>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</si>
  <si>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</si>
  <si>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</si>
  <si>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</si>
  <si>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</si>
  <si>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</si>
  <si>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</si>
  <si>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</si>
  <si>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</si>
  <si>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</si>
  <si>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</si>
  <si>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</si>
  <si>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</si>
  <si>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</si>
  <si>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</si>
  <si>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</si>
  <si>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</si>
  <si>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</si>
  <si>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</si>
  <si>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</si>
  <si>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</si>
  <si>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</si>
  <si>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</si>
  <si>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</si>
  <si>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</si>
  <si>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</si>
  <si>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</si>
  <si>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</si>
  <si>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</si>
  <si>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</si>
  <si>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</si>
  <si>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</si>
  <si>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</si>
  <si>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</si>
  <si>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</si>
  <si>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</si>
  <si>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</si>
  <si>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</si>
  <si>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</si>
  <si>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</si>
  <si>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</si>
  <si>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</si>
  <si>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</si>
  <si>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</si>
  <si>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</si>
  <si>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</si>
  <si>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</si>
  <si>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</si>
  <si>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</si>
  <si>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</si>
  <si>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</si>
  <si>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</si>
  <si>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</si>
  <si>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</si>
  <si>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</si>
  <si>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</si>
  <si>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</si>
  <si>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</si>
  <si>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</si>
  <si>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</si>
  <si>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</si>
  <si>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</si>
  <si>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</si>
  <si>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</si>
  <si>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</si>
  <si>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</si>
  <si>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</si>
  <si>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</si>
  <si>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</si>
  <si>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</si>
  <si>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</si>
  <si>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</si>
  <si>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</si>
  <si>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</si>
  <si>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</si>
  <si>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</si>
  <si>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</si>
  <si>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</si>
  <si>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</si>
  <si>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</si>
  <si>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</si>
  <si>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</si>
  <si>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</si>
  <si>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</si>
  <si>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</si>
  <si>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</si>
  <si>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</si>
  <si>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</si>
  <si>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</si>
  <si>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</si>
  <si>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</si>
  <si>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</si>
  <si>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</si>
  <si>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</si>
  <si>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</si>
  <si>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</si>
  <si>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</si>
  <si>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</si>
  <si>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</si>
  <si>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</si>
  <si>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</si>
  <si>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</si>
  <si>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</si>
  <si>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</si>
  <si>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</si>
  <si>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</si>
  <si>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</si>
  <si>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</si>
  <si>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</si>
  <si>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</si>
  <si>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</si>
  <si>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</si>
  <si>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</si>
  <si>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</si>
  <si>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</si>
  <si>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</si>
  <si>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</si>
  <si>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</si>
  <si>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</si>
  <si>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</si>
  <si>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</si>
  <si>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</si>
  <si>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</si>
  <si>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</si>
  <si>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</si>
  <si>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</si>
  <si>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</si>
  <si>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</si>
  <si>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</si>
  <si>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</si>
  <si>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</si>
  <si>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</si>
  <si>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</si>
  <si>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</si>
  <si>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</si>
  <si>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</si>
  <si>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</si>
  <si>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</si>
  <si>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</si>
  <si>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</si>
  <si>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</si>
  <si>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</si>
  <si>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</si>
  <si>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</si>
  <si>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</si>
  <si>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</si>
  <si>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</si>
  <si>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</si>
  <si>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</si>
  <si>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</si>
  <si>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</si>
  <si>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</si>
  <si>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</si>
  <si>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</si>
  <si>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</si>
  <si>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</si>
  <si>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</si>
  <si>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</si>
  <si>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</si>
  <si>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</si>
  <si>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</si>
  <si>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</si>
  <si>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</si>
  <si>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</si>
  <si>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</si>
  <si>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</si>
  <si>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</si>
  <si>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</si>
  <si>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</si>
  <si>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</si>
  <si>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</si>
  <si>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</si>
  <si>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</si>
  <si>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</si>
  <si>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</si>
  <si>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</si>
  <si>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</si>
  <si>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</si>
  <si>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</si>
  <si>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</si>
  <si>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</si>
  <si>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</si>
  <si>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</si>
  <si>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</si>
  <si>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</si>
  <si>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</si>
  <si>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</si>
  <si>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</si>
  <si>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</si>
  <si>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</si>
  <si>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</si>
  <si>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</si>
  <si>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</si>
  <si>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</si>
  <si>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</si>
  <si>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</si>
  <si>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</si>
  <si>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</si>
  <si>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</si>
  <si>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</si>
  <si>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</si>
  <si>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</si>
  <si>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</si>
  <si>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</si>
  <si>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</si>
  <si>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</si>
  <si>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</si>
  <si>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</si>
  <si>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</si>
  <si>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</si>
  <si>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</si>
  <si>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</si>
  <si>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</si>
  <si>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</si>
  <si>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</si>
  <si>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</si>
  <si>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</si>
  <si>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</si>
  <si>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</si>
  <si>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</si>
  <si>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</si>
  <si>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</si>
  <si>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</si>
  <si>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</si>
  <si>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</si>
  <si>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</si>
  <si>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</si>
  <si>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</si>
  <si>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</si>
  <si>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</si>
  <si>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</si>
  <si>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</si>
  <si>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</si>
  <si>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</si>
  <si>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</si>
  <si>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</si>
  <si>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</si>
  <si>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</si>
  <si>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</si>
  <si>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</si>
  <si>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</si>
  <si>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</si>
  <si>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</si>
  <si>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</si>
  <si>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</si>
  <si>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</si>
  <si>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</si>
  <si>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</si>
  <si>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</si>
  <si>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</si>
  <si>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</si>
  <si>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</si>
  <si>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</si>
  <si>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</si>
  <si>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</si>
  <si>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</si>
  <si>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</si>
  <si>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</si>
  <si>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</si>
  <si>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</si>
  <si>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</si>
  <si>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</si>
  <si>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</si>
  <si>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</si>
  <si>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</si>
  <si>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</si>
  <si>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</si>
  <si>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</si>
  <si>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</si>
  <si>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</si>
  <si>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</si>
  <si>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</si>
  <si>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</si>
  <si>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</si>
  <si>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</si>
  <si>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</si>
  <si>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</si>
  <si>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</si>
  <si>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</si>
  <si>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</si>
  <si>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</si>
  <si>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</si>
  <si>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</si>
  <si>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</si>
  <si>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</si>
  <si>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</si>
  <si>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</si>
  <si>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</si>
  <si>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</si>
  <si>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</si>
  <si>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</si>
  <si>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</si>
  <si>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</si>
  <si>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</si>
  <si>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</si>
  <si>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</si>
  <si>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</si>
  <si>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</si>
  <si>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</si>
  <si>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</si>
  <si>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</si>
  <si>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</si>
  <si>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</si>
  <si>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</si>
  <si>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</si>
  <si>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</si>
  <si>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</si>
  <si>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</si>
  <si>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</si>
  <si>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</si>
  <si>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</si>
  <si>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</si>
  <si>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</si>
  <si>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</si>
  <si>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</si>
  <si>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</si>
  <si>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</si>
  <si>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</si>
  <si>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</si>
  <si>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</si>
  <si>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</si>
  <si>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</si>
  <si>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</si>
  <si>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</si>
  <si>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</si>
  <si>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</si>
  <si>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</si>
  <si>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</si>
  <si>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</si>
  <si>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</si>
  <si>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</si>
  <si>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</si>
  <si>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</si>
  <si>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</si>
  <si>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</si>
  <si>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</si>
  <si>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</si>
  <si>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</si>
  <si>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</si>
  <si>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</si>
  <si>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</si>
  <si>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</si>
  <si>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</si>
  <si>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</si>
  <si>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</si>
  <si>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</si>
  <si>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</si>
  <si>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</si>
  <si>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</si>
  <si>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</si>
  <si>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</si>
  <si>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</si>
  <si>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</si>
  <si>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</si>
  <si>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</si>
  <si>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</si>
  <si>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</si>
  <si>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</si>
  <si>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</si>
  <si>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</si>
  <si>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</si>
  <si>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</si>
  <si>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</si>
  <si>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</si>
  <si>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</si>
  <si>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</si>
  <si>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</si>
  <si>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</si>
  <si>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</si>
  <si>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</si>
  <si>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</si>
  <si>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</si>
  <si>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</si>
  <si>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</si>
  <si>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</si>
  <si>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</si>
  <si>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</si>
  <si>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</si>
  <si>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</si>
  <si>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</si>
  <si>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</si>
  <si>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</si>
  <si>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</si>
  <si>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</si>
  <si>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</si>
  <si>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</si>
  <si>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</si>
  <si>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</si>
  <si>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</si>
  <si>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</si>
  <si>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</si>
  <si>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</si>
  <si>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</si>
  <si>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</si>
  <si>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</si>
  <si>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</si>
  <si>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</si>
  <si>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</si>
  <si>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</si>
  <si>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</si>
  <si>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</si>
  <si>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</si>
  <si>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</si>
  <si>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</si>
  <si>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</si>
  <si>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</si>
  <si>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</si>
  <si>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</si>
  <si>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</si>
  <si>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</si>
  <si>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</si>
  <si>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</si>
  <si>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</si>
  <si>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</si>
  <si>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</si>
  <si>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</si>
  <si>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</si>
  <si>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</si>
  <si>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</si>
  <si>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</si>
  <si>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</si>
  <si>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</si>
  <si>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</si>
  <si>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</si>
  <si>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</si>
  <si>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</si>
  <si>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</si>
  <si>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</si>
  <si>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</si>
  <si>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</si>
  <si>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</si>
  <si>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</si>
  <si>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</si>
  <si>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</si>
  <si>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</si>
  <si>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</si>
  <si>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</si>
  <si>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</si>
  <si>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</si>
  <si>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</si>
  <si>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</si>
  <si>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</si>
  <si>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</si>
  <si>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</si>
  <si>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</si>
  <si>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</si>
  <si>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</si>
  <si>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</si>
  <si>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</si>
  <si>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</si>
  <si>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</si>
  <si>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</si>
  <si>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</si>
  <si>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</si>
  <si>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</si>
  <si>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</si>
  <si>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</si>
  <si>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</si>
  <si>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</si>
  <si>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</si>
  <si>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</si>
  <si>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</si>
  <si>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</si>
  <si>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</si>
  <si>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</si>
  <si>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</si>
  <si>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</si>
  <si>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</si>
  <si>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</si>
  <si>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</si>
  <si>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</si>
  <si>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</si>
  <si>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</si>
  <si>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</si>
  <si>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</si>
  <si>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</si>
  <si>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</si>
  <si>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</si>
  <si>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</si>
  <si>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</si>
  <si>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</si>
  <si>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</si>
  <si>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</si>
  <si>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</si>
  <si>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</si>
  <si>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</si>
  <si>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</si>
  <si>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</si>
  <si>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</si>
  <si>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</si>
  <si>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</si>
  <si>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</si>
  <si>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</si>
  <si>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</si>
  <si>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</si>
  <si>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</si>
  <si>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</si>
  <si>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</si>
  <si>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</si>
  <si>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</si>
  <si>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</si>
  <si>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</si>
  <si>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</si>
  <si>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</si>
  <si>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</si>
  <si>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</si>
  <si>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</si>
  <si>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</si>
  <si>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</si>
  <si>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</si>
  <si>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</si>
  <si>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</si>
  <si>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</si>
  <si>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</si>
  <si>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</si>
  <si>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</si>
  <si>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</si>
  <si>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</si>
  <si>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</si>
  <si>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</si>
  <si>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</si>
  <si>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</si>
  <si>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</si>
  <si>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</si>
  <si>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</si>
  <si>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</si>
  <si>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</si>
  <si>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</si>
  <si>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</si>
  <si>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</si>
  <si>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</si>
  <si>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</si>
  <si>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</si>
  <si>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</si>
  <si>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</si>
  <si>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</si>
  <si>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</si>
  <si>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</si>
  <si>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</si>
  <si>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</si>
  <si>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</si>
  <si>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</si>
  <si>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</si>
  <si>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</si>
  <si>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</si>
  <si>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</si>
  <si>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</si>
  <si>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</si>
  <si>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</si>
  <si>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</si>
  <si>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</si>
  <si>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</si>
  <si>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</si>
  <si>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</si>
  <si>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</si>
  <si>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</si>
  <si>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</si>
  <si>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</si>
  <si>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</si>
  <si>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</si>
  <si>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</si>
  <si>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</si>
  <si>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</si>
  <si>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</si>
  <si>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</si>
  <si>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</si>
  <si>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</si>
  <si>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</si>
  <si>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</si>
  <si>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</si>
  <si>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</si>
  <si>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</si>
  <si>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</si>
  <si>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</si>
  <si>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</si>
  <si>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</si>
  <si>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</si>
  <si>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</si>
  <si>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</si>
  <si>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</si>
  <si>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</si>
  <si>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</si>
  <si>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</si>
  <si>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</si>
  <si>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</si>
  <si>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</si>
  <si>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</si>
  <si>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</si>
  <si>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</si>
  <si>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</si>
  <si>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</si>
  <si>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</si>
  <si>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</si>
  <si>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</si>
  <si>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</si>
  <si>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</si>
  <si>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</si>
  <si>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</si>
  <si>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</si>
  <si>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</si>
  <si>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</si>
  <si>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</si>
  <si>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</si>
  <si>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</si>
  <si>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</si>
  <si>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</si>
  <si>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</si>
  <si>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</si>
  <si>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</si>
  <si>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</si>
  <si>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</si>
  <si>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</si>
  <si>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</si>
  <si>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</si>
  <si>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</si>
  <si>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</si>
  <si>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</si>
  <si>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</si>
  <si>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</si>
  <si>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</si>
  <si>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</si>
  <si>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</si>
  <si>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</si>
  <si>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</si>
  <si>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</si>
  <si>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</si>
  <si>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</si>
  <si>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</si>
  <si>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</si>
  <si>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</si>
  <si>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</si>
  <si>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</si>
  <si>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</si>
  <si>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</si>
  <si>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</si>
  <si>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</si>
  <si>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</si>
  <si>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</si>
  <si>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</si>
  <si>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</si>
  <si>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</si>
  <si>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</si>
  <si>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</si>
  <si>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</si>
  <si>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</si>
  <si>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</si>
  <si>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</si>
  <si>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</si>
  <si>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</si>
  <si>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</si>
  <si>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</si>
  <si>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</si>
  <si>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</si>
  <si>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</si>
  <si>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</si>
  <si>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</si>
  <si>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</si>
  <si>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</si>
  <si>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</si>
  <si>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</si>
  <si>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</si>
  <si>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</si>
  <si>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</si>
  <si>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</si>
  <si>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</si>
  <si>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</si>
  <si>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</si>
  <si>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</si>
  <si>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</si>
  <si>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</si>
  <si>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</si>
  <si>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</si>
  <si>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</si>
  <si>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</si>
  <si>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</si>
  <si>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</si>
  <si>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</si>
  <si>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</si>
  <si>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</si>
  <si>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</si>
  <si>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</si>
  <si>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</si>
  <si>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</si>
  <si>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</si>
  <si>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</si>
  <si>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</si>
  <si>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</si>
  <si>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</si>
  <si>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</si>
  <si>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</si>
  <si>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</si>
  <si>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</si>
  <si>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</si>
  <si>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</si>
  <si>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</si>
  <si>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</si>
  <si>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</si>
  <si>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</si>
  <si>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</si>
  <si>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</si>
  <si>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</si>
  <si>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</si>
  <si>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</si>
  <si>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</si>
  <si>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</si>
  <si>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</si>
  <si>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</si>
  <si>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</si>
  <si>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</si>
  <si>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</si>
  <si>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</si>
  <si>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</si>
  <si>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</si>
  <si>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</si>
  <si>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</si>
  <si>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</si>
  <si>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</si>
  <si>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</si>
  <si>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</si>
  <si>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</si>
  <si>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</si>
  <si>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</si>
  <si>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</si>
  <si>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</si>
  <si>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</si>
  <si>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</si>
  <si>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</si>
  <si>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</si>
  <si>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</si>
  <si>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</si>
  <si>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</si>
  <si>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</si>
  <si>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</si>
  <si>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</si>
  <si>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</si>
  <si>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</si>
  <si>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</si>
  <si>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</si>
  <si>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</si>
  <si>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</si>
  <si>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</si>
  <si>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</si>
  <si>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</si>
  <si>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</si>
  <si>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</si>
  <si>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</si>
  <si>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</si>
  <si>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</si>
  <si>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</si>
  <si>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</si>
  <si>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</si>
  <si>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</si>
  <si>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</si>
  <si>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</si>
  <si>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</si>
  <si>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</si>
  <si>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</si>
  <si>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</si>
  <si>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</si>
  <si>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</si>
  <si>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</si>
  <si>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</si>
  <si>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</si>
  <si>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</si>
  <si>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</si>
  <si>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</si>
  <si>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</si>
  <si>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</si>
  <si>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</si>
  <si>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</si>
  <si>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</si>
  <si>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</si>
  <si>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</si>
  <si>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</si>
  <si>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</si>
  <si>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</si>
  <si>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</si>
  <si>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</si>
  <si>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</si>
  <si>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</si>
  <si>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</si>
  <si>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</si>
  <si>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</si>
  <si>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</si>
  <si>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</si>
  <si>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</si>
  <si>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</si>
  <si>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</si>
  <si>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</si>
  <si>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</si>
  <si>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</si>
  <si>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</si>
  <si>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</si>
  <si>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</si>
  <si>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</si>
  <si>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</si>
  <si>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</si>
  <si>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</si>
  <si>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</si>
  <si>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</si>
  <si>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</si>
  <si>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</si>
  <si>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</si>
  <si>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</si>
  <si>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</si>
  <si>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</si>
  <si>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</si>
  <si>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</si>
  <si>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</si>
  <si>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</si>
  <si>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</si>
  <si>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</si>
  <si>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</si>
  <si>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</si>
  <si>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</si>
  <si>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</si>
  <si>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</si>
  <si>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</si>
  <si>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</si>
  <si>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</si>
  <si>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</si>
  <si>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</si>
  <si>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</si>
  <si>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</si>
  <si>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</si>
  <si>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</si>
  <si>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</si>
  <si>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</si>
  <si>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</si>
  <si>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</si>
  <si>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</si>
  <si>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</si>
  <si>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</si>
  <si>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</si>
  <si>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</si>
  <si>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</si>
  <si>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</si>
  <si>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</si>
  <si>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</si>
  <si>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</si>
  <si>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</si>
  <si>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</si>
  <si>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</si>
  <si>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</si>
  <si>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</si>
  <si>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</si>
  <si>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</si>
  <si>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</si>
  <si>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</si>
  <si>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</si>
  <si>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</si>
  <si>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</si>
  <si>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</si>
  <si>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</si>
  <si>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</si>
  <si>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</si>
  <si>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</si>
  <si>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</si>
  <si>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</si>
  <si>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</si>
  <si>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</si>
  <si>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</si>
  <si>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</si>
  <si>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</si>
  <si>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</si>
  <si>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</si>
  <si>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</si>
  <si>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</si>
  <si>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</si>
  <si>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</si>
  <si>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</si>
  <si>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</si>
  <si>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</si>
  <si>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</si>
  <si>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</si>
  <si>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</si>
  <si>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</si>
  <si>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</si>
  <si>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</si>
  <si>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</si>
  <si>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</si>
  <si>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</si>
  <si>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</si>
  <si>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</si>
  <si>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</si>
  <si>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</si>
  <si>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</si>
  <si>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</si>
  <si>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</si>
  <si>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</si>
  <si>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</si>
  <si>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</si>
  <si>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</si>
  <si>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</si>
  <si>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</si>
  <si>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</si>
  <si>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</si>
  <si>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</si>
  <si>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</si>
  <si>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</si>
  <si>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</si>
  <si>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</si>
  <si>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</si>
  <si>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</si>
  <si>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</si>
  <si>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</si>
  <si>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</si>
  <si>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</si>
  <si>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</si>
  <si>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</si>
  <si>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</si>
  <si>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</si>
  <si>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</si>
  <si>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</si>
  <si>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</si>
  <si>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</si>
  <si>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</si>
  <si>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</si>
  <si>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</si>
  <si>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</si>
  <si>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</si>
  <si>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</si>
  <si>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</si>
  <si>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</si>
  <si>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</si>
  <si>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</si>
  <si>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</si>
  <si>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</si>
  <si>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</si>
  <si>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</si>
  <si>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</si>
  <si>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</si>
  <si>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</si>
  <si>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</si>
  <si>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</si>
  <si>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</si>
  <si>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</si>
  <si>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</si>
  <si>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</si>
  <si>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</si>
  <si>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</si>
  <si>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</si>
  <si>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</si>
  <si>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</si>
  <si>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</si>
  <si>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</si>
  <si>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</si>
  <si>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</si>
  <si>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</si>
  <si>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</si>
  <si>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</si>
  <si>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</si>
  <si>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</si>
  <si>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</si>
  <si>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</si>
  <si>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</si>
  <si>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</si>
  <si>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</si>
  <si>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</si>
  <si>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</si>
  <si>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</si>
  <si>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</si>
  <si>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</si>
  <si>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</si>
  <si>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</si>
  <si>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</si>
  <si>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</si>
  <si>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</si>
  <si>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</si>
  <si>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</si>
  <si>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</si>
  <si>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</si>
  <si>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</si>
  <si>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</si>
  <si>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</si>
  <si>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</si>
  <si>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</si>
  <si>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</si>
  <si>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</si>
  <si>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</si>
  <si>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</si>
  <si>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</si>
  <si>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</si>
  <si>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</si>
  <si>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</si>
  <si>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</si>
  <si>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</si>
  <si>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</si>
  <si>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</si>
  <si>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</si>
  <si>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</si>
  <si>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</si>
  <si>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</si>
  <si>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</si>
  <si>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</si>
  <si>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</si>
  <si>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</si>
  <si>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</si>
  <si>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</si>
  <si>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</si>
  <si>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</si>
  <si>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</si>
  <si>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</si>
  <si>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</si>
  <si>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</si>
  <si>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</si>
  <si>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</si>
  <si>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</si>
  <si>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</si>
  <si>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</si>
  <si>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</si>
  <si>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</si>
  <si>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</si>
  <si>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</si>
  <si>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</si>
  <si>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</si>
  <si>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</si>
  <si>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</si>
  <si>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</si>
  <si>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</si>
  <si>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</si>
  <si>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</si>
  <si>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</si>
  <si>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</si>
  <si>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</si>
  <si>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</si>
  <si>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</si>
  <si>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</si>
  <si>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</si>
  <si>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</si>
  <si>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</si>
  <si>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</si>
  <si>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</si>
  <si>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</si>
  <si>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</si>
  <si>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</si>
  <si>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</si>
  <si>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</si>
  <si>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</si>
  <si>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</si>
  <si>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</si>
  <si>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</si>
  <si>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</si>
  <si>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</si>
  <si>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</si>
  <si>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</si>
  <si>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</si>
  <si>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</si>
  <si>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</si>
  <si>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</si>
  <si>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</si>
  <si>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</si>
  <si>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</si>
  <si>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</si>
  <si>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</si>
  <si>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</si>
  <si>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</si>
  <si>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</si>
  <si>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</si>
  <si>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</si>
  <si>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</si>
  <si>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</si>
  <si>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</si>
  <si>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</si>
  <si>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</si>
  <si>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</si>
  <si>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</si>
  <si>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</si>
  <si>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</si>
  <si>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</si>
  <si>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</si>
  <si>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</si>
  <si>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</si>
  <si>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</si>
  <si>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</si>
  <si>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</si>
  <si>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</si>
  <si>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</si>
  <si>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</si>
  <si>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</si>
  <si>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</si>
  <si>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</si>
  <si>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</si>
  <si>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</si>
  <si>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</si>
  <si>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</si>
  <si>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</si>
  <si>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</si>
  <si>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</si>
  <si>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</si>
  <si>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</si>
  <si>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</si>
  <si>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</si>
  <si>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</si>
  <si>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</si>
  <si>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</si>
  <si>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</si>
  <si>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</si>
  <si>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</si>
  <si>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</si>
  <si>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</si>
  <si>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</si>
  <si>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</si>
  <si>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</si>
  <si>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</si>
  <si>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</si>
  <si>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</si>
  <si>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</si>
  <si>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</si>
  <si>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</si>
  <si>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</si>
  <si>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</si>
  <si>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</si>
  <si>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</si>
  <si>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</si>
  <si>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</si>
  <si>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</si>
  <si>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</si>
  <si>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</si>
  <si>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</si>
  <si>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</si>
  <si>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</si>
  <si>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</si>
  <si>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</si>
  <si>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</si>
  <si>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</si>
  <si>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</si>
  <si>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</si>
  <si>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</si>
  <si>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</si>
  <si>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</si>
  <si>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</si>
  <si>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</si>
  <si>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</si>
  <si>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</si>
  <si>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</si>
  <si>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</si>
  <si>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</si>
  <si>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</si>
  <si>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</si>
  <si>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</si>
  <si>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</si>
  <si>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</si>
  <si>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</si>
  <si>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</si>
  <si>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</si>
  <si>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</si>
  <si>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</si>
  <si>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</si>
  <si>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</si>
  <si>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</si>
  <si>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</si>
  <si>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</si>
  <si>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</si>
  <si>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</si>
  <si>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</si>
  <si>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</si>
  <si>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</si>
  <si>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</si>
  <si>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</si>
  <si>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</si>
  <si>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</si>
  <si>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</si>
  <si>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</si>
  <si>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</si>
  <si>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</si>
  <si>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</si>
  <si>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</si>
  <si>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1002559124</t>
  </si>
  <si>
    <t>BARRERA CHAVES ANDRES FERNANDO</t>
  </si>
  <si>
    <t>24198315</t>
  </si>
  <si>
    <t>CRUZ WILCHES PATRICIA YANET</t>
  </si>
  <si>
    <t>4190647</t>
  </si>
  <si>
    <t>DAZA HIGUERA HERNAN FELIX</t>
  </si>
  <si>
    <t>ALARCON VERA DILIA ELSA</t>
  </si>
  <si>
    <t>diliaelsa_01@yahoo.com</t>
  </si>
  <si>
    <t>Cra 24 A 30 59</t>
  </si>
  <si>
    <t>74379742</t>
  </si>
  <si>
    <t>PAEZ PINEDA FABIAN JOSE FERNANDO</t>
  </si>
  <si>
    <t>1053609409</t>
  </si>
  <si>
    <t>HURTADO FONSECA JENIFER</t>
  </si>
  <si>
    <t>74323653</t>
  </si>
  <si>
    <t>DAZA HIGUERA VICTOR JULIO</t>
  </si>
  <si>
    <t>1053611580</t>
  </si>
  <si>
    <t>AVILA HERNANDEZ YUDY ANDREA</t>
  </si>
  <si>
    <t>901443116</t>
  </si>
  <si>
    <t>ALAMOCLOUD S.A.S.</t>
  </si>
  <si>
    <t>900813668</t>
  </si>
  <si>
    <t>AMERICANA DE TECNOLOGIA Y COMUNICACIONES SAS</t>
  </si>
  <si>
    <t>860517394</t>
  </si>
  <si>
    <t>ASOCIACION COLOMBIANA DE DROGUISTAS DETALLISTAS</t>
  </si>
  <si>
    <t>891855025</t>
  </si>
  <si>
    <t>CAMARA DE COMERCIO DE DUITAMA</t>
  </si>
  <si>
    <t>860026123</t>
  </si>
  <si>
    <t>COOPERATIVA NACIONAL DE DROGUISTAS DETALLISTAS "COOPIDROGAS"</t>
  </si>
  <si>
    <t>826001605</t>
  </si>
  <si>
    <t>CUERPO DE BOMBEROS VOLUNTARIOS DE PAIPA</t>
  </si>
  <si>
    <t>804002433</t>
  </si>
  <si>
    <t>DESCONT S.A.S E.S.P.</t>
  </si>
  <si>
    <t>830099732</t>
  </si>
  <si>
    <t>DISTRIBUIDORA INGLESA SAS</t>
  </si>
  <si>
    <t>830508017</t>
  </si>
  <si>
    <t>FULLCARGA COLOMBIA S.A.</t>
  </si>
  <si>
    <t>901285179</t>
  </si>
  <si>
    <t>NODEXUM S.A.S</t>
  </si>
  <si>
    <t>40028401</t>
  </si>
  <si>
    <t>NURY  YARURO CARRASCAL</t>
  </si>
  <si>
    <t>891801918</t>
  </si>
  <si>
    <t>SOELCO S.A.S.</t>
  </si>
  <si>
    <t>890300466</t>
  </si>
  <si>
    <t>TECNOQUIMICAS S.A</t>
  </si>
  <si>
    <t>Cra 11 15 50</t>
  </si>
  <si>
    <t>Cl 22 24 56</t>
  </si>
  <si>
    <t>Vda Salitre Sector San José</t>
  </si>
  <si>
    <t>CL 25 68 B 30 AP 706 IN 1</t>
  </si>
  <si>
    <t>CR 19 25 29</t>
  </si>
  <si>
    <t>BR SENDEROS SAN DANIEL MZ G CA 4</t>
  </si>
  <si>
    <t>AUTOPISTA BOGOTA MEDELLIN KM 4.7</t>
  </si>
  <si>
    <t>TV 27 A 53 B 13</t>
  </si>
  <si>
    <t>contactenos@asocoldro.com</t>
  </si>
  <si>
    <t>victordaza1@yahoo.com</t>
  </si>
  <si>
    <t>CR 3 ESTE 73 38 CS 45</t>
  </si>
  <si>
    <t>alamocloudsas@yahoo.com</t>
  </si>
  <si>
    <t>facturacion.amtec@gmail.com</t>
  </si>
  <si>
    <t>CR 21 22 86</t>
  </si>
  <si>
    <t>paipabomberosvoluntarios@gmail.com</t>
  </si>
  <si>
    <t>PLAZA MERCADO LC 2</t>
  </si>
  <si>
    <t>diradministrativo@distribuidorainglesa.com.co</t>
  </si>
  <si>
    <t>HACIENDA POTRERO CHICO LT 5 A BG 7 A</t>
  </si>
  <si>
    <t>Notificacionesgrupotq@tecnoquimicas.com</t>
  </si>
  <si>
    <t>CL 23 7 39</t>
  </si>
  <si>
    <t>CR 6 37 45</t>
  </si>
  <si>
    <t>facturacion@soelco.com.co</t>
  </si>
  <si>
    <t>nuyacar401@gmail.com</t>
  </si>
  <si>
    <t>CL 12 17 33</t>
  </si>
  <si>
    <t>facturas@emision.co</t>
  </si>
  <si>
    <t>CR 48 12 SUR 161</t>
  </si>
  <si>
    <t>oraclefact_co@yaganaste.com</t>
  </si>
  <si>
    <t>AV 19 No108-45</t>
  </si>
  <si>
    <t>rochame75@yahoo.es</t>
  </si>
  <si>
    <t>acontabilidad@ccduitama.org.co</t>
  </si>
  <si>
    <t>TV 19 23 141</t>
  </si>
  <si>
    <t>facturacion@descont.com.co</t>
  </si>
  <si>
    <t>CR 38A 48A 71</t>
  </si>
  <si>
    <t>factura.enlinea@coopidrogas.com.co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</si>
</sst>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 applyBorder="1" applyAlignment="1" applyProtection="1"/>
    <xf numFmtId="0" fontId="1" fillId="0" borderId="0" xfId="0" applyFont="1" applyBorder="1" applyAlignment="1" applyProtection="1"/>
    <xf numFmtId="0" fontId="1" fillId="4" borderId="0" xfId="0" applyFont="1" applyFill="1" applyBorder="1" applyAlignment="1" applyProtection="1"/>
    <xf numFmtId="1" fontId="1" fillId="3" borderId="1" xfId="0" applyNumberFormat="1" applyFont="1" applyFill="1" applyBorder="1" applyAlignment="1" applyProtection="1">
      <alignment horizontal="center" vertical="center" wrapText="1"/>
    </xf>
    <xf numFmtId="1" fontId="1" fillId="3" borderId="1" xfId="0" applyNumberFormat="1" applyFont="1" applyFill="1" applyBorder="1" applyAlignment="1" applyProtection="1">
      <alignment horizontal="center" vertical="center"/>
    </xf>
    <xf numFmtId="0" fontId="1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/>
    </xf>
    <xf numFmtId="0" fontId="0" fillId="0" borderId="0" xfId="0" applyProtection="1"/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0" xfId="0" applyFill="1" applyProtection="1">
      <protection locked="0"/>
    </xf>
    <xf numFmtId="0" fontId="2" fillId="0" borderId="0" xfId="1" applyProtection="1"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chame75@yahoo.es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rochame75@yahoo.es" TargetMode="External"/><Relationship Id="rId1" Type="http://schemas.openxmlformats.org/officeDocument/2006/relationships/hyperlink" Target="mailto:rochame75@yahoo.es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rochame75@yahoo.es" TargetMode="External"/><Relationship Id="rId4" Type="http://schemas.openxmlformats.org/officeDocument/2006/relationships/hyperlink" Target="mailto:rochame75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27"/>
  <sheetViews>
    <sheetView tabSelected="1" topLeftCell="B1" zoomScale="85" zoomScaleNormal="85" workbookViewId="0">
      <pane ySplit="6" topLeftCell="A7" activePane="bottomLeft" state="frozen"/>
      <selection pane="bottomLeft" activeCell="D19" sqref="D19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66.28515625" style="9" bestFit="1" customWidth="1"/>
    <col min="4" max="4" width="45.7109375" style="9" bestFit="1" customWidth="1"/>
    <col min="5" max="5" width="11.28515625" style="9" customWidth="1"/>
    <col min="6" max="6" width="35" style="9" bestFit="1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x14ac:dyDescent="0.25">
      <c r="A2" s="10" t="s">
        <v>2244</v>
      </c>
      <c r="B2" s="10"/>
      <c r="C2" s="10"/>
      <c r="D2" s="23"/>
      <c r="E2" s="24"/>
      <c r="F2" s="24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5"/>
      <c r="E3" s="26"/>
      <c r="F3" s="26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23"/>
      <c r="E4" s="24"/>
      <c r="F4" s="24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0"/>
      <c r="E5" s="21"/>
      <c r="F5" s="21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2248</v>
      </c>
      <c r="C7" s="9" t="s">
        <v>2249</v>
      </c>
      <c r="D7" s="28" t="s">
        <v>2319</v>
      </c>
      <c r="E7" s="9">
        <v>3208977713</v>
      </c>
      <c r="F7" s="9" t="s">
        <v>2292</v>
      </c>
      <c r="G7" s="9">
        <v>15516</v>
      </c>
      <c r="H7" s="9">
        <v>334</v>
      </c>
      <c r="I7" s="9">
        <v>7040000</v>
      </c>
      <c r="J7" s="9">
        <v>24000</v>
      </c>
      <c r="K7" s="9">
        <v>0</v>
      </c>
    </row>
    <row r="8" spans="1:11" x14ac:dyDescent="0.25">
      <c r="A8" s="9" t="s">
        <v>2250</v>
      </c>
      <c r="C8" s="9" t="s">
        <v>2251</v>
      </c>
      <c r="D8" s="28" t="s">
        <v>2319</v>
      </c>
      <c r="E8">
        <v>3125524219</v>
      </c>
      <c r="F8" s="9" t="s">
        <v>2291</v>
      </c>
      <c r="G8" s="9">
        <v>15759</v>
      </c>
      <c r="H8" s="9">
        <v>207</v>
      </c>
      <c r="I8" s="9">
        <v>1030000</v>
      </c>
      <c r="J8" s="9">
        <v>0</v>
      </c>
      <c r="K8" s="9">
        <v>0</v>
      </c>
    </row>
    <row r="9" spans="1:11" x14ac:dyDescent="0.25">
      <c r="A9" s="9" t="s">
        <v>2252</v>
      </c>
      <c r="C9" s="9" t="s">
        <v>2253</v>
      </c>
      <c r="D9" s="9" t="s">
        <v>2300</v>
      </c>
      <c r="E9" s="9">
        <v>3116601965</v>
      </c>
      <c r="F9" s="9" t="s">
        <v>2294</v>
      </c>
      <c r="G9" s="9">
        <v>11001</v>
      </c>
      <c r="H9" s="9">
        <v>313</v>
      </c>
      <c r="I9" s="9">
        <v>13271700</v>
      </c>
      <c r="J9" s="9">
        <v>32000</v>
      </c>
      <c r="K9" s="9">
        <v>0</v>
      </c>
    </row>
    <row r="10" spans="1:11" x14ac:dyDescent="0.25">
      <c r="A10" s="18">
        <v>23856505</v>
      </c>
      <c r="C10" s="9" t="s">
        <v>2254</v>
      </c>
      <c r="D10" s="9" t="s">
        <v>2255</v>
      </c>
      <c r="E10" s="9">
        <v>3212465923</v>
      </c>
      <c r="F10" s="9" t="s">
        <v>2256</v>
      </c>
      <c r="G10" s="9">
        <v>15516</v>
      </c>
      <c r="H10" s="9">
        <v>334</v>
      </c>
      <c r="I10" s="9">
        <v>3865000</v>
      </c>
      <c r="J10" s="9">
        <v>12000</v>
      </c>
      <c r="K10" s="9">
        <v>0</v>
      </c>
    </row>
    <row r="11" spans="1:11" x14ac:dyDescent="0.25">
      <c r="A11" s="9" t="s">
        <v>2257</v>
      </c>
      <c r="C11" s="9" t="s">
        <v>2258</v>
      </c>
      <c r="D11" s="28" t="s">
        <v>2319</v>
      </c>
      <c r="E11">
        <v>3125524219</v>
      </c>
      <c r="G11" s="9">
        <v>15516</v>
      </c>
      <c r="H11" s="9">
        <v>334</v>
      </c>
      <c r="I11" s="9">
        <v>95000</v>
      </c>
      <c r="J11" s="9">
        <v>0</v>
      </c>
      <c r="K11" s="9">
        <v>0</v>
      </c>
    </row>
    <row r="12" spans="1:11" x14ac:dyDescent="0.25">
      <c r="A12" s="9" t="s">
        <v>2259</v>
      </c>
      <c r="C12" s="9" t="s">
        <v>2260</v>
      </c>
      <c r="D12" s="28" t="s">
        <v>2319</v>
      </c>
      <c r="E12">
        <v>3125524219</v>
      </c>
      <c r="F12" s="9" t="s">
        <v>2296</v>
      </c>
      <c r="G12" s="9">
        <v>15516</v>
      </c>
      <c r="H12" s="9">
        <v>334</v>
      </c>
      <c r="I12" s="9">
        <v>1440000</v>
      </c>
      <c r="J12" s="9">
        <v>4000</v>
      </c>
      <c r="K12" s="9">
        <v>0</v>
      </c>
    </row>
    <row r="13" spans="1:11" x14ac:dyDescent="0.25">
      <c r="A13" s="9" t="s">
        <v>2261</v>
      </c>
      <c r="C13" s="9" t="s">
        <v>2262</v>
      </c>
      <c r="D13" s="9" t="s">
        <v>2300</v>
      </c>
      <c r="E13" s="9">
        <v>3116601965</v>
      </c>
      <c r="F13" s="9" t="s">
        <v>2295</v>
      </c>
      <c r="G13" s="9">
        <v>15516</v>
      </c>
      <c r="H13" s="9">
        <v>313</v>
      </c>
      <c r="I13" s="9">
        <f>8080000+4041395</f>
        <v>12121395</v>
      </c>
      <c r="J13" s="9">
        <v>32000</v>
      </c>
      <c r="K13" s="9">
        <v>0</v>
      </c>
    </row>
    <row r="14" spans="1:11" x14ac:dyDescent="0.25">
      <c r="A14" s="9" t="s">
        <v>2263</v>
      </c>
      <c r="C14" s="9" t="s">
        <v>2264</v>
      </c>
      <c r="D14" s="28" t="s">
        <v>2319</v>
      </c>
      <c r="E14">
        <v>3125524219</v>
      </c>
      <c r="F14" s="9" t="s">
        <v>2293</v>
      </c>
      <c r="G14" s="9">
        <v>15516</v>
      </c>
      <c r="H14" s="9">
        <v>334</v>
      </c>
      <c r="I14" s="9">
        <v>1217000</v>
      </c>
      <c r="J14" s="9">
        <v>8000</v>
      </c>
      <c r="K14" s="9">
        <v>0</v>
      </c>
    </row>
    <row r="15" spans="1:11" x14ac:dyDescent="0.25">
      <c r="A15" s="9" t="s">
        <v>2265</v>
      </c>
      <c r="C15" s="9" t="s">
        <v>2266</v>
      </c>
      <c r="D15" s="9" t="s">
        <v>2302</v>
      </c>
      <c r="E15" s="17">
        <v>3107859880</v>
      </c>
      <c r="F15" s="9" t="s">
        <v>2301</v>
      </c>
      <c r="G15" s="9">
        <v>15001</v>
      </c>
      <c r="H15" s="9">
        <v>303</v>
      </c>
      <c r="I15" s="9">
        <v>880000</v>
      </c>
      <c r="J15" s="9">
        <v>0</v>
      </c>
      <c r="K15" s="9">
        <v>0</v>
      </c>
    </row>
    <row r="16" spans="1:11" x14ac:dyDescent="0.25">
      <c r="A16" s="9" t="s">
        <v>2267</v>
      </c>
      <c r="C16" s="27" t="s">
        <v>2268</v>
      </c>
      <c r="D16" s="9" t="s">
        <v>2303</v>
      </c>
      <c r="E16" s="9">
        <v>3175166012</v>
      </c>
      <c r="F16" s="9" t="s">
        <v>2304</v>
      </c>
      <c r="G16" s="9">
        <v>15516</v>
      </c>
      <c r="H16" s="9">
        <v>325</v>
      </c>
      <c r="I16" s="9">
        <v>1246365</v>
      </c>
      <c r="J16" s="9">
        <v>0</v>
      </c>
      <c r="K16" s="9">
        <v>0</v>
      </c>
    </row>
    <row r="17" spans="1:11" x14ac:dyDescent="0.25">
      <c r="A17" s="9" t="s">
        <v>2269</v>
      </c>
      <c r="C17" s="9" t="s">
        <v>2270</v>
      </c>
      <c r="D17" s="9" t="s">
        <v>2299</v>
      </c>
      <c r="E17" s="9">
        <v>3173676798</v>
      </c>
      <c r="F17" s="9" t="s">
        <v>2298</v>
      </c>
      <c r="G17" s="9">
        <v>11001</v>
      </c>
      <c r="H17" s="9">
        <v>203</v>
      </c>
      <c r="I17" s="9">
        <v>927996</v>
      </c>
      <c r="J17" s="9">
        <v>0</v>
      </c>
      <c r="K17" s="9">
        <v>0</v>
      </c>
    </row>
    <row r="18" spans="1:11" x14ac:dyDescent="0.25">
      <c r="A18" s="9" t="s">
        <v>2271</v>
      </c>
      <c r="C18" s="9" t="s">
        <v>2272</v>
      </c>
      <c r="D18" t="s">
        <v>2320</v>
      </c>
      <c r="E18">
        <v>7602596</v>
      </c>
      <c r="F18" t="s">
        <v>2321</v>
      </c>
      <c r="G18" s="9">
        <v>15238</v>
      </c>
      <c r="H18" s="9">
        <v>334</v>
      </c>
      <c r="I18" s="9">
        <v>302600</v>
      </c>
      <c r="J18" s="9">
        <v>0</v>
      </c>
      <c r="K18" s="9">
        <v>0</v>
      </c>
    </row>
    <row r="19" spans="1:11" x14ac:dyDescent="0.25">
      <c r="A19" s="9" t="s">
        <v>2273</v>
      </c>
      <c r="C19" s="17" t="s">
        <v>2274</v>
      </c>
      <c r="D19" s="9" t="s">
        <v>2324</v>
      </c>
      <c r="E19" s="19">
        <v>4375150</v>
      </c>
      <c r="F19" s="9" t="s">
        <v>2297</v>
      </c>
      <c r="G19" s="9">
        <v>11001</v>
      </c>
      <c r="H19" s="9">
        <v>203</v>
      </c>
      <c r="I19" s="9">
        <f>244614082+915996</f>
        <v>245530078</v>
      </c>
      <c r="J19" s="9">
        <v>0</v>
      </c>
      <c r="K19" s="9">
        <v>20057596</v>
      </c>
    </row>
    <row r="20" spans="1:11" x14ac:dyDescent="0.25">
      <c r="A20" s="9" t="s">
        <v>2275</v>
      </c>
      <c r="C20" s="27" t="s">
        <v>2276</v>
      </c>
      <c r="D20" s="9" t="s">
        <v>2305</v>
      </c>
      <c r="E20" s="9">
        <v>6087852775</v>
      </c>
      <c r="F20" s="9" t="s">
        <v>2306</v>
      </c>
      <c r="G20" s="9">
        <v>15516</v>
      </c>
      <c r="H20" s="9">
        <v>334</v>
      </c>
      <c r="I20" s="9">
        <v>40000</v>
      </c>
      <c r="J20" s="9">
        <v>0</v>
      </c>
      <c r="K20" s="9">
        <v>0</v>
      </c>
    </row>
    <row r="21" spans="1:11" x14ac:dyDescent="0.25">
      <c r="A21" s="9" t="s">
        <v>2277</v>
      </c>
      <c r="C21" s="9" t="s">
        <v>2278</v>
      </c>
      <c r="D21" s="9" t="s">
        <v>2322</v>
      </c>
      <c r="E21">
        <v>6439999</v>
      </c>
      <c r="F21" t="s">
        <v>2323</v>
      </c>
      <c r="G21" s="9">
        <v>68001</v>
      </c>
      <c r="H21" s="9">
        <v>310</v>
      </c>
      <c r="I21" s="9">
        <v>87800</v>
      </c>
      <c r="J21" s="9">
        <v>0</v>
      </c>
      <c r="K21" s="9">
        <v>0</v>
      </c>
    </row>
    <row r="22" spans="1:11" x14ac:dyDescent="0.25">
      <c r="A22" s="9" t="s">
        <v>2279</v>
      </c>
      <c r="C22" s="9" t="s">
        <v>2280</v>
      </c>
      <c r="D22" s="9" t="s">
        <v>2307</v>
      </c>
      <c r="E22" s="9">
        <v>3152571433</v>
      </c>
      <c r="F22" s="9" t="s">
        <v>2308</v>
      </c>
      <c r="G22" s="9">
        <v>25214</v>
      </c>
      <c r="H22" s="9">
        <v>203</v>
      </c>
      <c r="I22" s="9">
        <v>1322662</v>
      </c>
      <c r="J22" s="9">
        <v>0</v>
      </c>
      <c r="K22" s="9">
        <v>11254</v>
      </c>
    </row>
    <row r="23" spans="1:11" x14ac:dyDescent="0.25">
      <c r="A23" s="9" t="s">
        <v>2281</v>
      </c>
      <c r="C23" s="9" t="s">
        <v>2282</v>
      </c>
      <c r="D23" s="9" t="s">
        <v>2317</v>
      </c>
      <c r="F23" t="s">
        <v>2318</v>
      </c>
      <c r="G23" s="9">
        <v>11001</v>
      </c>
      <c r="H23" s="9">
        <v>334</v>
      </c>
      <c r="I23" s="9">
        <v>187928</v>
      </c>
      <c r="J23" s="9">
        <v>0</v>
      </c>
      <c r="K23" s="9">
        <v>0</v>
      </c>
    </row>
    <row r="24" spans="1:11" x14ac:dyDescent="0.25">
      <c r="A24" s="9" t="s">
        <v>2283</v>
      </c>
      <c r="C24" s="9" t="s">
        <v>2284</v>
      </c>
      <c r="D24" s="9" t="s">
        <v>2315</v>
      </c>
      <c r="E24">
        <v>3004941054</v>
      </c>
      <c r="F24" t="s">
        <v>2316</v>
      </c>
      <c r="G24" s="9">
        <v>5001</v>
      </c>
      <c r="H24" s="9">
        <v>303</v>
      </c>
      <c r="I24" s="9">
        <v>352000</v>
      </c>
      <c r="J24" s="9">
        <v>0</v>
      </c>
      <c r="K24" s="9">
        <v>0</v>
      </c>
    </row>
    <row r="25" spans="1:11" x14ac:dyDescent="0.25">
      <c r="A25" s="9" t="s">
        <v>2285</v>
      </c>
      <c r="C25" s="9" t="s">
        <v>2286</v>
      </c>
      <c r="D25" s="9" t="s">
        <v>2313</v>
      </c>
      <c r="E25">
        <v>6087613287</v>
      </c>
      <c r="F25" s="9" t="s">
        <v>2314</v>
      </c>
      <c r="G25" s="9">
        <v>15238</v>
      </c>
      <c r="H25" s="9">
        <v>204</v>
      </c>
      <c r="I25" s="9">
        <v>87815</v>
      </c>
      <c r="J25" s="9">
        <v>0</v>
      </c>
      <c r="K25" s="9">
        <v>0</v>
      </c>
    </row>
    <row r="26" spans="1:11" x14ac:dyDescent="0.25">
      <c r="A26" s="9" t="s">
        <v>2287</v>
      </c>
      <c r="C26" s="9" t="s">
        <v>2288</v>
      </c>
      <c r="D26" t="s">
        <v>2312</v>
      </c>
      <c r="E26">
        <v>3009122122</v>
      </c>
      <c r="F26" t="s">
        <v>2311</v>
      </c>
      <c r="G26" s="9">
        <v>15001</v>
      </c>
      <c r="H26" s="9">
        <v>219</v>
      </c>
      <c r="I26" s="9">
        <v>756218</v>
      </c>
      <c r="J26" s="9">
        <v>0</v>
      </c>
      <c r="K26" s="9">
        <v>0</v>
      </c>
    </row>
    <row r="27" spans="1:11" x14ac:dyDescent="0.25">
      <c r="A27" s="9" t="s">
        <v>2289</v>
      </c>
      <c r="C27" s="9" t="s">
        <v>2290</v>
      </c>
      <c r="D27" s="9" t="s">
        <v>2309</v>
      </c>
      <c r="E27" s="9">
        <v>882555</v>
      </c>
      <c r="F27" t="s">
        <v>2310</v>
      </c>
      <c r="G27" s="9">
        <v>76001</v>
      </c>
      <c r="H27" s="9">
        <v>203</v>
      </c>
      <c r="I27" s="9">
        <v>8453714</v>
      </c>
      <c r="J27" s="9">
        <v>0</v>
      </c>
      <c r="K27" s="9">
        <v>781521</v>
      </c>
    </row>
  </sheetData>
  <sheetProtection formatCells="0" formatColumns="0" formatRows="0" sort="0"/>
  <mergeCells count="5">
    <mergeCell ref="D5:F5"/>
    <mergeCell ref="A1:K1"/>
    <mergeCell ref="D2:F2"/>
    <mergeCell ref="D3:F3"/>
    <mergeCell ref="D4:F4"/>
  </mergeCells>
  <hyperlinks>
    <hyperlink ref="D7" r:id="rId1" xr:uid="{B4B6A024-F51E-4A38-8A0F-A912E008BA1B}"/>
    <hyperlink ref="D8" r:id="rId2" xr:uid="{41ABE4F9-FC1A-4E4A-A31F-9D4A655238CE}"/>
    <hyperlink ref="D11" r:id="rId3" xr:uid="{74982E51-CC09-4819-ABBA-16F3443C9C1F}"/>
    <hyperlink ref="D12" r:id="rId4" xr:uid="{88E617CD-6A96-4B0E-AF6B-2FCC3FB3EE27}"/>
    <hyperlink ref="D14" r:id="rId5" xr:uid="{9574EB86-79AB-44E1-B67E-1C940EA2DC50}"/>
  </hyperlinks>
  <pageMargins left="0.7" right="0.7" top="0.75" bottom="0.75" header="0.3" footer="0.3"/>
  <pageSetup paperSize="9" orientation="portrait" horizontalDpi="0" verticalDpi="0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089" workbookViewId="0">
      <selection activeCell="B1101" sqref="B1101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FELIPE</cp:lastModifiedBy>
  <dcterms:created xsi:type="dcterms:W3CDTF">2015-06-05T18:19:34Z</dcterms:created>
  <dcterms:modified xsi:type="dcterms:W3CDTF">2025-08-27T23:23:34Z</dcterms:modified>
</cp:coreProperties>
</file>